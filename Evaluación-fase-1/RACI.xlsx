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5"/>
    <sheet state="visible" name="Resumen" sheetId="2" r:id="rId6"/>
    <sheet state="visible" name="Leyenda y criterios" sheetId="3" r:id="rId7"/>
  </sheets>
  <definedNames/>
  <calcPr/>
</workbook>
</file>

<file path=xl/sharedStrings.xml><?xml version="1.0" encoding="utf-8"?>
<sst xmlns="http://schemas.openxmlformats.org/spreadsheetml/2006/main" count="459" uniqueCount="159">
  <si>
    <t>RESUMEN DE ASIGNACIONES RACI</t>
  </si>
  <si>
    <t>MATRIZ R.A.C.I. — PROYECTO CBSB</t>
  </si>
  <si>
    <t>LEYENDA Y CRITERIOS DE USO — RACI CBSB</t>
  </si>
  <si>
    <t>Código</t>
  </si>
  <si>
    <t>Indicador</t>
  </si>
  <si>
    <t>Significado</t>
  </si>
  <si>
    <t>Aplicación en CBSB</t>
  </si>
  <si>
    <t>Valor</t>
  </si>
  <si>
    <t>R</t>
  </si>
  <si>
    <t>Rol / Stakeholder</t>
  </si>
  <si>
    <t>Responsable (R)</t>
  </si>
  <si>
    <t>Aprobador (A)</t>
  </si>
  <si>
    <t>Consultado (C)</t>
  </si>
  <si>
    <t>Informado (I)</t>
  </si>
  <si>
    <t>Total participaciones</t>
  </si>
  <si>
    <t>Responsible / Responsable</t>
  </si>
  <si>
    <t>Actividades / decisiones</t>
  </si>
  <si>
    <t>Ejecuta o contribuye directamente al trabajo.</t>
  </si>
  <si>
    <t>Diseño adaptado de la plantilla RAM de www.pmoinformatica.com</t>
  </si>
  <si>
    <t>A</t>
  </si>
  <si>
    <t>Mauricio Zenteno PO / SM / Req.-Doc.</t>
  </si>
  <si>
    <t>Accountable / Aprobador</t>
  </si>
  <si>
    <t>Tiene la responsabilidad final de validación o decisión para esa actividad.</t>
  </si>
  <si>
    <t>C</t>
  </si>
  <si>
    <t>Consulted / Consultado</t>
  </si>
  <si>
    <t>Aporta información, criterio técnico u operativo antes de la decisión.</t>
  </si>
  <si>
    <t>Responsabilidades: R: Responsable · A: Aprobador · C: Consultado · I: Informado · R/A: Responsable y Aprobador · —: Sin participación</t>
  </si>
  <si>
    <t>I</t>
  </si>
  <si>
    <t>Informed / Informado</t>
  </si>
  <si>
    <t>Debe mantenerse informado del avance o resultado.</t>
  </si>
  <si>
    <t>R/A</t>
  </si>
  <si>
    <t>Responsable y Aprobador</t>
  </si>
  <si>
    <t>Permitido en actividades acotadas del equipo pequeño cuando una misma persona ejecuta y responde por el resultado.</t>
  </si>
  <si>
    <t>Complementa la gestión con Scrum; no reemplaza las responsabilidades del Product Owner, Scrum Master ni Developers.</t>
  </si>
  <si>
    <t>Criterio</t>
  </si>
  <si>
    <t>Aplicación</t>
  </si>
  <si>
    <t>Paquete de Trabajo / Actividad</t>
  </si>
  <si>
    <t>Scrum</t>
  </si>
  <si>
    <t>La matriz RACI es complementaria; no reemplaza Product Owner, Scrum Master, Developers, Product Goal, Product Backlog ni Definition of Done.</t>
  </si>
  <si>
    <t>Responsabilidades</t>
  </si>
  <si>
    <t>Product Backlog</t>
  </si>
  <si>
    <t>Mauricio Zenteno figura como A/R por su responsabilidad de Product Owner sobre el orden y claridad del backlog.</t>
  </si>
  <si>
    <t>Estimación</t>
  </si>
  <si>
    <t>Planning Poker y Story Points la marca A en la matriz representa coordinación/registro, no una estimación unilateral.</t>
  </si>
  <si>
    <t>Código EDT</t>
  </si>
  <si>
    <t>Bloque / Entregable</t>
  </si>
  <si>
    <t>Actividad / Decisión</t>
  </si>
  <si>
    <t>Mauricio Zenteno
PO / SM / Req.-Doc.</t>
  </si>
  <si>
    <t>Paulo Rivas
Backend</t>
  </si>
  <si>
    <t>Alexander López
Frontend</t>
  </si>
  <si>
    <t>Comandancia
CBSB</t>
  </si>
  <si>
    <t>Administración
Institucional</t>
  </si>
  <si>
    <t>Administrador
Técnico CBSB</t>
  </si>
  <si>
    <t>Material
Menor</t>
  </si>
  <si>
    <t>Material Mayor /
Mantenimiento</t>
  </si>
  <si>
    <t>Docente
Duoc UC</t>
  </si>
  <si>
    <t>Validación institucional</t>
  </si>
  <si>
    <t>Comandancia aparece como A cuando la actividad requiere aprobación o validación operativa de Bomberos.</t>
  </si>
  <si>
    <t>1.1.1</t>
  </si>
  <si>
    <t>Definición del proyecto</t>
  </si>
  <si>
    <t>Problema y alcance CBSB</t>
  </si>
  <si>
    <t>Infraestructura</t>
  </si>
  <si>
    <t>Administración Institucional aparece como A en decisiones de despliegue; el Administrador Técnico CBSB actúa principalmente como C.</t>
  </si>
  <si>
    <t>—</t>
  </si>
  <si>
    <t>Entrega académica</t>
  </si>
  <si>
    <t>El Docente Duoc UC figura como A únicamente en la entrega/evaluación académica final, no en las decisiones internas del producto.</t>
  </si>
  <si>
    <t>1.1.2</t>
  </si>
  <si>
    <t>Requerimientos RF y RNF</t>
  </si>
  <si>
    <t>1.1.3</t>
  </si>
  <si>
    <t>Interesados y poder/interés</t>
  </si>
  <si>
    <t>Fuentes del proyecto</t>
  </si>
  <si>
    <t>1.1.4</t>
  </si>
  <si>
    <t>Uso</t>
  </si>
  <si>
    <t>TRL actual y objetivo</t>
  </si>
  <si>
    <t>EDT Bomberos CBSB</t>
  </si>
  <si>
    <t>Códigos y paquetes de trabajo usados como base de las filas.</t>
  </si>
  <si>
    <t>1.2.1</t>
  </si>
  <si>
    <t>Gestión Scrum</t>
  </si>
  <si>
    <t>Product Goal</t>
  </si>
  <si>
    <t>Product Goal / DoD</t>
  </si>
  <si>
    <t>Responsabilidades de producto y calidad.</t>
  </si>
  <si>
    <t>1.2.2</t>
  </si>
  <si>
    <t>Risk Register / Matriz de Riesgos</t>
  </si>
  <si>
    <t>Roles / stakeholders</t>
  </si>
  <si>
    <t>Gobernanza institucional y roles reales utilizados para riesgos e infraestructura.</t>
  </si>
  <si>
    <t>Paulo Rivas Backend</t>
  </si>
  <si>
    <t>Mapa de Stakeholders</t>
  </si>
  <si>
    <t>Comandancia, Administración Institucional, Administrador Técnico y áreas operativas.</t>
  </si>
  <si>
    <t>1.2.3</t>
  </si>
  <si>
    <t>Product Owner y Scrum Master</t>
  </si>
  <si>
    <t>Jira</t>
  </si>
  <si>
    <t>Fuente operativa del Product Backlog y seguimiento de Sprints.</t>
  </si>
  <si>
    <t>1.2.4</t>
  </si>
  <si>
    <t>Definition of Done</t>
  </si>
  <si>
    <t>1.2.5</t>
  </si>
  <si>
    <t>Cadencia Scrum y acuerdos operativos</t>
  </si>
  <si>
    <t>1.2.6</t>
  </si>
  <si>
    <t>Planning Poker y Story Points</t>
  </si>
  <si>
    <t>F1-PRES</t>
  </si>
  <si>
    <t>Cierre Fase 1</t>
  </si>
  <si>
    <t>Presentación Scrum / TRL / Arquitectura</t>
  </si>
  <si>
    <t>1.3.1</t>
  </si>
  <si>
    <t>Arquitectura y diseño</t>
  </si>
  <si>
    <t>Arquitectura de componentes</t>
  </si>
  <si>
    <t>1.3.2</t>
  </si>
  <si>
    <t>Acceso por rol y compañía</t>
  </si>
  <si>
    <t>Filas con R/A permitido</t>
  </si>
  <si>
    <t>1.3.3</t>
  </si>
  <si>
    <t>Equipo pequeño</t>
  </si>
  <si>
    <t>Modelo de datos</t>
  </si>
  <si>
    <t>Alexander López Frontend</t>
  </si>
  <si>
    <t>1.3.4</t>
  </si>
  <si>
    <t>Mockups y navegación</t>
  </si>
  <si>
    <t>1.3.5</t>
  </si>
  <si>
    <t>Entorno de despliegue y respaldo</t>
  </si>
  <si>
    <t>1.4.1</t>
  </si>
  <si>
    <t>Gestión del proyecto</t>
  </si>
  <si>
    <t>RBS</t>
  </si>
  <si>
    <t>1.4.2</t>
  </si>
  <si>
    <t>Risk Register y Matriz de Evaluación</t>
  </si>
  <si>
    <t>1.4.3</t>
  </si>
  <si>
    <t>KPI y KRI</t>
  </si>
  <si>
    <t>1.4.4</t>
  </si>
  <si>
    <t>Trazabilidad y evidencias</t>
  </si>
  <si>
    <t>RISK-PLAN</t>
  </si>
  <si>
    <t>Plan de Gestión de Riesgos</t>
  </si>
  <si>
    <t>1.5</t>
  </si>
  <si>
    <t>Sprint 1</t>
  </si>
  <si>
    <t>Acceso, usuarios, compañías y catálogo</t>
  </si>
  <si>
    <t>1.6</t>
  </si>
  <si>
    <t>Sprint 2</t>
  </si>
  <si>
    <t>Inventario, equipamiento y préstamos</t>
  </si>
  <si>
    <t>1.7</t>
  </si>
  <si>
    <t>Sprint 3</t>
  </si>
  <si>
    <t>Unidades, check-in y mantenimiento</t>
  </si>
  <si>
    <t>Regla clave</t>
  </si>
  <si>
    <t>1 A principal por actividad</t>
  </si>
  <si>
    <t>Comandancia CBSB</t>
  </si>
  <si>
    <t>1.8</t>
  </si>
  <si>
    <t>Sprint 4</t>
  </si>
  <si>
    <t>Alertas, reportes e integración</t>
  </si>
  <si>
    <t>1.9.1</t>
  </si>
  <si>
    <t>Validación y cierre</t>
  </si>
  <si>
    <t>Pruebas globales y regresión</t>
  </si>
  <si>
    <t>1.9.2</t>
  </si>
  <si>
    <t>Validación con Bomberos</t>
  </si>
  <si>
    <t>1.9.3</t>
  </si>
  <si>
    <t>Despliegue y restauración</t>
  </si>
  <si>
    <t>1.9.4</t>
  </si>
  <si>
    <t>Manual de usuario</t>
  </si>
  <si>
    <t>1.9.5</t>
  </si>
  <si>
    <t>Manual técnico</t>
  </si>
  <si>
    <t>1.9.6</t>
  </si>
  <si>
    <t>Entrega final académica / proyecto</t>
  </si>
  <si>
    <t>Administración Institucional</t>
  </si>
  <si>
    <t>Administrador Técnico CBSB</t>
  </si>
  <si>
    <t>Material Menor</t>
  </si>
  <si>
    <t>Material Mayor / Mantenimiento</t>
  </si>
  <si>
    <t>Docente Duoc 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</si>
</sst>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b/>
      <sz val="14.0"/>
      <color rgb="FF1F497D"/>
      <name val="Calibri"/>
    </font>
    <font>
      <sz val="10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5">
    <border/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readingOrder="0" shrinkToFit="0" vertical="center" wrapText="1"/>
    </xf>
    <xf quotePrefix="1" borderId="1" fillId="2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2.13"/>
    <col customWidth="1" min="2" max="2" width="23.88"/>
    <col customWidth="1" min="3" max="3" width="36.38"/>
    <col customWidth="1" min="4" max="12" width="17.63"/>
  </cols>
  <sheetData>
    <row r="1" ht="28.5" customHeight="1">
      <c r="A1" s="1" t="s">
        <v>1</v>
      </c>
    </row>
    <row r="2" ht="22.5" customHeight="1">
      <c r="A2" s="6" t="s">
        <v>18</v>
      </c>
    </row>
    <row r="3" ht="22.5" customHeight="1">
      <c r="A3" s="7" t="s">
        <v>26</v>
      </c>
    </row>
    <row r="4" ht="22.5" customHeight="1">
      <c r="A4" s="7" t="s">
        <v>33</v>
      </c>
    </row>
    <row r="5" ht="22.5" customHeight="1">
      <c r="A5" s="9" t="s">
        <v>36</v>
      </c>
      <c r="B5" s="11"/>
      <c r="C5" s="10"/>
      <c r="D5" s="9" t="s">
        <v>39</v>
      </c>
      <c r="E5" s="11"/>
      <c r="F5" s="11"/>
      <c r="G5" s="11"/>
      <c r="H5" s="11"/>
      <c r="I5" s="11"/>
      <c r="J5" s="11"/>
      <c r="K5" s="11"/>
      <c r="L5" s="10"/>
    </row>
    <row r="6" ht="57.0" customHeight="1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</row>
    <row r="7" ht="31.5" customHeight="1">
      <c r="A7" s="15" t="s">
        <v>58</v>
      </c>
      <c r="B7" s="5" t="s">
        <v>59</v>
      </c>
      <c r="C7" s="5" t="s">
        <v>60</v>
      </c>
      <c r="D7" s="4" t="s">
        <v>8</v>
      </c>
      <c r="E7" s="4" t="s">
        <v>23</v>
      </c>
      <c r="F7" s="4" t="s">
        <v>23</v>
      </c>
      <c r="G7" s="4" t="s">
        <v>19</v>
      </c>
      <c r="H7" s="4" t="s">
        <v>63</v>
      </c>
      <c r="I7" s="4" t="s">
        <v>63</v>
      </c>
      <c r="J7" s="4" t="s">
        <v>23</v>
      </c>
      <c r="K7" s="4" t="s">
        <v>23</v>
      </c>
      <c r="L7" s="4" t="s">
        <v>27</v>
      </c>
    </row>
    <row r="8" ht="31.5" customHeight="1">
      <c r="A8" s="15" t="s">
        <v>66</v>
      </c>
      <c r="B8" s="5" t="s">
        <v>59</v>
      </c>
      <c r="C8" s="5" t="s">
        <v>67</v>
      </c>
      <c r="D8" s="4" t="s">
        <v>8</v>
      </c>
      <c r="E8" s="4" t="s">
        <v>23</v>
      </c>
      <c r="F8" s="4" t="s">
        <v>23</v>
      </c>
      <c r="G8" s="4" t="s">
        <v>19</v>
      </c>
      <c r="H8" s="4" t="s">
        <v>63</v>
      </c>
      <c r="I8" s="4" t="s">
        <v>63</v>
      </c>
      <c r="J8" s="4" t="s">
        <v>23</v>
      </c>
      <c r="K8" s="4" t="s">
        <v>23</v>
      </c>
      <c r="L8" s="4" t="s">
        <v>27</v>
      </c>
    </row>
    <row r="9" ht="31.5" customHeight="1">
      <c r="A9" s="15" t="s">
        <v>68</v>
      </c>
      <c r="B9" s="5" t="s">
        <v>59</v>
      </c>
      <c r="C9" s="5" t="s">
        <v>69</v>
      </c>
      <c r="D9" s="4" t="s">
        <v>30</v>
      </c>
      <c r="E9" s="4" t="s">
        <v>23</v>
      </c>
      <c r="F9" s="4" t="s">
        <v>23</v>
      </c>
      <c r="G9" s="4" t="s">
        <v>23</v>
      </c>
      <c r="H9" s="4" t="s">
        <v>23</v>
      </c>
      <c r="I9" s="4" t="s">
        <v>63</v>
      </c>
      <c r="J9" s="4" t="s">
        <v>27</v>
      </c>
      <c r="K9" s="4" t="s">
        <v>27</v>
      </c>
      <c r="L9" s="4" t="s">
        <v>27</v>
      </c>
    </row>
    <row r="10" ht="31.5" customHeight="1">
      <c r="A10" s="15" t="s">
        <v>71</v>
      </c>
      <c r="B10" s="5" t="s">
        <v>59</v>
      </c>
      <c r="C10" s="5" t="s">
        <v>73</v>
      </c>
      <c r="D10" s="4" t="s">
        <v>30</v>
      </c>
      <c r="E10" s="4" t="s">
        <v>23</v>
      </c>
      <c r="F10" s="4" t="s">
        <v>23</v>
      </c>
      <c r="G10" s="4" t="s">
        <v>27</v>
      </c>
      <c r="H10" s="4" t="s">
        <v>63</v>
      </c>
      <c r="I10" s="4" t="s">
        <v>63</v>
      </c>
      <c r="J10" s="4" t="s">
        <v>63</v>
      </c>
      <c r="K10" s="4" t="s">
        <v>63</v>
      </c>
      <c r="L10" s="4" t="s">
        <v>23</v>
      </c>
    </row>
    <row r="11" ht="31.5" customHeight="1">
      <c r="A11" s="15" t="s">
        <v>76</v>
      </c>
      <c r="B11" s="5" t="s">
        <v>77</v>
      </c>
      <c r="C11" s="5" t="s">
        <v>78</v>
      </c>
      <c r="D11" s="4" t="s">
        <v>30</v>
      </c>
      <c r="E11" s="4" t="s">
        <v>23</v>
      </c>
      <c r="F11" s="4" t="s">
        <v>23</v>
      </c>
      <c r="G11" s="4" t="s">
        <v>23</v>
      </c>
      <c r="H11" s="4" t="s">
        <v>63</v>
      </c>
      <c r="I11" s="4" t="s">
        <v>63</v>
      </c>
      <c r="J11" s="4" t="s">
        <v>63</v>
      </c>
      <c r="K11" s="4" t="s">
        <v>63</v>
      </c>
      <c r="L11" s="4" t="s">
        <v>27</v>
      </c>
    </row>
    <row r="12" ht="31.5" customHeight="1">
      <c r="A12" s="15" t="s">
        <v>81</v>
      </c>
      <c r="B12" s="5" t="s">
        <v>77</v>
      </c>
      <c r="C12" s="5" t="s">
        <v>40</v>
      </c>
      <c r="D12" s="4" t="s">
        <v>30</v>
      </c>
      <c r="E12" s="4" t="s">
        <v>23</v>
      </c>
      <c r="F12" s="4" t="s">
        <v>23</v>
      </c>
      <c r="G12" s="4" t="s">
        <v>23</v>
      </c>
      <c r="H12" s="4" t="s">
        <v>63</v>
      </c>
      <c r="I12" s="4" t="s">
        <v>63</v>
      </c>
      <c r="J12" s="4" t="s">
        <v>63</v>
      </c>
      <c r="K12" s="4" t="s">
        <v>63</v>
      </c>
      <c r="L12" s="4" t="s">
        <v>27</v>
      </c>
    </row>
    <row r="13" ht="31.5" customHeight="1">
      <c r="A13" s="15" t="s">
        <v>88</v>
      </c>
      <c r="B13" s="5" t="s">
        <v>77</v>
      </c>
      <c r="C13" s="5" t="s">
        <v>89</v>
      </c>
      <c r="D13" s="4" t="s">
        <v>30</v>
      </c>
      <c r="E13" s="4" t="s">
        <v>27</v>
      </c>
      <c r="F13" s="4" t="s">
        <v>27</v>
      </c>
      <c r="G13" s="4" t="s">
        <v>27</v>
      </c>
      <c r="H13" s="4" t="s">
        <v>63</v>
      </c>
      <c r="I13" s="4" t="s">
        <v>63</v>
      </c>
      <c r="J13" s="4" t="s">
        <v>63</v>
      </c>
      <c r="K13" s="4" t="s">
        <v>63</v>
      </c>
      <c r="L13" s="4" t="s">
        <v>27</v>
      </c>
    </row>
    <row r="14" ht="31.5" customHeight="1">
      <c r="A14" s="15" t="s">
        <v>92</v>
      </c>
      <c r="B14" s="5" t="s">
        <v>77</v>
      </c>
      <c r="C14" s="5" t="s">
        <v>93</v>
      </c>
      <c r="D14" s="4" t="s">
        <v>30</v>
      </c>
      <c r="E14" s="4" t="s">
        <v>8</v>
      </c>
      <c r="F14" s="4" t="s">
        <v>8</v>
      </c>
      <c r="G14" s="4" t="s">
        <v>27</v>
      </c>
      <c r="H14" s="4" t="s">
        <v>63</v>
      </c>
      <c r="I14" s="4" t="s">
        <v>63</v>
      </c>
      <c r="J14" s="4" t="s">
        <v>63</v>
      </c>
      <c r="K14" s="4" t="s">
        <v>63</v>
      </c>
      <c r="L14" s="4" t="s">
        <v>27</v>
      </c>
    </row>
    <row r="15" ht="31.5" customHeight="1">
      <c r="A15" s="15" t="s">
        <v>94</v>
      </c>
      <c r="B15" s="5" t="s">
        <v>77</v>
      </c>
      <c r="C15" s="5" t="s">
        <v>95</v>
      </c>
      <c r="D15" s="4" t="s">
        <v>30</v>
      </c>
      <c r="E15" s="4" t="s">
        <v>23</v>
      </c>
      <c r="F15" s="4" t="s">
        <v>23</v>
      </c>
      <c r="G15" s="4" t="s">
        <v>27</v>
      </c>
      <c r="H15" s="4" t="s">
        <v>63</v>
      </c>
      <c r="I15" s="4" t="s">
        <v>63</v>
      </c>
      <c r="J15" s="4" t="s">
        <v>63</v>
      </c>
      <c r="K15" s="4" t="s">
        <v>63</v>
      </c>
      <c r="L15" s="4" t="s">
        <v>27</v>
      </c>
    </row>
    <row r="16" ht="31.5" customHeight="1">
      <c r="A16" s="15" t="s">
        <v>96</v>
      </c>
      <c r="B16" s="5" t="s">
        <v>77</v>
      </c>
      <c r="C16" s="5" t="s">
        <v>97</v>
      </c>
      <c r="D16" s="4" t="s">
        <v>30</v>
      </c>
      <c r="E16" s="4" t="s">
        <v>8</v>
      </c>
      <c r="F16" s="4" t="s">
        <v>8</v>
      </c>
      <c r="G16" s="4" t="s">
        <v>27</v>
      </c>
      <c r="H16" s="4" t="s">
        <v>63</v>
      </c>
      <c r="I16" s="4" t="s">
        <v>63</v>
      </c>
      <c r="J16" s="4" t="s">
        <v>63</v>
      </c>
      <c r="K16" s="4" t="s">
        <v>63</v>
      </c>
      <c r="L16" s="4" t="s">
        <v>27</v>
      </c>
    </row>
    <row r="17" ht="31.5" customHeight="1">
      <c r="A17" s="5" t="s">
        <v>98</v>
      </c>
      <c r="B17" s="5" t="s">
        <v>99</v>
      </c>
      <c r="C17" s="5" t="s">
        <v>100</v>
      </c>
      <c r="D17" s="4" t="s">
        <v>30</v>
      </c>
      <c r="E17" s="4" t="s">
        <v>8</v>
      </c>
      <c r="F17" s="4" t="s">
        <v>8</v>
      </c>
      <c r="G17" s="4" t="s">
        <v>27</v>
      </c>
      <c r="H17" s="4" t="s">
        <v>63</v>
      </c>
      <c r="I17" s="4" t="s">
        <v>63</v>
      </c>
      <c r="J17" s="4" t="s">
        <v>63</v>
      </c>
      <c r="K17" s="4" t="s">
        <v>63</v>
      </c>
      <c r="L17" s="4" t="s">
        <v>23</v>
      </c>
    </row>
    <row r="18" ht="31.5" customHeight="1">
      <c r="A18" s="15" t="s">
        <v>101</v>
      </c>
      <c r="B18" s="5" t="s">
        <v>102</v>
      </c>
      <c r="C18" s="5" t="s">
        <v>103</v>
      </c>
      <c r="D18" s="4" t="s">
        <v>23</v>
      </c>
      <c r="E18" s="4" t="s">
        <v>30</v>
      </c>
      <c r="F18" s="4" t="s">
        <v>8</v>
      </c>
      <c r="G18" s="4" t="s">
        <v>27</v>
      </c>
      <c r="H18" s="4" t="s">
        <v>27</v>
      </c>
      <c r="I18" s="4" t="s">
        <v>23</v>
      </c>
      <c r="J18" s="4" t="s">
        <v>63</v>
      </c>
      <c r="K18" s="4" t="s">
        <v>63</v>
      </c>
      <c r="L18" s="4" t="s">
        <v>27</v>
      </c>
    </row>
    <row r="19" ht="31.5" customHeight="1">
      <c r="A19" s="15" t="s">
        <v>104</v>
      </c>
      <c r="B19" s="5" t="s">
        <v>102</v>
      </c>
      <c r="C19" s="5" t="s">
        <v>105</v>
      </c>
      <c r="D19" s="4" t="s">
        <v>8</v>
      </c>
      <c r="E19" s="4" t="s">
        <v>8</v>
      </c>
      <c r="F19" s="4" t="s">
        <v>8</v>
      </c>
      <c r="G19" s="4" t="s">
        <v>19</v>
      </c>
      <c r="H19" s="4" t="s">
        <v>63</v>
      </c>
      <c r="I19" s="4" t="s">
        <v>23</v>
      </c>
      <c r="J19" s="4" t="s">
        <v>63</v>
      </c>
      <c r="K19" s="4" t="s">
        <v>63</v>
      </c>
      <c r="L19" s="4" t="s">
        <v>27</v>
      </c>
    </row>
    <row r="20" ht="31.5" customHeight="1">
      <c r="A20" s="15" t="s">
        <v>107</v>
      </c>
      <c r="B20" s="5" t="s">
        <v>102</v>
      </c>
      <c r="C20" s="5" t="s">
        <v>109</v>
      </c>
      <c r="D20" s="4" t="s">
        <v>23</v>
      </c>
      <c r="E20" s="4" t="s">
        <v>30</v>
      </c>
      <c r="F20" s="4" t="s">
        <v>23</v>
      </c>
      <c r="G20" s="4" t="s">
        <v>27</v>
      </c>
      <c r="H20" s="4" t="s">
        <v>63</v>
      </c>
      <c r="I20" s="4" t="s">
        <v>63</v>
      </c>
      <c r="J20" s="4" t="s">
        <v>23</v>
      </c>
      <c r="K20" s="4" t="s">
        <v>23</v>
      </c>
      <c r="L20" s="4" t="s">
        <v>27</v>
      </c>
    </row>
    <row r="21" ht="31.5" customHeight="1">
      <c r="A21" s="15" t="s">
        <v>111</v>
      </c>
      <c r="B21" s="5" t="s">
        <v>102</v>
      </c>
      <c r="C21" s="5" t="s">
        <v>112</v>
      </c>
      <c r="D21" s="4" t="s">
        <v>23</v>
      </c>
      <c r="E21" s="4" t="s">
        <v>23</v>
      </c>
      <c r="F21" s="4" t="s">
        <v>30</v>
      </c>
      <c r="G21" s="4" t="s">
        <v>23</v>
      </c>
      <c r="H21" s="4" t="s">
        <v>63</v>
      </c>
      <c r="I21" s="4" t="s">
        <v>63</v>
      </c>
      <c r="J21" s="4" t="s">
        <v>23</v>
      </c>
      <c r="K21" s="4" t="s">
        <v>23</v>
      </c>
      <c r="L21" s="4" t="s">
        <v>27</v>
      </c>
    </row>
    <row r="22" ht="31.5" customHeight="1">
      <c r="A22" s="15" t="s">
        <v>113</v>
      </c>
      <c r="B22" s="5" t="s">
        <v>102</v>
      </c>
      <c r="C22" s="5" t="s">
        <v>114</v>
      </c>
      <c r="D22" s="4" t="s">
        <v>23</v>
      </c>
      <c r="E22" s="4" t="s">
        <v>8</v>
      </c>
      <c r="F22" s="4" t="s">
        <v>27</v>
      </c>
      <c r="G22" s="4" t="s">
        <v>27</v>
      </c>
      <c r="H22" s="4" t="s">
        <v>19</v>
      </c>
      <c r="I22" s="4" t="s">
        <v>23</v>
      </c>
      <c r="J22" s="4" t="s">
        <v>63</v>
      </c>
      <c r="K22" s="4" t="s">
        <v>63</v>
      </c>
      <c r="L22" s="4" t="s">
        <v>27</v>
      </c>
    </row>
    <row r="23" ht="31.5" customHeight="1">
      <c r="A23" s="15" t="s">
        <v>115</v>
      </c>
      <c r="B23" s="5" t="s">
        <v>116</v>
      </c>
      <c r="C23" s="5" t="s">
        <v>117</v>
      </c>
      <c r="D23" s="4" t="s">
        <v>30</v>
      </c>
      <c r="E23" s="4" t="s">
        <v>23</v>
      </c>
      <c r="F23" s="4" t="s">
        <v>23</v>
      </c>
      <c r="G23" s="4" t="s">
        <v>27</v>
      </c>
      <c r="H23" s="4" t="s">
        <v>63</v>
      </c>
      <c r="I23" s="4" t="s">
        <v>63</v>
      </c>
      <c r="J23" s="4" t="s">
        <v>63</v>
      </c>
      <c r="K23" s="4" t="s">
        <v>63</v>
      </c>
      <c r="L23" s="4" t="s">
        <v>27</v>
      </c>
    </row>
    <row r="24" ht="31.5" customHeight="1">
      <c r="A24" s="15" t="s">
        <v>118</v>
      </c>
      <c r="B24" s="5" t="s">
        <v>116</v>
      </c>
      <c r="C24" s="5" t="s">
        <v>119</v>
      </c>
      <c r="D24" s="4" t="s">
        <v>30</v>
      </c>
      <c r="E24" s="4" t="s">
        <v>8</v>
      </c>
      <c r="F24" s="4" t="s">
        <v>8</v>
      </c>
      <c r="G24" s="4" t="s">
        <v>27</v>
      </c>
      <c r="H24" s="4" t="s">
        <v>63</v>
      </c>
      <c r="I24" s="4" t="s">
        <v>63</v>
      </c>
      <c r="J24" s="4" t="s">
        <v>63</v>
      </c>
      <c r="K24" s="4" t="s">
        <v>63</v>
      </c>
      <c r="L24" s="4" t="s">
        <v>27</v>
      </c>
    </row>
    <row r="25" ht="31.5" customHeight="1">
      <c r="A25" s="15" t="s">
        <v>120</v>
      </c>
      <c r="B25" s="5" t="s">
        <v>116</v>
      </c>
      <c r="C25" s="5" t="s">
        <v>121</v>
      </c>
      <c r="D25" s="4" t="s">
        <v>30</v>
      </c>
      <c r="E25" s="4" t="s">
        <v>23</v>
      </c>
      <c r="F25" s="4" t="s">
        <v>23</v>
      </c>
      <c r="G25" s="4" t="s">
        <v>27</v>
      </c>
      <c r="H25" s="4" t="s">
        <v>63</v>
      </c>
      <c r="I25" s="4" t="s">
        <v>63</v>
      </c>
      <c r="J25" s="4" t="s">
        <v>63</v>
      </c>
      <c r="K25" s="4" t="s">
        <v>63</v>
      </c>
      <c r="L25" s="4" t="s">
        <v>27</v>
      </c>
    </row>
    <row r="26" ht="31.5" customHeight="1">
      <c r="A26" s="15" t="s">
        <v>122</v>
      </c>
      <c r="B26" s="5" t="s">
        <v>116</v>
      </c>
      <c r="C26" s="5" t="s">
        <v>123</v>
      </c>
      <c r="D26" s="4" t="s">
        <v>30</v>
      </c>
      <c r="E26" s="4" t="s">
        <v>23</v>
      </c>
      <c r="F26" s="4" t="s">
        <v>23</v>
      </c>
      <c r="G26" s="4" t="s">
        <v>27</v>
      </c>
      <c r="H26" s="4" t="s">
        <v>63</v>
      </c>
      <c r="I26" s="4" t="s">
        <v>63</v>
      </c>
      <c r="J26" s="4" t="s">
        <v>63</v>
      </c>
      <c r="K26" s="4" t="s">
        <v>63</v>
      </c>
      <c r="L26" s="4" t="s">
        <v>27</v>
      </c>
    </row>
    <row r="27" ht="31.5" customHeight="1">
      <c r="A27" s="5" t="s">
        <v>124</v>
      </c>
      <c r="B27" s="5" t="s">
        <v>116</v>
      </c>
      <c r="C27" s="5" t="s">
        <v>125</v>
      </c>
      <c r="D27" s="4" t="s">
        <v>30</v>
      </c>
      <c r="E27" s="4" t="s">
        <v>23</v>
      </c>
      <c r="F27" s="4" t="s">
        <v>23</v>
      </c>
      <c r="G27" s="4" t="s">
        <v>27</v>
      </c>
      <c r="H27" s="4" t="s">
        <v>63</v>
      </c>
      <c r="I27" s="4" t="s">
        <v>63</v>
      </c>
      <c r="J27" s="4" t="s">
        <v>63</v>
      </c>
      <c r="K27" s="4" t="s">
        <v>63</v>
      </c>
      <c r="L27" s="4" t="s">
        <v>27</v>
      </c>
    </row>
    <row r="28" ht="31.5" customHeight="1">
      <c r="A28" s="15" t="s">
        <v>126</v>
      </c>
      <c r="B28" s="5" t="s">
        <v>127</v>
      </c>
      <c r="C28" s="5" t="s">
        <v>128</v>
      </c>
      <c r="D28" s="4" t="s">
        <v>30</v>
      </c>
      <c r="E28" s="4" t="s">
        <v>8</v>
      </c>
      <c r="F28" s="4" t="s">
        <v>8</v>
      </c>
      <c r="G28" s="4" t="s">
        <v>23</v>
      </c>
      <c r="H28" s="4" t="s">
        <v>63</v>
      </c>
      <c r="I28" s="4" t="s">
        <v>23</v>
      </c>
      <c r="J28" s="4" t="s">
        <v>63</v>
      </c>
      <c r="K28" s="4" t="s">
        <v>63</v>
      </c>
      <c r="L28" s="4" t="s">
        <v>27</v>
      </c>
    </row>
    <row r="29" ht="31.5" customHeight="1">
      <c r="A29" s="15" t="s">
        <v>129</v>
      </c>
      <c r="B29" s="5" t="s">
        <v>130</v>
      </c>
      <c r="C29" s="5" t="s">
        <v>131</v>
      </c>
      <c r="D29" s="4" t="s">
        <v>8</v>
      </c>
      <c r="E29" s="4" t="s">
        <v>30</v>
      </c>
      <c r="F29" s="4" t="s">
        <v>8</v>
      </c>
      <c r="G29" s="4" t="s">
        <v>23</v>
      </c>
      <c r="H29" s="4" t="s">
        <v>63</v>
      </c>
      <c r="I29" s="4" t="s">
        <v>63</v>
      </c>
      <c r="J29" s="4" t="s">
        <v>23</v>
      </c>
      <c r="K29" s="4" t="s">
        <v>27</v>
      </c>
      <c r="L29" s="4" t="s">
        <v>27</v>
      </c>
    </row>
    <row r="30" ht="31.5" customHeight="1">
      <c r="A30" s="15" t="s">
        <v>132</v>
      </c>
      <c r="B30" s="5" t="s">
        <v>133</v>
      </c>
      <c r="C30" s="5" t="s">
        <v>134</v>
      </c>
      <c r="D30" s="4" t="s">
        <v>8</v>
      </c>
      <c r="E30" s="4" t="s">
        <v>30</v>
      </c>
      <c r="F30" s="4" t="s">
        <v>8</v>
      </c>
      <c r="G30" s="4" t="s">
        <v>23</v>
      </c>
      <c r="H30" s="4" t="s">
        <v>63</v>
      </c>
      <c r="I30" s="4" t="s">
        <v>63</v>
      </c>
      <c r="J30" s="4" t="s">
        <v>27</v>
      </c>
      <c r="K30" s="4" t="s">
        <v>23</v>
      </c>
      <c r="L30" s="4" t="s">
        <v>27</v>
      </c>
    </row>
    <row r="31" ht="31.5" customHeight="1">
      <c r="A31" s="15" t="s">
        <v>138</v>
      </c>
      <c r="B31" s="5" t="s">
        <v>139</v>
      </c>
      <c r="C31" s="5" t="s">
        <v>140</v>
      </c>
      <c r="D31" s="4" t="s">
        <v>30</v>
      </c>
      <c r="E31" s="4" t="s">
        <v>8</v>
      </c>
      <c r="F31" s="4" t="s">
        <v>8</v>
      </c>
      <c r="G31" s="4" t="s">
        <v>23</v>
      </c>
      <c r="H31" s="4" t="s">
        <v>63</v>
      </c>
      <c r="I31" s="4" t="s">
        <v>23</v>
      </c>
      <c r="J31" s="4" t="s">
        <v>27</v>
      </c>
      <c r="K31" s="4" t="s">
        <v>23</v>
      </c>
      <c r="L31" s="4" t="s">
        <v>27</v>
      </c>
    </row>
    <row r="32" ht="31.5" customHeight="1">
      <c r="A32" s="15" t="s">
        <v>141</v>
      </c>
      <c r="B32" s="5" t="s">
        <v>142</v>
      </c>
      <c r="C32" s="5" t="s">
        <v>143</v>
      </c>
      <c r="D32" s="4" t="s">
        <v>30</v>
      </c>
      <c r="E32" s="4" t="s">
        <v>8</v>
      </c>
      <c r="F32" s="4" t="s">
        <v>8</v>
      </c>
      <c r="G32" s="4" t="s">
        <v>27</v>
      </c>
      <c r="H32" s="4" t="s">
        <v>63</v>
      </c>
      <c r="I32" s="4" t="s">
        <v>63</v>
      </c>
      <c r="J32" s="4" t="s">
        <v>63</v>
      </c>
      <c r="K32" s="4" t="s">
        <v>63</v>
      </c>
      <c r="L32" s="4" t="s">
        <v>27</v>
      </c>
    </row>
    <row r="33" ht="31.5" customHeight="1">
      <c r="A33" s="15" t="s">
        <v>144</v>
      </c>
      <c r="B33" s="5" t="s">
        <v>142</v>
      </c>
      <c r="C33" s="5" t="s">
        <v>145</v>
      </c>
      <c r="D33" s="4" t="s">
        <v>8</v>
      </c>
      <c r="E33" s="4" t="s">
        <v>23</v>
      </c>
      <c r="F33" s="4" t="s">
        <v>23</v>
      </c>
      <c r="G33" s="4" t="s">
        <v>19</v>
      </c>
      <c r="H33" s="4" t="s">
        <v>63</v>
      </c>
      <c r="I33" s="4" t="s">
        <v>63</v>
      </c>
      <c r="J33" s="4" t="s">
        <v>23</v>
      </c>
      <c r="K33" s="4" t="s">
        <v>23</v>
      </c>
      <c r="L33" s="4" t="s">
        <v>27</v>
      </c>
    </row>
    <row r="34" ht="31.5" customHeight="1">
      <c r="A34" s="15" t="s">
        <v>146</v>
      </c>
      <c r="B34" s="5" t="s">
        <v>142</v>
      </c>
      <c r="C34" s="5" t="s">
        <v>147</v>
      </c>
      <c r="D34" s="4" t="s">
        <v>23</v>
      </c>
      <c r="E34" s="4" t="s">
        <v>8</v>
      </c>
      <c r="F34" s="4" t="s">
        <v>27</v>
      </c>
      <c r="G34" s="4" t="s">
        <v>27</v>
      </c>
      <c r="H34" s="4" t="s">
        <v>19</v>
      </c>
      <c r="I34" s="4" t="s">
        <v>23</v>
      </c>
      <c r="J34" s="4" t="s">
        <v>63</v>
      </c>
      <c r="K34" s="4" t="s">
        <v>63</v>
      </c>
      <c r="L34" s="4" t="s">
        <v>27</v>
      </c>
    </row>
    <row r="35" ht="31.5" customHeight="1">
      <c r="A35" s="15" t="s">
        <v>148</v>
      </c>
      <c r="B35" s="5" t="s">
        <v>142</v>
      </c>
      <c r="C35" s="5" t="s">
        <v>149</v>
      </c>
      <c r="D35" s="4" t="s">
        <v>30</v>
      </c>
      <c r="E35" s="4" t="s">
        <v>23</v>
      </c>
      <c r="F35" s="4" t="s">
        <v>23</v>
      </c>
      <c r="G35" s="4" t="s">
        <v>23</v>
      </c>
      <c r="H35" s="4" t="s">
        <v>63</v>
      </c>
      <c r="I35" s="4" t="s">
        <v>63</v>
      </c>
      <c r="J35" s="4" t="s">
        <v>23</v>
      </c>
      <c r="K35" s="4" t="s">
        <v>23</v>
      </c>
      <c r="L35" s="4" t="s">
        <v>27</v>
      </c>
    </row>
    <row r="36" ht="31.5" customHeight="1">
      <c r="A36" s="15" t="s">
        <v>150</v>
      </c>
      <c r="B36" s="5" t="s">
        <v>142</v>
      </c>
      <c r="C36" s="5" t="s">
        <v>151</v>
      </c>
      <c r="D36" s="4" t="s">
        <v>8</v>
      </c>
      <c r="E36" s="4" t="s">
        <v>30</v>
      </c>
      <c r="F36" s="4" t="s">
        <v>23</v>
      </c>
      <c r="G36" s="4" t="s">
        <v>27</v>
      </c>
      <c r="H36" s="4" t="s">
        <v>63</v>
      </c>
      <c r="I36" s="4" t="s">
        <v>23</v>
      </c>
      <c r="J36" s="4" t="s">
        <v>63</v>
      </c>
      <c r="K36" s="4" t="s">
        <v>63</v>
      </c>
      <c r="L36" s="4" t="s">
        <v>27</v>
      </c>
    </row>
    <row r="37" ht="31.5" customHeight="1">
      <c r="A37" s="15" t="s">
        <v>152</v>
      </c>
      <c r="B37" s="5" t="s">
        <v>142</v>
      </c>
      <c r="C37" s="5" t="s">
        <v>153</v>
      </c>
      <c r="D37" s="4" t="s">
        <v>8</v>
      </c>
      <c r="E37" s="4" t="s">
        <v>8</v>
      </c>
      <c r="F37" s="4" t="s">
        <v>8</v>
      </c>
      <c r="G37" s="4" t="s">
        <v>23</v>
      </c>
      <c r="H37" s="4" t="s">
        <v>27</v>
      </c>
      <c r="I37" s="4" t="s">
        <v>27</v>
      </c>
      <c r="J37" s="4" t="s">
        <v>63</v>
      </c>
      <c r="K37" s="4" t="s">
        <v>63</v>
      </c>
      <c r="L37" s="4" t="s">
        <v>19</v>
      </c>
    </row>
  </sheetData>
  <mergeCells count="6">
    <mergeCell ref="A1:L1"/>
    <mergeCell ref="A2:L2"/>
    <mergeCell ref="A3:L3"/>
    <mergeCell ref="A4:L4"/>
    <mergeCell ref="A5:C5"/>
    <mergeCell ref="D5:L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88"/>
    <col customWidth="1" min="2" max="6" width="17.63"/>
    <col customWidth="1" min="7" max="7" width="3.25"/>
    <col customWidth="1" min="8" max="8" width="26.38"/>
    <col customWidth="1" min="9" max="9" width="30.75"/>
  </cols>
  <sheetData>
    <row r="1" ht="28.5" customHeight="1">
      <c r="A1" s="1" t="s">
        <v>0</v>
      </c>
    </row>
    <row r="2" ht="22.5" customHeight="1">
      <c r="A2" s="2"/>
      <c r="B2" s="2"/>
      <c r="C2" s="2"/>
      <c r="D2" s="2"/>
      <c r="E2" s="2"/>
      <c r="F2" s="2"/>
      <c r="G2" s="2"/>
      <c r="H2" s="3" t="s">
        <v>4</v>
      </c>
      <c r="I2" s="3" t="s">
        <v>7</v>
      </c>
    </row>
    <row r="3" ht="34.5" customHeight="1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2"/>
      <c r="H3" s="5" t="s">
        <v>16</v>
      </c>
      <c r="I3" s="5">
        <v>31.0</v>
      </c>
    </row>
    <row r="4" ht="34.5" customHeight="1">
      <c r="A4" s="5" t="s">
        <v>20</v>
      </c>
      <c r="B4" s="13">
        <f>COUNTIF('Matriz RACI'!$D$7:$D$37,"R")+COUNTIF('Matriz RACI'!$D$7:$D$37,"R/A")</f>
        <v>26</v>
      </c>
      <c r="C4" s="13">
        <f>COUNTIF('Matriz RACI'!$D$7:$D$37,"A")+COUNTIF('Matriz RACI'!$D$7:$D$37,"R/A")</f>
        <v>18</v>
      </c>
      <c r="D4" s="13">
        <f>COUNTIF('Matriz RACI'!$D$7:$D$37,"C")</f>
        <v>5</v>
      </c>
      <c r="E4" s="13">
        <f>COUNTIF('Matriz RACI'!$D$7:$D$37,"I")</f>
        <v>0</v>
      </c>
      <c r="F4" s="13">
        <f t="shared" ref="F4:F12" si="1">SUM(B4:E4)</f>
        <v>49</v>
      </c>
      <c r="G4" s="2"/>
      <c r="H4" s="5" t="s">
        <v>83</v>
      </c>
      <c r="I4" s="5">
        <v>9.0</v>
      </c>
    </row>
    <row r="5" ht="34.5" customHeight="1">
      <c r="A5" s="5" t="s">
        <v>85</v>
      </c>
      <c r="B5" s="13">
        <f>COUNTIF('Matriz RACI'!$E$7:$E$37,"R")+COUNTIF('Matriz RACI'!$E$7:$E$37,"R/A")</f>
        <v>16</v>
      </c>
      <c r="C5" s="13">
        <f>COUNTIF('Matriz RACI'!$E$7:$E$37,"A")+COUNTIF('Matriz RACI'!$E$7:$E$37,"R/A")</f>
        <v>5</v>
      </c>
      <c r="D5" s="13">
        <f>COUNTIF('Matriz RACI'!$E$7:$E$37,"C")</f>
        <v>14</v>
      </c>
      <c r="E5" s="13">
        <f>COUNTIF('Matriz RACI'!$E$7:$E$37,"I")</f>
        <v>1</v>
      </c>
      <c r="F5" s="13">
        <f t="shared" si="1"/>
        <v>36</v>
      </c>
      <c r="G5" s="2"/>
      <c r="H5" s="5" t="s">
        <v>106</v>
      </c>
      <c r="I5" s="5" t="s">
        <v>108</v>
      </c>
    </row>
    <row r="6" ht="34.5" customHeight="1">
      <c r="A6" s="5" t="s">
        <v>110</v>
      </c>
      <c r="B6" s="13">
        <f>COUNTIF('Matriz RACI'!$F$7:$F$37,"R")+COUNTIF('Matriz RACI'!$F$7:$F$37,"R/A")</f>
        <v>13</v>
      </c>
      <c r="C6" s="13">
        <f>COUNTIF('Matriz RACI'!$F$7:$F$37,"A")+COUNTIF('Matriz RACI'!$F$7:$F$37,"R/A")</f>
        <v>1</v>
      </c>
      <c r="D6" s="13">
        <f>COUNTIF('Matriz RACI'!$F$7:$F$37,"C")</f>
        <v>15</v>
      </c>
      <c r="E6" s="13">
        <f>COUNTIF('Matriz RACI'!$F$7:$F$37,"I")</f>
        <v>3</v>
      </c>
      <c r="F6" s="13">
        <f t="shared" si="1"/>
        <v>32</v>
      </c>
      <c r="G6" s="2"/>
      <c r="H6" s="5" t="s">
        <v>135</v>
      </c>
      <c r="I6" s="5" t="s">
        <v>136</v>
      </c>
    </row>
    <row r="7" ht="34.5" customHeight="1">
      <c r="A7" s="5" t="s">
        <v>137</v>
      </c>
      <c r="B7" s="13">
        <f>COUNTIF('Matriz RACI'!$G$7:$G$37,"R")+COUNTIF('Matriz RACI'!$G$7:$G$37,"R/A")</f>
        <v>0</v>
      </c>
      <c r="C7" s="13">
        <f>COUNTIF('Matriz RACI'!$G$7:$G$37,"A")+COUNTIF('Matriz RACI'!$G$7:$G$37,"R/A")</f>
        <v>4</v>
      </c>
      <c r="D7" s="13">
        <f>COUNTIF('Matriz RACI'!$G$7:$G$37,"C")</f>
        <v>10</v>
      </c>
      <c r="E7" s="13">
        <f>COUNTIF('Matriz RACI'!$G$7:$G$37,"I")</f>
        <v>17</v>
      </c>
      <c r="F7" s="13">
        <f t="shared" si="1"/>
        <v>31</v>
      </c>
      <c r="G7" s="2"/>
      <c r="H7" s="2"/>
      <c r="I7" s="2"/>
    </row>
    <row r="8" ht="34.5" customHeight="1">
      <c r="A8" s="5" t="s">
        <v>154</v>
      </c>
      <c r="B8" s="13">
        <f>COUNTIF('Matriz RACI'!$H$7:$H$37,"R")+COUNTIF('Matriz RACI'!$H$7:$H$37,"R/A")</f>
        <v>0</v>
      </c>
      <c r="C8" s="13">
        <f>COUNTIF('Matriz RACI'!$H$7:$H$37,"A")+COUNTIF('Matriz RACI'!$H$7:$H$37,"R/A")</f>
        <v>2</v>
      </c>
      <c r="D8" s="13">
        <f>COUNTIF('Matriz RACI'!$H$7:$H$37,"C")</f>
        <v>1</v>
      </c>
      <c r="E8" s="13">
        <f>COUNTIF('Matriz RACI'!$H$7:$H$37,"I")</f>
        <v>2</v>
      </c>
      <c r="F8" s="13">
        <f t="shared" si="1"/>
        <v>5</v>
      </c>
      <c r="G8" s="2"/>
      <c r="H8" s="2"/>
      <c r="I8" s="2"/>
    </row>
    <row r="9" ht="34.5" customHeight="1">
      <c r="A9" s="5" t="s">
        <v>155</v>
      </c>
      <c r="B9" s="13">
        <f>COUNTIF('Matriz RACI'!$I$7:$I$37,"R")+COUNTIF('Matriz RACI'!$I$7:$I$37,"R/A")</f>
        <v>0</v>
      </c>
      <c r="C9" s="13">
        <f>COUNTIF('Matriz RACI'!$I$7:$I$37,"A")+COUNTIF('Matriz RACI'!$I$7:$I$37,"R/A")</f>
        <v>0</v>
      </c>
      <c r="D9" s="13">
        <f>COUNTIF('Matriz RACI'!$I$7:$I$37,"C")</f>
        <v>7</v>
      </c>
      <c r="E9" s="13">
        <f>COUNTIF('Matriz RACI'!$I$7:$I$37,"I")</f>
        <v>1</v>
      </c>
      <c r="F9" s="13">
        <f t="shared" si="1"/>
        <v>8</v>
      </c>
      <c r="G9" s="2"/>
      <c r="H9" s="2"/>
      <c r="I9" s="2"/>
    </row>
    <row r="10" ht="34.5" customHeight="1">
      <c r="A10" s="5" t="s">
        <v>156</v>
      </c>
      <c r="B10" s="13">
        <f>COUNTIF('Matriz RACI'!$J$7:$J$37,"R")+COUNTIF('Matriz RACI'!$J$7:$J$37,"R/A")</f>
        <v>0</v>
      </c>
      <c r="C10" s="13">
        <f>COUNTIF('Matriz RACI'!$J$7:$J$37,"A")+COUNTIF('Matriz RACI'!$J$7:$J$37,"R/A")</f>
        <v>0</v>
      </c>
      <c r="D10" s="13">
        <f>COUNTIF('Matriz RACI'!$J$7:$J$37,"C")</f>
        <v>7</v>
      </c>
      <c r="E10" s="13">
        <f>COUNTIF('Matriz RACI'!$J$7:$J$37,"I")</f>
        <v>3</v>
      </c>
      <c r="F10" s="13">
        <f t="shared" si="1"/>
        <v>10</v>
      </c>
      <c r="G10" s="2"/>
      <c r="H10" s="2"/>
      <c r="I10" s="2"/>
    </row>
    <row r="11" ht="34.5" customHeight="1">
      <c r="A11" s="5" t="s">
        <v>157</v>
      </c>
      <c r="B11" s="13">
        <f>COUNTIF('Matriz RACI'!$K$7:$K$37,"R")+COUNTIF('Matriz RACI'!$K$7:$K$37,"R/A")</f>
        <v>0</v>
      </c>
      <c r="C11" s="13">
        <f>COUNTIF('Matriz RACI'!$K$7:$K$37,"A")+COUNTIF('Matriz RACI'!$K$7:$K$37,"R/A")</f>
        <v>0</v>
      </c>
      <c r="D11" s="13">
        <f>COUNTIF('Matriz RACI'!$K$7:$K$37,"C")</f>
        <v>8</v>
      </c>
      <c r="E11" s="13">
        <f>COUNTIF('Matriz RACI'!$K$7:$K$37,"I")</f>
        <v>2</v>
      </c>
      <c r="F11" s="13">
        <f t="shared" si="1"/>
        <v>10</v>
      </c>
      <c r="G11" s="2"/>
      <c r="H11" s="2"/>
      <c r="I11" s="2"/>
    </row>
    <row r="12" ht="34.5" customHeight="1">
      <c r="A12" s="5" t="s">
        <v>158</v>
      </c>
      <c r="B12" s="13">
        <f>COUNTIF('Matriz RACI'!$L$7:$L$37,"R")+COUNTIF('Matriz RACI'!$L$7:$L$37,"R/A")</f>
        <v>0</v>
      </c>
      <c r="C12" s="13">
        <f>COUNTIF('Matriz RACI'!$L$7:$L$37,"A")+COUNTIF('Matriz RACI'!$L$7:$L$37,"R/A")</f>
        <v>1</v>
      </c>
      <c r="D12" s="13">
        <f>COUNTIF('Matriz RACI'!$L$7:$L$37,"C")</f>
        <v>2</v>
      </c>
      <c r="E12" s="13">
        <f>COUNTIF('Matriz RACI'!$L$7:$L$37,"I")</f>
        <v>28</v>
      </c>
      <c r="F12" s="13">
        <f t="shared" si="1"/>
        <v>31</v>
      </c>
      <c r="G12" s="2"/>
      <c r="H12" s="2"/>
      <c r="I12" s="2"/>
    </row>
  </sheetData>
  <mergeCells count="1">
    <mergeCell ref="A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13"/>
    <col customWidth="1" min="2" max="2" width="38.88"/>
    <col customWidth="1" min="3" max="3" width="75.13"/>
  </cols>
  <sheetData>
    <row r="1" ht="28.5" customHeight="1">
      <c r="A1" s="1" t="s">
        <v>2</v>
      </c>
    </row>
    <row r="2" ht="22.5" customHeight="1">
      <c r="A2" s="2"/>
      <c r="B2" s="2"/>
      <c r="C2" s="2"/>
    </row>
    <row r="3" ht="22.5" customHeight="1">
      <c r="A3" s="3" t="s">
        <v>3</v>
      </c>
      <c r="B3" s="3" t="s">
        <v>5</v>
      </c>
      <c r="C3" s="3" t="s">
        <v>6</v>
      </c>
    </row>
    <row r="4" ht="41.25" customHeight="1">
      <c r="A4" s="4" t="s">
        <v>8</v>
      </c>
      <c r="B4" s="4" t="s">
        <v>15</v>
      </c>
      <c r="C4" s="5" t="s">
        <v>17</v>
      </c>
    </row>
    <row r="5" ht="41.25" customHeight="1">
      <c r="A5" s="4" t="s">
        <v>19</v>
      </c>
      <c r="B5" s="4" t="s">
        <v>21</v>
      </c>
      <c r="C5" s="5" t="s">
        <v>22</v>
      </c>
    </row>
    <row r="6" ht="41.25" customHeight="1">
      <c r="A6" s="4" t="s">
        <v>23</v>
      </c>
      <c r="B6" s="4" t="s">
        <v>24</v>
      </c>
      <c r="C6" s="5" t="s">
        <v>25</v>
      </c>
    </row>
    <row r="7" ht="41.25" customHeight="1">
      <c r="A7" s="4" t="s">
        <v>27</v>
      </c>
      <c r="B7" s="4" t="s">
        <v>28</v>
      </c>
      <c r="C7" s="5" t="s">
        <v>29</v>
      </c>
    </row>
    <row r="8" ht="41.25" customHeight="1">
      <c r="A8" s="4" t="s">
        <v>30</v>
      </c>
      <c r="B8" s="4" t="s">
        <v>31</v>
      </c>
      <c r="C8" s="5" t="s">
        <v>32</v>
      </c>
    </row>
    <row r="9" ht="22.5" customHeight="1">
      <c r="A9" s="2"/>
      <c r="B9" s="2"/>
      <c r="C9" s="2"/>
    </row>
    <row r="10" ht="22.5" customHeight="1">
      <c r="A10" s="3" t="s">
        <v>34</v>
      </c>
      <c r="B10" s="8" t="s">
        <v>35</v>
      </c>
      <c r="C10" s="10"/>
    </row>
    <row r="11" ht="43.5" customHeight="1">
      <c r="A11" s="4" t="s">
        <v>37</v>
      </c>
      <c r="B11" s="12" t="s">
        <v>38</v>
      </c>
      <c r="C11" s="10"/>
    </row>
    <row r="12" ht="43.5" customHeight="1">
      <c r="A12" s="4" t="s">
        <v>40</v>
      </c>
      <c r="B12" s="12" t="s">
        <v>41</v>
      </c>
      <c r="C12" s="10"/>
    </row>
    <row r="13" ht="43.5" customHeight="1">
      <c r="A13" s="4" t="s">
        <v>42</v>
      </c>
      <c r="B13" s="14" t="s">
        <v>43</v>
      </c>
      <c r="C13" s="10"/>
    </row>
    <row r="14" ht="43.5" customHeight="1">
      <c r="A14" s="4" t="s">
        <v>56</v>
      </c>
      <c r="B14" s="12" t="s">
        <v>57</v>
      </c>
      <c r="C14" s="10"/>
    </row>
    <row r="15" ht="43.5" customHeight="1">
      <c r="A15" s="4" t="s">
        <v>61</v>
      </c>
      <c r="B15" s="12" t="s">
        <v>62</v>
      </c>
      <c r="C15" s="10"/>
    </row>
    <row r="16" ht="43.5" customHeight="1">
      <c r="A16" s="4" t="s">
        <v>64</v>
      </c>
      <c r="B16" s="12" t="s">
        <v>65</v>
      </c>
      <c r="C16" s="10"/>
    </row>
    <row r="17" ht="22.5" customHeight="1">
      <c r="A17" s="2"/>
      <c r="B17" s="2"/>
    </row>
    <row r="18" ht="22.5" customHeight="1">
      <c r="A18" s="3" t="s">
        <v>70</v>
      </c>
      <c r="B18" s="8" t="s">
        <v>72</v>
      </c>
      <c r="C18" s="10"/>
    </row>
    <row r="19" ht="31.5" customHeight="1">
      <c r="A19" s="4" t="s">
        <v>74</v>
      </c>
      <c r="B19" s="12" t="s">
        <v>75</v>
      </c>
      <c r="C19" s="10"/>
    </row>
    <row r="20" ht="31.5" customHeight="1">
      <c r="A20" s="4" t="s">
        <v>79</v>
      </c>
      <c r="B20" s="12" t="s">
        <v>80</v>
      </c>
      <c r="C20" s="10"/>
    </row>
    <row r="21" ht="31.5" customHeight="1">
      <c r="A21" s="4" t="s">
        <v>82</v>
      </c>
      <c r="B21" s="12" t="s">
        <v>84</v>
      </c>
      <c r="C21" s="10"/>
    </row>
    <row r="22" ht="31.5" customHeight="1">
      <c r="A22" s="4" t="s">
        <v>86</v>
      </c>
      <c r="B22" s="12" t="s">
        <v>87</v>
      </c>
      <c r="C22" s="10"/>
    </row>
    <row r="23" ht="31.5" customHeight="1">
      <c r="A23" s="4" t="s">
        <v>90</v>
      </c>
      <c r="B23" s="12" t="s">
        <v>91</v>
      </c>
      <c r="C23" s="10"/>
    </row>
  </sheetData>
  <mergeCells count="15">
    <mergeCell ref="B16:C16"/>
    <mergeCell ref="B17:C17"/>
    <mergeCell ref="B18:C18"/>
    <mergeCell ref="B19:C19"/>
    <mergeCell ref="B20:C20"/>
    <mergeCell ref="B21:C21"/>
    <mergeCell ref="B22:C22"/>
    <mergeCell ref="B23:C23"/>
    <mergeCell ref="A1:C1"/>
    <mergeCell ref="B10:C10"/>
    <mergeCell ref="B11:C11"/>
    <mergeCell ref="B12:C12"/>
    <mergeCell ref="B13:C13"/>
    <mergeCell ref="B14:C14"/>
    <mergeCell ref="B15:C15"/>
  </mergeCells>
  <drawing r:id="rId1"/>
</worksheet>
</file>