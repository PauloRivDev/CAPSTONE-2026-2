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" sheetId="1" r:id="rId5"/>
    <sheet state="visible" name="Planning Poker" sheetId="2" r:id="rId6"/>
    <sheet state="visible" name="Criterios P-I" sheetId="3" r:id="rId7"/>
    <sheet state="visible" name="Resumen" sheetId="4" r:id="rId8"/>
  </sheets>
  <definedNames/>
  <calcPr/>
</workbook>
</file>

<file path=xl/sharedStrings.xml><?xml version="1.0" encoding="utf-8"?>
<sst xmlns="http://schemas.openxmlformats.org/spreadsheetml/2006/main" count="1121" uniqueCount="470">
  <si>
    <t>MATRIZ DE EVALUACION DE RIESGOS</t>
  </si>
  <si>
    <t>ESTIMACION DE RIESGOS</t>
  </si>
  <si>
    <t>#</t>
  </si>
  <si>
    <t>METODO Y CRITERIOS DE ESTIMACION</t>
  </si>
  <si>
    <t>MÉTODO</t>
  </si>
  <si>
    <t>Clave Jira</t>
  </si>
  <si>
    <t>ID Riesgo</t>
  </si>
  <si>
    <t>Categoría</t>
  </si>
  <si>
    <t>Descripción</t>
  </si>
  <si>
    <t>Planning Poker simplificado para estimación relativa de riesgos</t>
  </si>
  <si>
    <t>Riesgo</t>
  </si>
  <si>
    <t>Mauricio</t>
  </si>
  <si>
    <t>PUNTAJE FINAL AUTOMÁTICO</t>
  </si>
  <si>
    <t>Causa del Riesgo</t>
  </si>
  <si>
    <t>Paulo</t>
  </si>
  <si>
    <t>Alexander</t>
  </si>
  <si>
    <t>RESULTADO</t>
  </si>
  <si>
    <t>Prioridad</t>
  </si>
  <si>
    <t>Puntaje Final</t>
  </si>
  <si>
    <t>Severidad</t>
  </si>
  <si>
    <t>Severidad P×I</t>
  </si>
  <si>
    <t>Objetivo</t>
  </si>
  <si>
    <t>Probabilidad</t>
  </si>
  <si>
    <t>Impacto</t>
  </si>
  <si>
    <t>Observación</t>
  </si>
  <si>
    <t>Cada integrante selecciona una carta y el Puntaje Final se calcula automáticamente a partir de los votos disponibles.</t>
  </si>
  <si>
    <t>Naturaleza</t>
  </si>
  <si>
    <t>P Final 1–5</t>
  </si>
  <si>
    <t>Estrategia</t>
  </si>
  <si>
    <t>Mauricio I</t>
  </si>
  <si>
    <t>5 · 5 · —</t>
  </si>
  <si>
    <t>Paulo I</t>
  </si>
  <si>
    <t>5</t>
  </si>
  <si>
    <t>Participantes</t>
  </si>
  <si>
    <t>Mauricio Zenteno, Paulo Rivas y Alexander López.</t>
  </si>
  <si>
    <t>BSB-49</t>
  </si>
  <si>
    <t>3 · 5 · —</t>
  </si>
  <si>
    <t>1.1.1</t>
  </si>
  <si>
    <t>requisitos funcionales ambiguos o incompletos</t>
  </si>
  <si>
    <t>Relación con Jira</t>
  </si>
  <si>
    <t>La Probabilidad, Impacto y prioridad operativa permanecen en Jira/Matriz de Riesgos. Planning Poker registra una estimación relativa colaborativa y no sustituye P×I.</t>
  </si>
  <si>
    <t>3 · 5 · 8</t>
  </si>
  <si>
    <t>Paso 1</t>
  </si>
  <si>
    <t>Leer el riesgo, su causa, consecuencia, categoría RBS y etapa EDT afectada.</t>
  </si>
  <si>
    <t>Estado del Riesgo</t>
  </si>
  <si>
    <t>8 · 13 · —</t>
  </si>
  <si>
    <t>13</t>
  </si>
  <si>
    <t>Acción de Mitigación</t>
  </si>
  <si>
    <t>Paso 2</t>
  </si>
  <si>
    <t>Seguimiento</t>
  </si>
  <si>
    <t>Mauricio, Paulo y Alexander votan usando 0, ½, 1, 2, 3, 5, 8, 13, 20, 40, 100, ? o ∞.</t>
  </si>
  <si>
    <t>Etapa Afectada (EDT)</t>
  </si>
  <si>
    <t>Dos votos iguales</t>
  </si>
  <si>
    <t>Responsable</t>
  </si>
  <si>
    <t>Conserva ese valor</t>
  </si>
  <si>
    <t>Aprobador</t>
  </si>
  <si>
    <t>Paso 3</t>
  </si>
  <si>
    <t>Consultado</t>
  </si>
  <si>
    <t>El Puntaje Final aparece automáticamente cuando existen al menos dos votos.</t>
  </si>
  <si>
    <t>Informado</t>
  </si>
  <si>
    <t>Dos votos distintos</t>
  </si>
  <si>
    <t>Persona Asignada</t>
  </si>
  <si>
    <t>Mediana y carta superior</t>
  </si>
  <si>
    <t>Paso 4</t>
  </si>
  <si>
    <t>Se usa la mediana de los votos disponibles. Si queda entre dos cartas, se toma la carta superior para no subestimar el riesgo.</t>
  </si>
  <si>
    <t>? o ∞</t>
  </si>
  <si>
    <t>REVISAR</t>
  </si>
  <si>
    <t>Paso 5</t>
  </si>
  <si>
    <t>Requisitos y alcance</t>
  </si>
  <si>
    <t>Si aparece ? o ∞, el resultado queda como REVISAR y el equipo debe discutir el riesgo antes de fijar la estimación.</t>
  </si>
  <si>
    <t>Menos de 2 votos</t>
  </si>
  <si>
    <t>Posibilidad de requisitos funcionales ambiguos o incompletos, afectando la calidad, plazo o trazabilidad del trabajo asociado a requisitos y alcance.</t>
  </si>
  <si>
    <t>Levantamiento incompleto, lenguaje ambiguo o información operacional todavía no confirmada.</t>
  </si>
  <si>
    <t>Sin puntaje final</t>
  </si>
  <si>
    <t>HIGH</t>
  </si>
  <si>
    <t>Paso 6</t>
  </si>
  <si>
    <t>El resultado se usa como evidencia de estimación del equipo y se contrasta con P/I y prioridad registrados en Jira.</t>
  </si>
  <si>
    <t>Posible</t>
  </si>
  <si>
    <t>Baraja</t>
  </si>
  <si>
    <t>Significativo</t>
  </si>
  <si>
    <t>0 · ½ · 1 · 2 · 3 · 5 · 8 · 13 · 20 · 40 · 100 · ? · ∞</t>
  </si>
  <si>
    <t>Amenaza</t>
  </si>
  <si>
    <t>Paso 7</t>
  </si>
  <si>
    <t>Mitigar</t>
  </si>
  <si>
    <t>El riesgo residual solo se modifica cuando exista evidencia de que la mitigación redujo la exposición.</t>
  </si>
  <si>
    <t>Por hacer</t>
  </si>
  <si>
    <t>Uso</t>
  </si>
  <si>
    <t>Refinar RF/RNF con ejemplos y criterios verificables; registrar dudas y validar con Bomberos antes de comprometer el trabajo.</t>
  </si>
  <si>
    <t>KRI de requisitos sin aclarar; revisar en Refinement y antes del Sprint Planning.</t>
  </si>
  <si>
    <t>Estimación relativa; no reemplaza Probabilidad × Impacto de Jira.</t>
  </si>
  <si>
    <t>Valor</t>
  </si>
  <si>
    <t>Criterio</t>
  </si>
  <si>
    <t>Remota</t>
  </si>
  <si>
    <t>Condiciones conocidas hacen muy difícil su ocurrencia.</t>
  </si>
  <si>
    <t>1.1.2 Requerimientos RF y RNF / 1.2.2 Product Backlog</t>
  </si>
  <si>
    <t>Mauricio Zenteno</t>
  </si>
  <si>
    <t>Comandancia CBSB</t>
  </si>
  <si>
    <t>Menor</t>
  </si>
  <si>
    <t>Efecto soportable sin comprometer criterios esenciales.</t>
  </si>
  <si>
    <t>Improbable</t>
  </si>
  <si>
    <t>Hay controles o pocas señales de ocurrencia.</t>
  </si>
  <si>
    <t>Documentación / Requerimientos</t>
  </si>
  <si>
    <t>Scrum Team</t>
  </si>
  <si>
    <t>Bajo</t>
  </si>
  <si>
    <t>Ajuste localizado de bajo efecto sobre el incremento.</t>
  </si>
  <si>
    <t>Existen antecedentes o incertidumbre relevante.</t>
  </si>
  <si>
    <t>Moderado</t>
  </si>
  <si>
    <t>retraso puede afectar una función.</t>
  </si>
  <si>
    <t>Probable</t>
  </si>
  <si>
    <t>Existen señales claras o controles débiles.</t>
  </si>
  <si>
    <t>Amenaza el Sprint Goal, integridad o una validación importante.</t>
  </si>
  <si>
    <t>Consenso vigente tomado del Risk Register de Jira; votos individuales pendientes si se requiere evidencia detallada de la sesión.</t>
  </si>
  <si>
    <t>Muy probable</t>
  </si>
  <si>
    <t>Las condiciones de ocurrencia están presentes.</t>
  </si>
  <si>
    <t>Severo</t>
  </si>
  <si>
    <t>Compromete continuidad, seguridad crítica o viabilidad del objetivo.</t>
  </si>
  <si>
    <t>Prefijo RBS</t>
  </si>
  <si>
    <t>1–4</t>
  </si>
  <si>
    <t>LOW / Bajo</t>
  </si>
  <si>
    <t>1.1</t>
  </si>
  <si>
    <t>5–9</t>
  </si>
  <si>
    <t>MEDIUM / Medio</t>
  </si>
  <si>
    <t>1.2</t>
  </si>
  <si>
    <t>Técnico y arquitectura</t>
  </si>
  <si>
    <t>10–16</t>
  </si>
  <si>
    <t>HIGH / Alto</t>
  </si>
  <si>
    <t>1.3</t>
  </si>
  <si>
    <t>Seguridad y acceso</t>
  </si>
  <si>
    <t>17–25</t>
  </si>
  <si>
    <t>HIGHEST / Crítico</t>
  </si>
  <si>
    <t>BSB-50</t>
  </si>
  <si>
    <t>1.4</t>
  </si>
  <si>
    <t>1.1.2</t>
  </si>
  <si>
    <t>Gestión Scrum y planificación</t>
  </si>
  <si>
    <t>cambios de alcance durante los Sprint</t>
  </si>
  <si>
    <t>1.5</t>
  </si>
  <si>
    <t>Equipo</t>
  </si>
  <si>
    <t>RIESGOS</t>
  </si>
  <si>
    <t>1.6</t>
  </si>
  <si>
    <t>Indicador</t>
  </si>
  <si>
    <t>Operación</t>
  </si>
  <si>
    <t>1.7</t>
  </si>
  <si>
    <t>Cantidad</t>
  </si>
  <si>
    <t>Calidad y pruebas</t>
  </si>
  <si>
    <t>Total riesgos</t>
  </si>
  <si>
    <t>1.8</t>
  </si>
  <si>
    <t>Infraestructura y despliegue</t>
  </si>
  <si>
    <t>HIGHEST</t>
  </si>
  <si>
    <t>1.9</t>
  </si>
  <si>
    <t>Externos e institucionales</t>
  </si>
  <si>
    <t>MEDIUM</t>
  </si>
  <si>
    <t>Riesgos</t>
  </si>
  <si>
    <t>Categoría RBS</t>
  </si>
  <si>
    <t>Paulo Rivas</t>
  </si>
  <si>
    <t>Alexander López</t>
  </si>
  <si>
    <t>BSB-51</t>
  </si>
  <si>
    <t>1.1.3</t>
  </si>
  <si>
    <t>reglas operativas no validadas con Bomberos</t>
  </si>
  <si>
    <t>Posibilidad de cambios de alcance durante los Sprint, afectando la calidad, plazo o trazabilidad del trabajo asociado a requisitos y alcance.</t>
  </si>
  <si>
    <t>Nuevas necesidades o cambios operativos detectados después de ordenar el backlog.</t>
  </si>
  <si>
    <t>Canalizar cambios por Product Owner, registrar impacto y reordenar el Product Backlog sin alterar el Sprint en curso salvo necesidad crítica.</t>
  </si>
  <si>
    <t>KRI de cambios de alcance; revisar por Sprint y registrar decisión e impacto.</t>
  </si>
  <si>
    <t>1.2.2 Product Backlog / 1.5–1.8 Sprints</t>
  </si>
  <si>
    <t>BSB-52</t>
  </si>
  <si>
    <t>1.1.4</t>
  </si>
  <si>
    <t>criterios de aceptacion insuficientes</t>
  </si>
  <si>
    <t>BSB-53</t>
  </si>
  <si>
    <t>1.2.1</t>
  </si>
  <si>
    <t>integracion deficiente entre frontend y backend</t>
  </si>
  <si>
    <t>Posibilidad de reglas operativas no validadas con Bomberos, afectando la calidad, plazo o trazabilidad del trabajo asociado a requisitos y alcance.</t>
  </si>
  <si>
    <t>Reglas reales de inventario, préstamos, unidades o mantenimiento no confirmadas con bomberos</t>
  </si>
  <si>
    <t>BSB-54</t>
  </si>
  <si>
    <t>1.2.2</t>
  </si>
  <si>
    <t>modelo de datos incompleto o incorrecto</t>
  </si>
  <si>
    <t>Mantener reglas pendientes visibles, validar con responsables de Bomberos y no convertir supuestos en requisitos definitivos.</t>
  </si>
  <si>
    <t>KRI de reglas operativas sin validar; revisar antes de implementar cada flujo afectado.</t>
  </si>
  <si>
    <t>1.1.2 Requerimientos RF y RNF / 1.9.2 Validación con Bomberos</t>
  </si>
  <si>
    <t>Área operativa CBSB</t>
  </si>
  <si>
    <t>BSB-55</t>
  </si>
  <si>
    <t>1.2.3</t>
  </si>
  <si>
    <t>inconsistencias en carga inicial de datos</t>
  </si>
  <si>
    <t>Posibilidad de criterios de aceptacion insuficientes, afectando la calidad, plazo o trazabilidad del trabajo asociado a requisitos y alcance.</t>
  </si>
  <si>
    <t>Historias redactadas con condiciones incompletas o sin cubrir escenarios alternativos y permisos.</t>
  </si>
  <si>
    <t>BSB-56</t>
  </si>
  <si>
    <t>1.2.4</t>
  </si>
  <si>
    <t>problemas de rendimiento en consultas y reportes</t>
  </si>
  <si>
    <t>Refinar criterios con escenarios positivos, negativos y de autorización; vincularlos a RF/RNF y pruebas.</t>
  </si>
  <si>
    <t>Revisar historias candidatas en Refinement y verificar criterios antes de estimar.</t>
  </si>
  <si>
    <t>1.2.2 Product Backlog / 1.4.4 Trazabilidad y evidencias</t>
  </si>
  <si>
    <t>BSB-57</t>
  </si>
  <si>
    <t>1.2.5</t>
  </si>
  <si>
    <t>fallas al modificar el esquema de datos</t>
  </si>
  <si>
    <t>BSB-58</t>
  </si>
  <si>
    <t>1.3.1</t>
  </si>
  <si>
    <t>acceso a informacion de otra compañia</t>
  </si>
  <si>
    <t>Posibilidad de integracion deficiente entre frontend y backend, afectando la calidad, plazo o trazabilidad del trabajo asociado a técnico y arquitectura.</t>
  </si>
  <si>
    <t>Contratos de datos, vistas o lógica no coordinados entre frontend y backend.</t>
  </si>
  <si>
    <t>Acordar interfaces internas, integrar de forma frecuente y probar cada flujo completo dentro del Sprint.</t>
  </si>
  <si>
    <t>KRI de integración; registrar fallas tempranas y comprobar integración en DoD.</t>
  </si>
  <si>
    <t>1.3.1 Arquitectura de componentes / 1.5.6–1.8.6 Integración, pruebas y DoD</t>
  </si>
  <si>
    <t>Equipo Capstone</t>
  </si>
  <si>
    <t>Backend</t>
  </si>
  <si>
    <t>BSB-59</t>
  </si>
  <si>
    <t>1.3.2</t>
  </si>
  <si>
    <t>permisos incorrectos por rol</t>
  </si>
  <si>
    <t>Posibilidad de modelo de datos incompleto o incorrecto, afectando la calidad, plazo o trazabilidad del trabajo asociado a técnico y arquitectura.</t>
  </si>
  <si>
    <t>Entidades, relaciones o restricciones no representan correctamente las reglas del CBSB.</t>
  </si>
  <si>
    <t>Validar modelo de dominio y datos contra RF/RNF, casos de uso y planillas reales antes de migraciones definitivas.</t>
  </si>
  <si>
    <t>Revisión del modelo por incremento y control de inconsistencias detectadas en pruebas.</t>
  </si>
  <si>
    <t>1.3.3 Modelo de datos</t>
  </si>
  <si>
    <t>BSB-60</t>
  </si>
  <si>
    <t>1.3.3</t>
  </si>
  <si>
    <t>acceso no autorizado al sistema</t>
  </si>
  <si>
    <t>Posibilidad de inconsistencias en carga inicial de datos, afectando la calidad, plazo o trazabilidad del trabajo asociado a técnico y arquitectura.</t>
  </si>
  <si>
    <t>Datos fuente con formatos distintos, campos faltantes, duplicados o reglas de limpieza no definidas.</t>
  </si>
  <si>
    <t>Definir validaciones de carga, conservar fuente original, probar importaciones con muestras y registrar excepciones.</t>
  </si>
  <si>
    <t>KRI de inconsistencias de datos; comparar registros cargados con planillas fuente.</t>
  </si>
  <si>
    <t>1.3.3 Modelo de datos / 1.6 Sprint 2 / 1.7 Sprint 3</t>
  </si>
  <si>
    <t>BSB-61</t>
  </si>
  <si>
    <t>1.3.4</t>
  </si>
  <si>
    <t>exposicion de credenciales o configuracion sensible</t>
  </si>
  <si>
    <t>Posibilidad de problemas de rendimiento en consultas y reportes, afectando la calidad, plazo o trazabilidad del trabajo asociado a técnico y arquitectura.</t>
  </si>
  <si>
    <t>Consultas, filtros o reportes crecen en volumen sin medición previa de tiempos y uso.</t>
  </si>
  <si>
    <t>Medir consultas relevantes con datos representativos, optimizar cuando exista evidencia y evitar umbrales inventados.</t>
  </si>
  <si>
    <t>KPI/KRI de rendimiento cuando existan mediciones; revisar especialmente reportes del Sprint 4.</t>
  </si>
  <si>
    <t>1.3.1 Arquitectura de componentes / 1.8.3 Reportes operativos</t>
  </si>
  <si>
    <t>BSB-62</t>
  </si>
  <si>
    <t>1.4.1</t>
  </si>
  <si>
    <t>sobrecarga del Sprint</t>
  </si>
  <si>
    <t>Posibilidad de fallas al modificar el esquema de datos, afectando la calidad, plazo o trazabilidad del trabajo asociado a técnico y arquitectura.</t>
  </si>
  <si>
    <t>Cambios de estructura de datos sin migración controlada o sin compatibilidad con datos existentes.</t>
  </si>
  <si>
    <t>Versionar cambios de esquema, probar migraciones y respaldar datos antes de aplicar modificaciones relevantes.</t>
  </si>
  <si>
    <t>Revisar migraciones en cada cambio de modelo y registrar prueba de actualización/restauración.</t>
  </si>
  <si>
    <t>1.3.3 Modelo de datos / 1.3.5 Entorno de despliegue y respaldo</t>
  </si>
  <si>
    <t>BSB-63</t>
  </si>
  <si>
    <t>1.4.2</t>
  </si>
  <si>
    <t>estimaciones poco confiables</t>
  </si>
  <si>
    <t>Posibilidad de acceso a informacion de otra compañia, afectando la calidad, plazo o trazabilidad del trabajo asociado a seguridad y acceso.</t>
  </si>
  <si>
    <t>Filtros por compañía aplicados solo en interfaz o consultas sin aislamiento suficiente.</t>
  </si>
  <si>
    <t>BSB-64</t>
  </si>
  <si>
    <t>1.4.3</t>
  </si>
  <si>
    <t>Aplicar autorización del lado del servidor y pruebas negativas de acceso cruzado entre compañías.</t>
  </si>
  <si>
    <t>bloqueos no resueltos a tiempo</t>
  </si>
  <si>
    <t>KRI de aislamiento por compañía; pruebas de autorización en cada historia afectada.</t>
  </si>
  <si>
    <t>1.3.2 Acceso por rol y compañía / 1.5.4 Control de acceso por compañía</t>
  </si>
  <si>
    <t>Posibilidad de permisos incorrectos por rol, afectando la calidad, plazo o trazabilidad del trabajo asociado a seguridad y acceso.</t>
  </si>
  <si>
    <t>Matriz de permisos incompleta o reglas de autorización inconsistentes entre funciones.</t>
  </si>
  <si>
    <t>BSB-65</t>
  </si>
  <si>
    <t>1.4.4</t>
  </si>
  <si>
    <t>priorizacion inadecuada del Product Backlog</t>
  </si>
  <si>
    <t>Definir permisos por rol, validar con criterios de aceptación y ejecutar pruebas positivas y negativas.</t>
  </si>
  <si>
    <t>Revisar permisos en Sprint 1 y revalidarlos cuando aparezcan nuevas funciones.</t>
  </si>
  <si>
    <t>1.3.2 Acceso por rol y compañía / 1.5.3 Gestión de usuarios y roles</t>
  </si>
  <si>
    <t>BSB-66</t>
  </si>
  <si>
    <t>1.4.5</t>
  </si>
  <si>
    <t>seguimiento insuficiente del avance</t>
  </si>
  <si>
    <t>Posibilidad de acceso no autorizado al sistema, afectando la calidad, plazo o trazabilidad del trabajo asociado a seguridad y acceso.</t>
  </si>
  <si>
    <t>Autenticación o autorización insuficiente, sesiones mal gestionadas o rutas sin protección.</t>
  </si>
  <si>
    <t>Proteger vistas y acciones en servidor, validar sesión y permisos y registrar pruebas de acceso no autorizado.</t>
  </si>
  <si>
    <t>KRI de accesos rechazados/fallas de autorización; revisión de seguridad por Sprint.</t>
  </si>
  <si>
    <t>1.3.2 Acceso por rol y compañía / 1.5.1 Inicio de sesión</t>
  </si>
  <si>
    <t>Administrador Técnico CBSB</t>
  </si>
  <si>
    <t>BSB-67</t>
  </si>
  <si>
    <t>1.5.1</t>
  </si>
  <si>
    <t>baja disponibilidad de un integrante</t>
  </si>
  <si>
    <t>Posibilidad de exposicion de credenciales o configuracion sensible, afectando la calidad, plazo o trazabilidad del trabajo asociado a seguridad y acceso.</t>
  </si>
  <si>
    <t>Credenciales, secretos o configuraciones sensibles expuestos en repositorio, archivos o documentación.</t>
  </si>
  <si>
    <t>Evitar</t>
  </si>
  <si>
    <t>Excluir secretos de Git y documentos compartidos, usar variables de entorno y rotar credenciales si se detecta exposición.</t>
  </si>
  <si>
    <t>Revisión de repositorio/configuración antes de integrar y desplegar; cualquier exposición se trata como incidente.</t>
  </si>
  <si>
    <t>1.3.5 Entorno de despliegue y respaldo / 1.9.3 Despliegue y restauración</t>
  </si>
  <si>
    <t>Administración Institucional</t>
  </si>
  <si>
    <t>BSB-68</t>
  </si>
  <si>
    <t>1.5.2</t>
  </si>
  <si>
    <t>dependencia de conocimiento en una sola persona</t>
  </si>
  <si>
    <t>Posibilidad de sobrecarga del Sprint, afectando la calidad, plazo o trazabilidad del trabajo asociado a gestión scrum y planificación.</t>
  </si>
  <si>
    <t>Selección de más trabajo del que permite la capacidad real del equipo.</t>
  </si>
  <si>
    <t>Acordar capacidad antes del Planning, seleccionar un objetivo viable y devolver al backlog lo no asumible.</t>
  </si>
  <si>
    <t>KRI de capacidad del Sprint; revisar durante Daily si el Sprint Goal entra en riesgo.</t>
  </si>
  <si>
    <t>1.2.5 Cadencia Scrum / 1.2.6 Planning Poker y Story Points</t>
  </si>
  <si>
    <t>Docente Duoc UC</t>
  </si>
  <si>
    <t>Posibilidad de estimaciones poco confiables, afectando la calidad, plazo o trazabilidad del trabajo asociado a gestión scrum y planificación.</t>
  </si>
  <si>
    <t>Historias estimadas con información insuficiente, dependencias ocultas o sin consenso técnico.</t>
  </si>
  <si>
    <t>BSB-69</t>
  </si>
  <si>
    <t>1.5.3</t>
  </si>
  <si>
    <t>sobrecarga individual de tareas</t>
  </si>
  <si>
    <t>Usar Planning Poker, discutir votos extremos y refinar antes de forzar Story Points.</t>
  </si>
  <si>
    <t>Revisar dispersión de estimaciones y causas de trabajo no previsto en Retrospective.</t>
  </si>
  <si>
    <t>1.2.6 Planning Poker y Story Points</t>
  </si>
  <si>
    <t>Posibilidad de bloqueos no resueltos a tiempo, afectando la calidad, plazo o trazabilidad del trabajo asociado a gestión scrum y planificación.</t>
  </si>
  <si>
    <t>Impedimentos detectados pero sin responsable, escalamiento o seguimiento oportuno.</t>
  </si>
  <si>
    <t>BSB-70</t>
  </si>
  <si>
    <t>1.5.4</t>
  </si>
  <si>
    <t>problemas de coordinacion interna</t>
  </si>
  <si>
    <t>Registrar bloqueos al detectarlos, asignar acción y escalarlos si superan el umbral acordado o amenazan el Sprint Goal.</t>
  </si>
  <si>
    <t>KRI de bloqueos activos y antigüedad; revisión diaria.</t>
  </si>
  <si>
    <t>1.2.5 Cadencia Scrum / 1.4.3 KPI y KRI</t>
  </si>
  <si>
    <t>Posibilidad de priorizacion inadecuada del Product Backlog, afectando la calidad, plazo o trazabilidad del trabajo asociado a gestión scrum y planificación.</t>
  </si>
  <si>
    <t>Orden del backlog no refleja valor, dependencia, riesgo o necesidad institucional actual.</t>
  </si>
  <si>
    <t>BSB-71</t>
  </si>
  <si>
    <t>1.6.1</t>
  </si>
  <si>
    <t>stock o existencias inconsistentes</t>
  </si>
  <si>
    <t>Revisar orden con Product Owner tras Refinement y antes de cada Sprint Planning.</t>
  </si>
  <si>
    <t>Revisar ítems próximos, dependencias y cambios de prioridad en Jira.</t>
  </si>
  <si>
    <t>1.2.2 Product Backlog</t>
  </si>
  <si>
    <t>BSB-72</t>
  </si>
  <si>
    <t>1.6.2</t>
  </si>
  <si>
    <t>Posibilidad de seguimiento insuficiente del avance, afectando la calidad, plazo o trazabilidad del trabajo asociado a gestión scrum y planificación.</t>
  </si>
  <si>
    <t>duplicidad o perdida de trazabilidad de articulos seriados</t>
  </si>
  <si>
    <t>Jira, indicadores o evidencias no se actualizan con suficiente frecuencia.</t>
  </si>
  <si>
    <t>Mantener Jira y KPI/KRI actualizados con fecha de corte y evidencia, evitando porcentajes escritos manualmente.</t>
  </si>
  <si>
    <t>Revisión semanal y en cada Sprint Review; alertar desviaciones sin evidencia.</t>
  </si>
  <si>
    <t>1.4.3 KPI y KRI / 1.4.4 Trazabilidad y evidencias</t>
  </si>
  <si>
    <t>BSB-73</t>
  </si>
  <si>
    <t>1.6.3</t>
  </si>
  <si>
    <t>prestamos o devoluciones sin cierre correcto</t>
  </si>
  <si>
    <t>Posibilidad de baja disponibilidad de un integrante, afectando la calidad, plazo o trazabilidad del trabajo asociado a equipo.</t>
  </si>
  <si>
    <t>Ausencia, incompatibilidad horaria u otras restricciones de disponibilidad de un integrante.</t>
  </si>
  <si>
    <t>Acordar disponibilidad real, redistribuir trabajo cuando sea necesario y evitar comprometer tareas sin capacidad.</t>
  </si>
  <si>
    <t>Revisar capacidad en Planning y bloqueos en Daily.</t>
  </si>
  <si>
    <t>1.2.5 Cadencia Scrum / 1.5–1.8 Sprints</t>
  </si>
  <si>
    <t>BSB-74</t>
  </si>
  <si>
    <t>1.6.4</t>
  </si>
  <si>
    <t>registros incorrectos de unidades</t>
  </si>
  <si>
    <t>Posibilidad de dependencia de conocimiento en una sola persona, afectando la calidad, plazo o trazabilidad del trabajo asociado a equipo.</t>
  </si>
  <si>
    <t>Conocimiento crítico concentrado en una sola persona sin documentación o transferencia suficiente.</t>
  </si>
  <si>
    <t>Documentar decisiones técnicas, realizar revisiones cruzadas y compartir conocimiento de componentes críticos.</t>
  </si>
  <si>
    <t>KRI de conocimiento concentrado; revisar en Retrospective y antes del cierre.</t>
  </si>
  <si>
    <t>1.2.5 Cadencia Scrum / 1.9.5 Manual técnico</t>
  </si>
  <si>
    <t>BSB-75</t>
  </si>
  <si>
    <t>1.6.5</t>
  </si>
  <si>
    <t>alertas de mantenimiento incorrectas</t>
  </si>
  <si>
    <t>Posibilidad de sobrecarga individual de tareas, afectando la calidad, plazo o trazabilidad del trabajo asociado a equipo.</t>
  </si>
  <si>
    <t>Distribución desequilibrada de tareas o acumulación de responsabilidades en una persona.</t>
  </si>
  <si>
    <t>Revisar carga al planificar, dividir trabajo y colaborar sobre historias sin convertir asignación en exclusividad.</t>
  </si>
  <si>
    <t>KRI de sobrecarga individual; revisar durante Planning y Daily.</t>
  </si>
  <si>
    <t>BSB-76</t>
  </si>
  <si>
    <t>1.6.6</t>
  </si>
  <si>
    <t>reportes o exportaciones con informacion incompleta</t>
  </si>
  <si>
    <t>Posibilidad de problemas de coordinacion interna, afectando la calidad, plazo o trazabilidad del trabajo asociado a equipo.</t>
  </si>
  <si>
    <t>Acuerdos dispersos, comunicación tardía o falta de visibilidad sobre decisiones y bloqueos.</t>
  </si>
  <si>
    <t>Usar canal acordado, registrar decisiones relevantes y tratar bloqueos en Daily o reuniones necesarias.</t>
  </si>
  <si>
    <t>KRI de coordinación; revisar decisiones sin registrar y tareas bloqueadas.</t>
  </si>
  <si>
    <t>1.2.5 Cadencia Scrum / 1.4.4 Trazabilidad y evidencias</t>
  </si>
  <si>
    <t>Posibilidad de stock o existencias inconsistentes, afectando la calidad, plazo o trazabilidad del trabajo asociado a operación.</t>
  </si>
  <si>
    <t>BSB-77</t>
  </si>
  <si>
    <t>Movimientos de inventario sin validaciones de cantidad, concurrencia o actualización consistente.</t>
  </si>
  <si>
    <t>1.7.1</t>
  </si>
  <si>
    <t>cobertura insuficiente de pruebas</t>
  </si>
  <si>
    <t>Aplicar reglas de integridad, validar movimientos y probar escenarios concurrentes y saldos inválidos.</t>
  </si>
  <si>
    <t>KRI de stock inconsistente; comparar saldos antes/después de movimientos.</t>
  </si>
  <si>
    <t>1.6.1 Existencias por compañía</t>
  </si>
  <si>
    <t>Material Menor</t>
  </si>
  <si>
    <t>BSB-78</t>
  </si>
  <si>
    <t>1.7.2</t>
  </si>
  <si>
    <t>defectos detectados al final del Sprint</t>
  </si>
  <si>
    <t>Posibilidad de duplicidad o perdida de trazabilidad de articulos seriados, afectando la calidad, plazo o trazabilidad del trabajo asociado a operación.</t>
  </si>
  <si>
    <t>Identificadores de serie duplicados, movimientos no trazados o historial incompleto.</t>
  </si>
  <si>
    <t>Imponer unicidad de serie, conservar historial y probar transferencias, bajas y cambios de estado.</t>
  </si>
  <si>
    <t>KRI de duplicidad/serie; verificar trazabilidad en pruebas de Sprint 2.</t>
  </si>
  <si>
    <t>1.6.2 Artículos por cantidad y serie / 1.4.4 Trazabilidad y evidencias</t>
  </si>
  <si>
    <t>BSB-79</t>
  </si>
  <si>
    <t>1.7.3</t>
  </si>
  <si>
    <t>regresiones entre incrementos</t>
  </si>
  <si>
    <t>Posibilidad de prestamos o devoluciones sin cierre correcto, afectando la calidad, plazo o trazabilidad del trabajo asociado a operación.</t>
  </si>
  <si>
    <t>Flujo de préstamo/devolución no controla estados, devoluciones parciales o cierre de la operación.</t>
  </si>
  <si>
    <t>Modelar estados válidos, registrar origen/destino/responsable y probar devolución total y parcial cuando aplique.</t>
  </si>
  <si>
    <t>KRI de préstamos abiertos o inconsistentes; revisar historial y estado final.</t>
  </si>
  <si>
    <t>1.6.5 Entregas, devoluciones y préstamos</t>
  </si>
  <si>
    <t>Posibilidad de registros incorrectos de unidades, afectando la calidad, plazo o trazabilidad del trabajo asociado a operación.</t>
  </si>
  <si>
    <t>Datos de unidad, kilometraje u horas se registran con errores o sin validaciones suficientes.</t>
  </si>
  <si>
    <t>BSB-80</t>
  </si>
  <si>
    <t>1.7.4</t>
  </si>
  <si>
    <t>evidencia insuficiente para cumplir la DoD</t>
  </si>
  <si>
    <t>Validar rangos y consistencia, conservar historial y comprobar datos con escenarios reales acordados.</t>
  </si>
  <si>
    <t>KRI de registros de unidad inválidos; revisar durante Sprint 3.</t>
  </si>
  <si>
    <t>1.7.1 Registro de unidades / 1.7.2 Check in / 1.7.3 Kilometraje y horas</t>
  </si>
  <si>
    <t>Material Mayor / Mantenimiento</t>
  </si>
  <si>
    <t>Posibilidad de alertas de mantenimiento incorrectas, afectando la calidad, plazo o trazabilidad del trabajo asociado a operación.</t>
  </si>
  <si>
    <t>Reglas de intervalos, kilometraje, horas o fechas de mantenimiento mal configuradas.</t>
  </si>
  <si>
    <t>BSB-81</t>
  </si>
  <si>
    <t>1.8.1</t>
  </si>
  <si>
    <t>servidor local no disponible o insuficiente</t>
  </si>
  <si>
    <t>Validar reglas con Bomberos, probar límites y distinguir próximos/vencidos antes de activar alertas.</t>
  </si>
  <si>
    <t>KRI de alertas incorrectas; contrastar alerta con datos fuente y regla configurada.</t>
  </si>
  <si>
    <t>1.7.4–1.7.5 Mantenimiento / 1.8.1–1.8.2 Alertas</t>
  </si>
  <si>
    <t>BSB-82</t>
  </si>
  <si>
    <t>1.8.2</t>
  </si>
  <si>
    <t>Posibilidad de reportes o exportaciones con informacion incompleta, afectando la calidad, plazo o trazabilidad del trabajo asociado a operación.</t>
  </si>
  <si>
    <t>problemas de conectividad entre compañias</t>
  </si>
  <si>
    <t>Filtros, consultas o exportación no consideran todos los datos, permisos o formatos necesarios.</t>
  </si>
  <si>
    <t>Probar reportes contra datos fuente, validar filtros y revisar contenido del archivo Excel generado.</t>
  </si>
  <si>
    <t>KRI de reportes incompletos; validación por compañía/fecha y comparación con fuente.</t>
  </si>
  <si>
    <t>1.8.3 Reportes / 1.8.4 Filtros / 1.8.5 Exportación Excel</t>
  </si>
  <si>
    <t>BSB-83</t>
  </si>
  <si>
    <t>1.8.3</t>
  </si>
  <si>
    <t>respaldo o restauracion no verificable</t>
  </si>
  <si>
    <t>Posibilidad de cobertura insuficiente de pruebas, afectando la calidad, plazo o trazabilidad del trabajo asociado a calidad y pruebas.</t>
  </si>
  <si>
    <t>Casos críticos, permisos o RNF quedan sin pruebas suficientes dentro de los incrementos.</t>
  </si>
  <si>
    <t>Definir casos prioritarios antes de validar Done y mantener cobertura de RF/RNF aplicables.</t>
  </si>
  <si>
    <t>KPI de pruebas y cobertura de verificación; KRI de pruebas pendientes.</t>
  </si>
  <si>
    <t>1.5.6–1.8.6 Integración, pruebas y DoD / 1.9.1 Pruebas globales</t>
  </si>
  <si>
    <t>Frontend / Backend</t>
  </si>
  <si>
    <t>BSB-84</t>
  </si>
  <si>
    <t>1.8.4</t>
  </si>
  <si>
    <t>configuracion incorrecta del entorno de produccion</t>
  </si>
  <si>
    <t>Posibilidad de defectos detectados al final del Sprint, afectando la calidad, plazo o trazabilidad del trabajo asociado a calidad y pruebas.</t>
  </si>
  <si>
    <t>Pruebas se concentran al final en vez de ejecutarse durante el desarrollo del Sprint.</t>
  </si>
  <si>
    <t>Integrar y probar durante el Sprint, registrar defectos al detectarlos y no esperar al cierre.</t>
  </si>
  <si>
    <t>KRI de defectos detectados al final; revisar tendencia en Review y Retro.</t>
  </si>
  <si>
    <t>1.5.6–1.8.6 Integración, pruebas y DoD</t>
  </si>
  <si>
    <t>BSB-85</t>
  </si>
  <si>
    <t>1.9.1</t>
  </si>
  <si>
    <t>baja disponibilidad de personal de Bomberos para validar</t>
  </si>
  <si>
    <t>Posibilidad de regresiones entre incrementos, afectando la calidad, plazo o trazabilidad del trabajo asociado a calidad y pruebas.</t>
  </si>
  <si>
    <t>Cambios nuevos rompen funciones previamente aprobadas por falta de regresión suficiente.</t>
  </si>
  <si>
    <t>Ejecutar regresión aplicable en cada incremento y mantener casos repetibles para funciones críticas.</t>
  </si>
  <si>
    <t>KRI de regresiones; registrar defecto, versión y re-prueba.</t>
  </si>
  <si>
    <t>BSB-86</t>
  </si>
  <si>
    <t>1.9.2</t>
  </si>
  <si>
    <t>cambios en procesos internos del CBSB</t>
  </si>
  <si>
    <t>Posibilidad de evidencia insuficiente para cumplir la DoD, afectando la calidad, plazo o trazabilidad del trabajo asociado a calidad y pruebas.</t>
  </si>
  <si>
    <t>No se conserva prueba, versión o demostración suficiente para acreditar criterios y DoD.</t>
  </si>
  <si>
    <t>Vincular evidencia a historias y pruebas, identificar versión y completar trazabilidad antes de marcar Done.</t>
  </si>
  <si>
    <t>KPI de evidencia Jira y DoD; revisar historias candidatas a Hecho.</t>
  </si>
  <si>
    <t>1.4.4 Trazabilidad y evidencias / 1.5.6–1.8.6 DoD</t>
  </si>
  <si>
    <t>BSB-87</t>
  </si>
  <si>
    <t>1.9.3</t>
  </si>
  <si>
    <t>informacion institucional entregada fuera de plazo</t>
  </si>
  <si>
    <t>Posibilidad de servidor local no disponible o insuficiente, afectando la calidad, plazo o trazabilidad del trabajo asociado a infraestructura y despliegue.</t>
  </si>
  <si>
    <t>Capacidad, disponibilidad o características del servidor local no confirmadas con Bomberos.</t>
  </si>
  <si>
    <t>Confirmar entorno y capacidad, preparar ambiente equivalente de demostración y documentar limitaciones.</t>
  </si>
  <si>
    <t>KRI de infraestructura; hito de confirmación antes de despliegue.</t>
  </si>
  <si>
    <t>BSB-88</t>
  </si>
  <si>
    <t>1.9.4</t>
  </si>
  <si>
    <t>contingencias externas que afecten el proyecto</t>
  </si>
  <si>
    <t>Posibilidad de problemas de conectividad entre compañias, afectando la calidad, plazo o trazabilidad del trabajo asociado a infraestructura y despliegue.</t>
  </si>
  <si>
    <t>No está confirmada la ruta de red entre compañías y el servidor autorizado.</t>
  </si>
  <si>
    <t>Verificar conectividad con Bomberos, documentar alcance real y disponer alternativa de demostración.</t>
  </si>
  <si>
    <t>KRI de conectividad; prueba desde equipos autorizados antes de validación final.</t>
  </si>
  <si>
    <t>Posibilidad de respaldo o restauracion no verificable, afectando la calidad, plazo o trazabilidad del trabajo asociado a infraestructura y despliegue.</t>
  </si>
  <si>
    <t>Respaldos no definidos, copia no independiente o restauración nunca probada.</t>
  </si>
  <si>
    <t>Definir datos y destino de respaldo, ejecutar copia independiente y comprobar restauración.</t>
  </si>
  <si>
    <t>KRI de respaldo/recuperación; registrar fecha de último respaldo válido y resultado de restore.</t>
  </si>
  <si>
    <t>Posibilidad de configuracion incorrecta del entorno de produccion, afectando la calidad, plazo o trazabilidad del trabajo asociado a infraestructura y despliegue.</t>
  </si>
  <si>
    <t>Parámetros de producción, seguridad o dependencias configurados incorrectamente.</t>
  </si>
  <si>
    <t>Usar checklist de despliegue, separar configuración de desarrollo/producción y probar instalación reproducible.</t>
  </si>
  <si>
    <t>Revisión previa al despliegue y prueba de instalación/restauración.</t>
  </si>
  <si>
    <t>Externos y institucionales</t>
  </si>
  <si>
    <t>Posibilidad de baja disponibilidad de personal de Bomberos para validar, afectando la calidad, plazo o trazabilidad del trabajo asociado a externos e institucionales.</t>
  </si>
  <si>
    <t>Bomberos poco dispone en tiempo para revisar escenarios o entregar retroalimentación.</t>
  </si>
  <si>
    <t>Acordar con anticipación ventanas de validación, preparar guion de escenarios y registrar pendientes si no se puede validar.</t>
  </si>
  <si>
    <t>KRI de validación pendiente; confirmar fecha/participantes antes del hito.</t>
  </si>
  <si>
    <t>1.9.2 Validación con Bomberos</t>
  </si>
  <si>
    <t>Posibilidad de cambios en procesos internos del CBSB, afectando la calidad, plazo o trazabilidad del trabajo asociado a externos e institucionales.</t>
  </si>
  <si>
    <t>Bomberos modifica procedimientos o criterios operativos mientras el producto está en desarrollo.</t>
  </si>
  <si>
    <t>Registrar el cambio, evaluar impacto sobre RF/backlog y decidir con Product Owner qué entra ahora y qué queda posterior.</t>
  </si>
  <si>
    <t>Revisar cambios de alcance y trazabilidad cuando se informe una modificación de proceso.</t>
  </si>
  <si>
    <t>1.1.2 Requerimientos RF y RNF / 1.2.2 Product Backlog / 1.9.2 Validación</t>
  </si>
  <si>
    <t>Posibilidad de informacion institucional entregada fuera de plazo, afectando la calidad, plazo o trazabilidad del trabajo asociado a externos e institucionales.</t>
  </si>
  <si>
    <t>Datos, decisiones o antecedentes institucionales necesarios se entregan después de la fecha prevista.</t>
  </si>
  <si>
    <t>Identificar información crítica con fecha objetivo, solicitarla anticipadamente y registrar supuesto temporal cuando falte.</t>
  </si>
  <si>
    <t>KRI de dependencias sin resolver; escalar cuando amenace el Sprint Goal o un hito.</t>
  </si>
  <si>
    <t>1.1 Definición del proyecto / 1.4.4 Trazabilidad y evidencias</t>
  </si>
  <si>
    <t>Posibilidad de contingencias externas que afecten el proyecto, afectando la calidad, plazo o trazabilidad del trabajo asociado a externos e institucionales.</t>
  </si>
  <si>
    <t>Eventos externos no controlables pueden interrumpir reuniones, acceso, infraestructura o continuidad del proyecto.</t>
  </si>
  <si>
    <t>Aceptar / Contingencia</t>
  </si>
  <si>
    <t>Mantener copias de trabajo, canales alternativos y replanificar únicamente cuando el evento se materialice y afecte hitos.</t>
  </si>
  <si>
    <t>Registrar incidencia, impacto real y decisión de replanificación si ocurre.</t>
  </si>
  <si>
    <t>Transversal / 1.9.6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</si>
</sst>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  <scheme val="minor"/>
    </font>
    <font>
      <b/>
      <sz val="10.0"/>
      <color rgb="FFFFFFFF"/>
      <name val="Arial"/>
    </font>
    <font>
      <sz val="10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6D52"/>
        <bgColor rgb="FF1F6D52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quotePrefix="1"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49" xfId="0" applyAlignment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4" numFmtId="49" xfId="0" applyAlignment="1" applyFont="1" applyNumberForma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1F6D52"/>
          <bgColor rgb="FF1F6D5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border>
        <left style="thin">
          <color rgb="FF1F6D52"/>
        </left>
        <right style="thin">
          <color rgb="FF1F6D52"/>
        </right>
        <top style="thin">
          <color rgb="FF1F6D52"/>
        </top>
        <bottom style="thin">
          <color rgb="FF1F6D52"/>
        </bottom>
      </border>
    </dxf>
    <dxf>
      <font>
        <b/>
        <color rgb="FFFFFFFF"/>
      </font>
      <fill>
        <patternFill patternType="solid">
          <fgColor rgb="FFB40000"/>
          <bgColor rgb="FFB40000"/>
        </patternFill>
      </fill>
      <border/>
    </dxf>
    <dxf>
      <font>
        <b/>
        <color rgb="FF202124"/>
      </font>
      <fill>
        <patternFill patternType="solid">
          <fgColor rgb="FFEA9999"/>
          <bgColor rgb="FFEA9999"/>
        </patternFill>
      </fill>
      <border/>
    </dxf>
    <dxf>
      <font>
        <b/>
        <color rgb="FF202124"/>
      </font>
      <fill>
        <patternFill patternType="solid">
          <fgColor rgb="FFFFE599"/>
          <bgColor rgb="FFFFE599"/>
        </patternFill>
      </fill>
      <border/>
    </dxf>
    <dxf>
      <font>
        <b/>
        <color rgb="FF202124"/>
      </font>
      <fill>
        <patternFill patternType="solid">
          <fgColor rgb="FFB7E1CD"/>
          <bgColor rgb="FFB7E1CD"/>
        </patternFill>
      </fill>
      <border/>
    </dxf>
  </dxfs>
  <tableStyles count="11">
    <tableStyle count="4" pivot="0" name="Matriz de Ries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terios P-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ning Po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terios P-I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terios P-I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terios P-I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terios P-I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terios P-I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Riesgos por categoría RBS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Resumen!$A$11:$A$19</c:f>
            </c:strRef>
          </c:cat>
          <c:val>
            <c:numRef>
              <c:f>Resumen!$B$11:$B$19</c:f>
              <c:numCache/>
            </c:numRef>
          </c:val>
        </c:ser>
        <c:axId val="1558170315"/>
        <c:axId val="524058721"/>
      </c:barChart>
      <c:catAx>
        <c:axId val="15581703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058721"/>
      </c:catAx>
      <c:valAx>
        <c:axId val="5240587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170315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19050</xdr:rowOff>
    </xdr:from>
    <xdr:ext cx="3562350" cy="508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7</xdr:row>
      <xdr:rowOff>0</xdr:rowOff>
    </xdr:from>
    <xdr:ext cx="6858000" cy="3429000"/>
    <xdr:graphicFrame>
      <xdr:nvGraphicFramePr>
        <xdr:cNvPr id="1" name="Chart 1" title="Riesgos por categoría RB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U42" displayName="Matriz_Riesgos" name="Matriz_Riesgos" id="1">
  <tableColumns count="21">
    <tableColumn name="#" id="1"/>
    <tableColumn name="Clave Jira" id="2"/>
    <tableColumn name="ID Riesgo" id="3"/>
    <tableColumn name="Categoría" id="4"/>
    <tableColumn name="Descripción" id="5"/>
    <tableColumn name="Causa del Riesgo" id="6"/>
    <tableColumn name="Prioridad" id="7"/>
    <tableColumn name="Severidad" id="8"/>
    <tableColumn name="Probabilidad" id="9"/>
    <tableColumn name="Impacto" id="10"/>
    <tableColumn name="Naturaleza" id="11"/>
    <tableColumn name="Estrategia" id="12"/>
    <tableColumn name="Estado del Riesgo" id="13"/>
    <tableColumn name="Acción de Mitigación" id="14"/>
    <tableColumn name="Seguimiento" id="15"/>
    <tableColumn name="Etapa Afectada (EDT)" id="16"/>
    <tableColumn name="Responsable" id="17"/>
    <tableColumn name="Aprobador" id="18"/>
    <tableColumn name="Consultado" id="19"/>
    <tableColumn name="Informado" id="20"/>
    <tableColumn name="Persona Asignada" id="21"/>
  </tableColumns>
  <tableStyleInfo name="Matriz de Riesgos-style" showColumnStripes="0" showFirstColumn="1" showLastColumn="1" showRowStripes="1"/>
</table>
</file>

<file path=xl/tables/table2.xml><?xml version="1.0" encoding="utf-8"?>
<table xmlns="http://schemas.openxmlformats.org/spreadsheetml/2006/main" ref="A3:N43" displayName="Planning_Poker" name="Planning_Poker" id="2">
  <tableColumns count="14">
    <tableColumn name="#" id="1"/>
    <tableColumn name="Clave Jira" id="2"/>
    <tableColumn name="ID Riesgo" id="3"/>
    <tableColumn name="Riesgo" id="4"/>
    <tableColumn name="Mauricio" id="5"/>
    <tableColumn name="Paulo" id="6"/>
    <tableColumn name="Alexander" id="7"/>
    <tableColumn name="Puntaje Final" id="8"/>
    <tableColumn name="Severidad P×I" id="9"/>
    <tableColumn name="Prioridad" id="10"/>
    <tableColumn name="Observación" id="11"/>
    <tableColumn name="P Final 1–5" id="12"/>
    <tableColumn name="Mauricio I" id="13"/>
    <tableColumn name="Paulo I" id="14"/>
  </tableColumns>
  <tableStyleInfo name="Planning Poker-style" showColumnStripes="0" showFirstColumn="1" showLastColumn="1" showRowStripes="1"/>
</table>
</file>

<file path=xl/tables/table3.xml><?xml version="1.0" encoding="utf-8"?>
<table xmlns="http://schemas.openxmlformats.org/spreadsheetml/2006/main" ref="A3:B13" displayName="Metodo_Estimacion" name="Metodo_Estimacion" id="3">
  <tableColumns count="2">
    <tableColumn name="MÉTODO" id="1"/>
    <tableColumn name="Planning Poker simplificado para estimación relativa de riesgos" id="2"/>
  </tableColumns>
  <tableStyleInfo name="Criterios P-I-style" showColumnStripes="0" showFirstColumn="1" showLastColumn="1" showRowStripes="1"/>
</table>
</file>

<file path=xl/tables/table4.xml><?xml version="1.0" encoding="utf-8"?>
<table xmlns="http://schemas.openxmlformats.org/spreadsheetml/2006/main" ref="I3:J13" displayName="Guia_Puntaje" name="Guia_Puntaje" id="4">
  <tableColumns count="2">
    <tableColumn name="PUNTAJE FINAL AUTOMÁTICO" id="1"/>
    <tableColumn name="RESULTADO" id="2"/>
  </tableColumns>
  <tableStyleInfo name="Criterios P-I-style 2" showColumnStripes="0" showFirstColumn="1" showLastColumn="1" showRowStripes="1"/>
</table>
</file>

<file path=xl/tables/table5.xml><?xml version="1.0" encoding="utf-8"?>
<table xmlns="http://schemas.openxmlformats.org/spreadsheetml/2006/main" ref="A16:C21" displayName="Criterios_Probabilidad" name="Criterios_Probabilidad" id="5">
  <tableColumns count="3">
    <tableColumn name="Valor" id="1"/>
    <tableColumn name="Probabilidad" id="2"/>
    <tableColumn name="Criterio" id="3"/>
  </tableColumns>
  <tableStyleInfo name="Criterios P-I-style 3" showColumnStripes="0" showFirstColumn="1" showLastColumn="1" showRowStripes="1"/>
</table>
</file>

<file path=xl/tables/table6.xml><?xml version="1.0" encoding="utf-8"?>
<table xmlns="http://schemas.openxmlformats.org/spreadsheetml/2006/main" ref="E16:G21" displayName="Criterios_Impacto" name="Criterios_Impacto" id="6">
  <tableColumns count="3">
    <tableColumn name="Valor" id="1"/>
    <tableColumn name="Impacto" id="2"/>
    <tableColumn name="Criterio" id="3"/>
  </tableColumns>
  <tableStyleInfo name="Criterios P-I-style 4" showColumnStripes="0" showFirstColumn="1" showLastColumn="1" showRowStripes="1"/>
</table>
</file>

<file path=xl/tables/table7.xml><?xml version="1.0" encoding="utf-8"?>
<table xmlns="http://schemas.openxmlformats.org/spreadsheetml/2006/main" ref="A24:B28" displayName="Escala_Prioridad" name="Escala_Prioridad" id="7">
  <tableColumns count="2">
    <tableColumn name="Severidad" id="1"/>
    <tableColumn name="Prioridad" id="2"/>
  </tableColumns>
  <tableStyleInfo name="Criterios P-I-style 5" showColumnStripes="0" showFirstColumn="1" showLastColumn="1" showRowStripes="1"/>
</table>
</file>

<file path=xl/tables/table8.xml><?xml version="1.0" encoding="utf-8"?>
<table xmlns="http://schemas.openxmlformats.org/spreadsheetml/2006/main" ref="D24:E33" displayName="Categorias_RBS" name="Categorias_RBS" id="8">
  <tableColumns count="2">
    <tableColumn name="Prefijo RBS" id="1"/>
    <tableColumn name="Categoría" id="2"/>
  </tableColumns>
  <tableStyleInfo name="Criterios P-I-style 6" showColumnStripes="0" showFirstColumn="1" showLastColumn="1" showRowStripes="1"/>
</table>
</file>

<file path=xl/tables/table9.xml><?xml version="1.0" encoding="utf-8"?>
<table xmlns="http://schemas.openxmlformats.org/spreadsheetml/2006/main" ref="A3:B7" displayName="Resumen_Prioridades" name="Resumen_Prioridades" id="9">
  <tableColumns count="2">
    <tableColumn name="Indicador" id="1"/>
    <tableColumn name="Cantidad" id="2"/>
  </tableColumns>
  <tableStyleInfo name="Resumen-style" showColumnStripes="0" showFirstColumn="1" showLastColumn="1" showRowStripes="1"/>
</table>
</file>

<file path=xl/tables/table10.xml><?xml version="1.0" encoding="utf-8"?>
<table xmlns="http://schemas.openxmlformats.org/spreadsheetml/2006/main" ref="D8:E11" displayName="Resumen_Responsables" name="Resumen_Responsables" id="10">
  <tableColumns count="2">
    <tableColumn name="Responsable" id="1"/>
    <tableColumn name="Riesgos" id="2"/>
  </tableColumns>
  <tableStyleInfo name="Resumen-style 2" showColumnStripes="0" showFirstColumn="1" showLastColumn="1" showRowStripes="1"/>
</table>
</file>

<file path=xl/tables/table11.xml><?xml version="1.0" encoding="utf-8"?>
<table xmlns="http://schemas.openxmlformats.org/spreadsheetml/2006/main" ref="A10:B19" displayName="Resumen_Categorias" name="Resumen_Categorias" id="11">
  <tableColumns count="2">
    <tableColumn name="Categoría RBS" id="1"/>
    <tableColumn name="Riesgos" id="2"/>
  </tableColumns>
  <tableStyleInfo name="Resume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13" Type="http://schemas.openxmlformats.org/officeDocument/2006/relationships/table" Target="../tables/table8.xml"/><Relationship Id="rId12" Type="http://schemas.openxmlformats.org/officeDocument/2006/relationships/table" Target="../tables/table7.xml"/><Relationship Id="rId9" Type="http://schemas.openxmlformats.org/officeDocument/2006/relationships/table" Target="../tables/table4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25"/>
    <col customWidth="1" min="2" max="3" width="13.88"/>
    <col customWidth="1" min="4" max="4" width="30.13"/>
    <col customWidth="1" min="5" max="5" width="53.88"/>
    <col customWidth="1" min="6" max="6" width="45.13"/>
    <col customWidth="1" min="7" max="7" width="19.5"/>
    <col customWidth="1" min="8" max="8" width="15.75"/>
    <col customWidth="1" min="9" max="10" width="22.0"/>
    <col customWidth="1" min="11" max="11" width="17.63"/>
    <col customWidth="1" min="12" max="12" width="29.5"/>
    <col customWidth="1" min="13" max="13" width="23.88"/>
    <col customWidth="1" min="14" max="14" width="55.13"/>
    <col customWidth="1" min="15" max="15" width="45.13"/>
    <col customWidth="1" min="16" max="16" width="43.88"/>
    <col customWidth="1" min="17" max="18" width="25.13"/>
    <col customWidth="1" min="19" max="19" width="36.38"/>
    <col customWidth="1" min="20" max="20" width="30.75"/>
    <col customWidth="1" min="21" max="21" width="25.13"/>
  </cols>
  <sheetData>
    <row r="1" ht="25.5" customHeight="1">
      <c r="A1" s="1" t="s">
        <v>0</v>
      </c>
    </row>
    <row r="2" ht="34.5" customHeight="1">
      <c r="A2" s="3" t="s">
        <v>2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13</v>
      </c>
      <c r="G2" s="3" t="s">
        <v>17</v>
      </c>
      <c r="H2" s="3" t="s">
        <v>19</v>
      </c>
      <c r="I2" s="3" t="s">
        <v>22</v>
      </c>
      <c r="J2" s="3" t="s">
        <v>23</v>
      </c>
      <c r="K2" s="3" t="s">
        <v>26</v>
      </c>
      <c r="L2" s="3" t="s">
        <v>28</v>
      </c>
      <c r="M2" s="3" t="s">
        <v>44</v>
      </c>
      <c r="N2" s="3" t="s">
        <v>47</v>
      </c>
      <c r="O2" s="3" t="s">
        <v>49</v>
      </c>
      <c r="P2" s="3" t="s">
        <v>51</v>
      </c>
      <c r="Q2" s="3" t="s">
        <v>53</v>
      </c>
      <c r="R2" s="3" t="s">
        <v>55</v>
      </c>
      <c r="S2" s="3" t="s">
        <v>57</v>
      </c>
      <c r="T2" s="3" t="s">
        <v>59</v>
      </c>
      <c r="U2" s="3" t="s">
        <v>61</v>
      </c>
    </row>
    <row r="3" ht="82.5" customHeight="1">
      <c r="A3" s="13">
        <v>1.0</v>
      </c>
      <c r="B3" s="13" t="s">
        <v>35</v>
      </c>
      <c r="C3" s="14" t="s">
        <v>37</v>
      </c>
      <c r="D3" s="15" t="s">
        <v>68</v>
      </c>
      <c r="E3" s="16" t="s">
        <v>71</v>
      </c>
      <c r="F3" s="16" t="s">
        <v>72</v>
      </c>
      <c r="G3" s="17" t="s">
        <v>74</v>
      </c>
      <c r="H3" s="13">
        <v>12.0</v>
      </c>
      <c r="I3" s="17" t="s">
        <v>77</v>
      </c>
      <c r="J3" s="17" t="s">
        <v>79</v>
      </c>
      <c r="K3" s="13" t="s">
        <v>81</v>
      </c>
      <c r="L3" s="17" t="s">
        <v>83</v>
      </c>
      <c r="M3" s="13" t="s">
        <v>85</v>
      </c>
      <c r="N3" s="16" t="s">
        <v>87</v>
      </c>
      <c r="O3" s="16" t="s">
        <v>88</v>
      </c>
      <c r="P3" s="16" t="s">
        <v>94</v>
      </c>
      <c r="Q3" s="15" t="s">
        <v>95</v>
      </c>
      <c r="R3" s="5" t="s">
        <v>96</v>
      </c>
      <c r="S3" s="5" t="s">
        <v>101</v>
      </c>
      <c r="T3" s="10" t="s">
        <v>102</v>
      </c>
      <c r="U3" s="15" t="s">
        <v>95</v>
      </c>
    </row>
    <row r="4" ht="82.5" customHeight="1">
      <c r="A4" s="13">
        <v>2.0</v>
      </c>
      <c r="B4" s="13" t="s">
        <v>130</v>
      </c>
      <c r="C4" s="14" t="s">
        <v>132</v>
      </c>
      <c r="D4" s="15" t="s">
        <v>68</v>
      </c>
      <c r="E4" s="16" t="s">
        <v>158</v>
      </c>
      <c r="F4" s="16" t="s">
        <v>159</v>
      </c>
      <c r="G4" s="17" t="s">
        <v>74</v>
      </c>
      <c r="H4" s="13">
        <v>12.0</v>
      </c>
      <c r="I4" s="17" t="s">
        <v>77</v>
      </c>
      <c r="J4" s="17" t="s">
        <v>79</v>
      </c>
      <c r="K4" s="13" t="s">
        <v>81</v>
      </c>
      <c r="L4" s="17" t="s">
        <v>83</v>
      </c>
      <c r="M4" s="13" t="s">
        <v>85</v>
      </c>
      <c r="N4" s="16" t="s">
        <v>160</v>
      </c>
      <c r="O4" s="16" t="s">
        <v>161</v>
      </c>
      <c r="P4" s="16" t="s">
        <v>162</v>
      </c>
      <c r="Q4" s="15" t="s">
        <v>95</v>
      </c>
      <c r="R4" s="5" t="s">
        <v>96</v>
      </c>
      <c r="S4" s="5" t="s">
        <v>101</v>
      </c>
      <c r="T4" s="10" t="s">
        <v>102</v>
      </c>
      <c r="U4" s="15" t="s">
        <v>95</v>
      </c>
    </row>
    <row r="5" ht="82.5" customHeight="1">
      <c r="A5" s="13">
        <v>3.0</v>
      </c>
      <c r="B5" s="13" t="s">
        <v>155</v>
      </c>
      <c r="C5" s="14" t="s">
        <v>156</v>
      </c>
      <c r="D5" s="15" t="s">
        <v>68</v>
      </c>
      <c r="E5" s="16" t="s">
        <v>169</v>
      </c>
      <c r="F5" s="10" t="s">
        <v>170</v>
      </c>
      <c r="G5" s="17" t="s">
        <v>74</v>
      </c>
      <c r="H5" s="13">
        <v>16.0</v>
      </c>
      <c r="I5" s="17" t="s">
        <v>108</v>
      </c>
      <c r="J5" s="17" t="s">
        <v>79</v>
      </c>
      <c r="K5" s="13" t="s">
        <v>81</v>
      </c>
      <c r="L5" s="17" t="s">
        <v>83</v>
      </c>
      <c r="M5" s="13" t="s">
        <v>85</v>
      </c>
      <c r="N5" s="16" t="s">
        <v>174</v>
      </c>
      <c r="O5" s="16" t="s">
        <v>175</v>
      </c>
      <c r="P5" s="16" t="s">
        <v>176</v>
      </c>
      <c r="Q5" s="15" t="s">
        <v>95</v>
      </c>
      <c r="R5" s="5" t="s">
        <v>96</v>
      </c>
      <c r="S5" s="5" t="s">
        <v>177</v>
      </c>
      <c r="T5" s="10" t="s">
        <v>102</v>
      </c>
      <c r="U5" s="15" t="s">
        <v>95</v>
      </c>
    </row>
    <row r="6" ht="82.5" customHeight="1">
      <c r="A6" s="13">
        <v>4.0</v>
      </c>
      <c r="B6" s="13" t="s">
        <v>163</v>
      </c>
      <c r="C6" s="14" t="s">
        <v>164</v>
      </c>
      <c r="D6" s="15" t="s">
        <v>68</v>
      </c>
      <c r="E6" s="16" t="s">
        <v>181</v>
      </c>
      <c r="F6" s="16" t="s">
        <v>182</v>
      </c>
      <c r="G6" s="17" t="s">
        <v>150</v>
      </c>
      <c r="H6" s="13">
        <v>9.0</v>
      </c>
      <c r="I6" s="17" t="s">
        <v>77</v>
      </c>
      <c r="J6" s="17" t="s">
        <v>106</v>
      </c>
      <c r="K6" s="13" t="s">
        <v>81</v>
      </c>
      <c r="L6" s="17" t="s">
        <v>83</v>
      </c>
      <c r="M6" s="13" t="s">
        <v>85</v>
      </c>
      <c r="N6" s="16" t="s">
        <v>186</v>
      </c>
      <c r="O6" s="16" t="s">
        <v>187</v>
      </c>
      <c r="P6" s="16" t="s">
        <v>188</v>
      </c>
      <c r="Q6" s="15" t="s">
        <v>95</v>
      </c>
      <c r="R6" s="5" t="s">
        <v>96</v>
      </c>
      <c r="S6" s="5" t="s">
        <v>101</v>
      </c>
      <c r="T6" s="10" t="s">
        <v>102</v>
      </c>
      <c r="U6" s="15" t="s">
        <v>95</v>
      </c>
    </row>
    <row r="7" ht="82.5" customHeight="1">
      <c r="A7" s="13">
        <v>5.0</v>
      </c>
      <c r="B7" s="13" t="s">
        <v>166</v>
      </c>
      <c r="C7" s="14" t="s">
        <v>167</v>
      </c>
      <c r="D7" s="15" t="s">
        <v>123</v>
      </c>
      <c r="E7" s="16" t="s">
        <v>195</v>
      </c>
      <c r="F7" s="16" t="s">
        <v>196</v>
      </c>
      <c r="G7" s="17" t="s">
        <v>74</v>
      </c>
      <c r="H7" s="13">
        <v>12.0</v>
      </c>
      <c r="I7" s="17" t="s">
        <v>77</v>
      </c>
      <c r="J7" s="17" t="s">
        <v>79</v>
      </c>
      <c r="K7" s="13" t="s">
        <v>81</v>
      </c>
      <c r="L7" s="17" t="s">
        <v>83</v>
      </c>
      <c r="M7" s="13" t="s">
        <v>85</v>
      </c>
      <c r="N7" s="16" t="s">
        <v>197</v>
      </c>
      <c r="O7" s="16" t="s">
        <v>198</v>
      </c>
      <c r="P7" s="16" t="s">
        <v>199</v>
      </c>
      <c r="Q7" s="15" t="s">
        <v>154</v>
      </c>
      <c r="R7" s="5" t="s">
        <v>200</v>
      </c>
      <c r="S7" s="5" t="s">
        <v>201</v>
      </c>
      <c r="T7" s="5" t="s">
        <v>102</v>
      </c>
      <c r="U7" s="15" t="s">
        <v>154</v>
      </c>
    </row>
    <row r="8" ht="82.5" customHeight="1">
      <c r="A8" s="13">
        <v>6.0</v>
      </c>
      <c r="B8" s="13" t="s">
        <v>171</v>
      </c>
      <c r="C8" s="14" t="s">
        <v>172</v>
      </c>
      <c r="D8" s="15" t="s">
        <v>123</v>
      </c>
      <c r="E8" s="16" t="s">
        <v>205</v>
      </c>
      <c r="F8" s="16" t="s">
        <v>206</v>
      </c>
      <c r="G8" s="17" t="s">
        <v>74</v>
      </c>
      <c r="H8" s="13">
        <v>16.0</v>
      </c>
      <c r="I8" s="17" t="s">
        <v>108</v>
      </c>
      <c r="J8" s="17" t="s">
        <v>79</v>
      </c>
      <c r="K8" s="13" t="s">
        <v>81</v>
      </c>
      <c r="L8" s="17" t="s">
        <v>83</v>
      </c>
      <c r="M8" s="13" t="s">
        <v>85</v>
      </c>
      <c r="N8" s="16" t="s">
        <v>207</v>
      </c>
      <c r="O8" s="16" t="s">
        <v>208</v>
      </c>
      <c r="P8" s="16" t="s">
        <v>209</v>
      </c>
      <c r="Q8" s="15" t="s">
        <v>153</v>
      </c>
      <c r="R8" s="5" t="s">
        <v>200</v>
      </c>
      <c r="S8" s="5" t="s">
        <v>201</v>
      </c>
      <c r="T8" s="5" t="s">
        <v>102</v>
      </c>
      <c r="U8" s="15" t="s">
        <v>153</v>
      </c>
    </row>
    <row r="9" ht="82.5" customHeight="1">
      <c r="A9" s="13">
        <v>7.0</v>
      </c>
      <c r="B9" s="13" t="s">
        <v>178</v>
      </c>
      <c r="C9" s="14" t="s">
        <v>179</v>
      </c>
      <c r="D9" s="15" t="s">
        <v>123</v>
      </c>
      <c r="E9" s="16" t="s">
        <v>213</v>
      </c>
      <c r="F9" s="16" t="s">
        <v>214</v>
      </c>
      <c r="G9" s="17" t="s">
        <v>74</v>
      </c>
      <c r="H9" s="13">
        <v>16.0</v>
      </c>
      <c r="I9" s="17" t="s">
        <v>108</v>
      </c>
      <c r="J9" s="17" t="s">
        <v>79</v>
      </c>
      <c r="K9" s="13" t="s">
        <v>81</v>
      </c>
      <c r="L9" s="17" t="s">
        <v>83</v>
      </c>
      <c r="M9" s="13" t="s">
        <v>85</v>
      </c>
      <c r="N9" s="16" t="s">
        <v>215</v>
      </c>
      <c r="O9" s="16" t="s">
        <v>216</v>
      </c>
      <c r="P9" s="16" t="s">
        <v>217</v>
      </c>
      <c r="Q9" s="15" t="s">
        <v>153</v>
      </c>
      <c r="R9" s="5" t="s">
        <v>200</v>
      </c>
      <c r="S9" s="5" t="s">
        <v>201</v>
      </c>
      <c r="T9" s="5" t="s">
        <v>96</v>
      </c>
      <c r="U9" s="15" t="s">
        <v>153</v>
      </c>
    </row>
    <row r="10" ht="82.5" customHeight="1">
      <c r="A10" s="13">
        <v>8.0</v>
      </c>
      <c r="B10" s="13" t="s">
        <v>183</v>
      </c>
      <c r="C10" s="14" t="s">
        <v>184</v>
      </c>
      <c r="D10" s="15" t="s">
        <v>123</v>
      </c>
      <c r="E10" s="16" t="s">
        <v>221</v>
      </c>
      <c r="F10" s="16" t="s">
        <v>222</v>
      </c>
      <c r="G10" s="17" t="s">
        <v>150</v>
      </c>
      <c r="H10" s="13">
        <v>9.0</v>
      </c>
      <c r="I10" s="17" t="s">
        <v>77</v>
      </c>
      <c r="J10" s="17" t="s">
        <v>106</v>
      </c>
      <c r="K10" s="13" t="s">
        <v>81</v>
      </c>
      <c r="L10" s="17" t="s">
        <v>83</v>
      </c>
      <c r="M10" s="13" t="s">
        <v>85</v>
      </c>
      <c r="N10" s="16" t="s">
        <v>223</v>
      </c>
      <c r="O10" s="16" t="s">
        <v>224</v>
      </c>
      <c r="P10" s="16" t="s">
        <v>225</v>
      </c>
      <c r="Q10" s="15" t="s">
        <v>153</v>
      </c>
      <c r="R10" s="5" t="s">
        <v>200</v>
      </c>
      <c r="S10" s="5" t="s">
        <v>201</v>
      </c>
      <c r="T10" s="5" t="s">
        <v>96</v>
      </c>
      <c r="U10" s="15" t="s">
        <v>153</v>
      </c>
    </row>
    <row r="11" ht="82.5" customHeight="1">
      <c r="A11" s="13">
        <v>9.0</v>
      </c>
      <c r="B11" s="13" t="s">
        <v>189</v>
      </c>
      <c r="C11" s="14" t="s">
        <v>190</v>
      </c>
      <c r="D11" s="15" t="s">
        <v>123</v>
      </c>
      <c r="E11" s="16" t="s">
        <v>229</v>
      </c>
      <c r="F11" s="16" t="s">
        <v>230</v>
      </c>
      <c r="G11" s="17" t="s">
        <v>74</v>
      </c>
      <c r="H11" s="13">
        <v>12.0</v>
      </c>
      <c r="I11" s="17" t="s">
        <v>77</v>
      </c>
      <c r="J11" s="17" t="s">
        <v>79</v>
      </c>
      <c r="K11" s="13" t="s">
        <v>81</v>
      </c>
      <c r="L11" s="17" t="s">
        <v>83</v>
      </c>
      <c r="M11" s="13" t="s">
        <v>85</v>
      </c>
      <c r="N11" s="16" t="s">
        <v>231</v>
      </c>
      <c r="O11" s="16" t="s">
        <v>232</v>
      </c>
      <c r="P11" s="16" t="s">
        <v>233</v>
      </c>
      <c r="Q11" s="15" t="s">
        <v>153</v>
      </c>
      <c r="R11" s="5" t="s">
        <v>200</v>
      </c>
      <c r="S11" s="5" t="s">
        <v>201</v>
      </c>
      <c r="T11" s="5" t="s">
        <v>102</v>
      </c>
      <c r="U11" s="15" t="s">
        <v>153</v>
      </c>
    </row>
    <row r="12" ht="82.5" customHeight="1">
      <c r="A12" s="13">
        <v>10.0</v>
      </c>
      <c r="B12" s="13" t="s">
        <v>192</v>
      </c>
      <c r="C12" s="14" t="s">
        <v>193</v>
      </c>
      <c r="D12" s="15" t="s">
        <v>127</v>
      </c>
      <c r="E12" s="16" t="s">
        <v>237</v>
      </c>
      <c r="F12" s="16" t="s">
        <v>238</v>
      </c>
      <c r="G12" s="17" t="s">
        <v>74</v>
      </c>
      <c r="H12" s="13">
        <v>15.0</v>
      </c>
      <c r="I12" s="17" t="s">
        <v>77</v>
      </c>
      <c r="J12" s="17" t="s">
        <v>114</v>
      </c>
      <c r="K12" s="13" t="s">
        <v>81</v>
      </c>
      <c r="L12" s="17" t="s">
        <v>83</v>
      </c>
      <c r="M12" s="13" t="s">
        <v>85</v>
      </c>
      <c r="N12" s="16" t="s">
        <v>241</v>
      </c>
      <c r="O12" s="16" t="s">
        <v>243</v>
      </c>
      <c r="P12" s="16" t="s">
        <v>244</v>
      </c>
      <c r="Q12" s="15" t="s">
        <v>153</v>
      </c>
      <c r="R12" s="5" t="s">
        <v>96</v>
      </c>
      <c r="S12" s="5" t="s">
        <v>201</v>
      </c>
      <c r="T12" s="5" t="s">
        <v>102</v>
      </c>
      <c r="U12" s="15" t="s">
        <v>153</v>
      </c>
    </row>
    <row r="13" ht="82.5" customHeight="1">
      <c r="A13" s="13">
        <v>11.0</v>
      </c>
      <c r="B13" s="13" t="s">
        <v>202</v>
      </c>
      <c r="C13" s="14" t="s">
        <v>203</v>
      </c>
      <c r="D13" s="15" t="s">
        <v>127</v>
      </c>
      <c r="E13" s="16" t="s">
        <v>245</v>
      </c>
      <c r="F13" s="16" t="s">
        <v>246</v>
      </c>
      <c r="G13" s="17" t="s">
        <v>74</v>
      </c>
      <c r="H13" s="13">
        <v>12.0</v>
      </c>
      <c r="I13" s="17" t="s">
        <v>77</v>
      </c>
      <c r="J13" s="17" t="s">
        <v>79</v>
      </c>
      <c r="K13" s="13" t="s">
        <v>81</v>
      </c>
      <c r="L13" s="17" t="s">
        <v>83</v>
      </c>
      <c r="M13" s="13" t="s">
        <v>85</v>
      </c>
      <c r="N13" s="16" t="s">
        <v>250</v>
      </c>
      <c r="O13" s="16" t="s">
        <v>251</v>
      </c>
      <c r="P13" s="16" t="s">
        <v>252</v>
      </c>
      <c r="Q13" s="15" t="s">
        <v>154</v>
      </c>
      <c r="R13" s="5" t="s">
        <v>96</v>
      </c>
      <c r="S13" s="5" t="s">
        <v>101</v>
      </c>
      <c r="T13" s="5" t="s">
        <v>102</v>
      </c>
      <c r="U13" s="15" t="s">
        <v>154</v>
      </c>
    </row>
    <row r="14" ht="82.5" customHeight="1">
      <c r="A14" s="13">
        <v>12.0</v>
      </c>
      <c r="B14" s="13" t="s">
        <v>210</v>
      </c>
      <c r="C14" s="14" t="s">
        <v>211</v>
      </c>
      <c r="D14" s="15" t="s">
        <v>127</v>
      </c>
      <c r="E14" s="16" t="s">
        <v>256</v>
      </c>
      <c r="F14" s="16" t="s">
        <v>257</v>
      </c>
      <c r="G14" s="17" t="s">
        <v>74</v>
      </c>
      <c r="H14" s="13">
        <v>15.0</v>
      </c>
      <c r="I14" s="17" t="s">
        <v>77</v>
      </c>
      <c r="J14" s="17" t="s">
        <v>114</v>
      </c>
      <c r="K14" s="13" t="s">
        <v>81</v>
      </c>
      <c r="L14" s="17" t="s">
        <v>83</v>
      </c>
      <c r="M14" s="13" t="s">
        <v>85</v>
      </c>
      <c r="N14" s="16" t="s">
        <v>258</v>
      </c>
      <c r="O14" s="16" t="s">
        <v>259</v>
      </c>
      <c r="P14" s="16" t="s">
        <v>260</v>
      </c>
      <c r="Q14" s="15" t="s">
        <v>153</v>
      </c>
      <c r="R14" s="5" t="s">
        <v>96</v>
      </c>
      <c r="S14" s="5" t="s">
        <v>201</v>
      </c>
      <c r="T14" s="5" t="s">
        <v>261</v>
      </c>
      <c r="U14" s="15" t="s">
        <v>153</v>
      </c>
    </row>
    <row r="15" ht="82.5" customHeight="1">
      <c r="A15" s="13">
        <v>13.0</v>
      </c>
      <c r="B15" s="13" t="s">
        <v>218</v>
      </c>
      <c r="C15" s="14" t="s">
        <v>219</v>
      </c>
      <c r="D15" s="15" t="s">
        <v>127</v>
      </c>
      <c r="E15" s="16" t="s">
        <v>265</v>
      </c>
      <c r="F15" s="16" t="s">
        <v>266</v>
      </c>
      <c r="G15" s="17" t="s">
        <v>74</v>
      </c>
      <c r="H15" s="13">
        <v>10.0</v>
      </c>
      <c r="I15" s="17" t="s">
        <v>99</v>
      </c>
      <c r="J15" s="17" t="s">
        <v>114</v>
      </c>
      <c r="K15" s="13" t="s">
        <v>81</v>
      </c>
      <c r="L15" s="17" t="s">
        <v>267</v>
      </c>
      <c r="M15" s="13" t="s">
        <v>85</v>
      </c>
      <c r="N15" s="16" t="s">
        <v>268</v>
      </c>
      <c r="O15" s="16" t="s">
        <v>269</v>
      </c>
      <c r="P15" s="16" t="s">
        <v>270</v>
      </c>
      <c r="Q15" s="15" t="s">
        <v>153</v>
      </c>
      <c r="R15" s="5" t="s">
        <v>271</v>
      </c>
      <c r="S15" s="5" t="s">
        <v>261</v>
      </c>
      <c r="T15" s="5" t="s">
        <v>102</v>
      </c>
      <c r="U15" s="15" t="s">
        <v>153</v>
      </c>
    </row>
    <row r="16" ht="82.5" customHeight="1">
      <c r="A16" s="13">
        <v>14.0</v>
      </c>
      <c r="B16" s="13" t="s">
        <v>226</v>
      </c>
      <c r="C16" s="14" t="s">
        <v>227</v>
      </c>
      <c r="D16" s="15" t="s">
        <v>133</v>
      </c>
      <c r="E16" s="16" t="s">
        <v>275</v>
      </c>
      <c r="F16" s="16" t="s">
        <v>276</v>
      </c>
      <c r="G16" s="17" t="s">
        <v>74</v>
      </c>
      <c r="H16" s="13">
        <v>16.0</v>
      </c>
      <c r="I16" s="17" t="s">
        <v>108</v>
      </c>
      <c r="J16" s="17" t="s">
        <v>79</v>
      </c>
      <c r="K16" s="13" t="s">
        <v>81</v>
      </c>
      <c r="L16" s="17" t="s">
        <v>83</v>
      </c>
      <c r="M16" s="13" t="s">
        <v>85</v>
      </c>
      <c r="N16" s="16" t="s">
        <v>277</v>
      </c>
      <c r="O16" s="16" t="s">
        <v>278</v>
      </c>
      <c r="P16" s="16" t="s">
        <v>279</v>
      </c>
      <c r="Q16" s="15" t="s">
        <v>95</v>
      </c>
      <c r="R16" s="5" t="s">
        <v>102</v>
      </c>
      <c r="S16" s="5" t="s">
        <v>102</v>
      </c>
      <c r="T16" s="5" t="s">
        <v>280</v>
      </c>
      <c r="U16" s="15" t="s">
        <v>95</v>
      </c>
    </row>
    <row r="17" ht="82.5" customHeight="1">
      <c r="A17" s="13">
        <v>15.0</v>
      </c>
      <c r="B17" s="13" t="s">
        <v>234</v>
      </c>
      <c r="C17" s="14" t="s">
        <v>235</v>
      </c>
      <c r="D17" s="15" t="s">
        <v>133</v>
      </c>
      <c r="E17" s="16" t="s">
        <v>281</v>
      </c>
      <c r="F17" s="16" t="s">
        <v>282</v>
      </c>
      <c r="G17" s="17" t="s">
        <v>74</v>
      </c>
      <c r="H17" s="13">
        <v>12.0</v>
      </c>
      <c r="I17" s="17" t="s">
        <v>108</v>
      </c>
      <c r="J17" s="17" t="s">
        <v>106</v>
      </c>
      <c r="K17" s="13" t="s">
        <v>81</v>
      </c>
      <c r="L17" s="17" t="s">
        <v>83</v>
      </c>
      <c r="M17" s="13" t="s">
        <v>85</v>
      </c>
      <c r="N17" s="16" t="s">
        <v>286</v>
      </c>
      <c r="O17" s="16" t="s">
        <v>287</v>
      </c>
      <c r="P17" s="16" t="s">
        <v>288</v>
      </c>
      <c r="Q17" s="15" t="s">
        <v>95</v>
      </c>
      <c r="R17" s="5" t="s">
        <v>102</v>
      </c>
      <c r="S17" s="5" t="s">
        <v>102</v>
      </c>
      <c r="T17" s="5" t="s">
        <v>280</v>
      </c>
      <c r="U17" s="15" t="s">
        <v>95</v>
      </c>
    </row>
    <row r="18" ht="82.5" customHeight="1">
      <c r="A18" s="13">
        <v>16.0</v>
      </c>
      <c r="B18" s="13" t="s">
        <v>239</v>
      </c>
      <c r="C18" s="14" t="s">
        <v>240</v>
      </c>
      <c r="D18" s="15" t="s">
        <v>133</v>
      </c>
      <c r="E18" s="16" t="s">
        <v>289</v>
      </c>
      <c r="F18" s="16" t="s">
        <v>290</v>
      </c>
      <c r="G18" s="17" t="s">
        <v>74</v>
      </c>
      <c r="H18" s="13">
        <v>12.0</v>
      </c>
      <c r="I18" s="17" t="s">
        <v>77</v>
      </c>
      <c r="J18" s="17" t="s">
        <v>79</v>
      </c>
      <c r="K18" s="13" t="s">
        <v>81</v>
      </c>
      <c r="L18" s="17" t="s">
        <v>83</v>
      </c>
      <c r="M18" s="13" t="s">
        <v>85</v>
      </c>
      <c r="N18" s="16" t="s">
        <v>294</v>
      </c>
      <c r="O18" s="16" t="s">
        <v>295</v>
      </c>
      <c r="P18" s="16" t="s">
        <v>296</v>
      </c>
      <c r="Q18" s="15" t="s">
        <v>95</v>
      </c>
      <c r="R18" s="5" t="s">
        <v>102</v>
      </c>
      <c r="S18" s="5" t="s">
        <v>102</v>
      </c>
      <c r="T18" s="5" t="s">
        <v>280</v>
      </c>
      <c r="U18" s="15" t="s">
        <v>95</v>
      </c>
    </row>
    <row r="19" ht="82.5" customHeight="1">
      <c r="A19" s="13">
        <v>17.0</v>
      </c>
      <c r="B19" s="13" t="s">
        <v>247</v>
      </c>
      <c r="C19" s="14" t="s">
        <v>248</v>
      </c>
      <c r="D19" s="15" t="s">
        <v>133</v>
      </c>
      <c r="E19" s="16" t="s">
        <v>297</v>
      </c>
      <c r="F19" s="16" t="s">
        <v>298</v>
      </c>
      <c r="G19" s="17" t="s">
        <v>74</v>
      </c>
      <c r="H19" s="13">
        <v>12.0</v>
      </c>
      <c r="I19" s="17" t="s">
        <v>77</v>
      </c>
      <c r="J19" s="17" t="s">
        <v>79</v>
      </c>
      <c r="K19" s="13" t="s">
        <v>81</v>
      </c>
      <c r="L19" s="17" t="s">
        <v>83</v>
      </c>
      <c r="M19" s="13" t="s">
        <v>85</v>
      </c>
      <c r="N19" s="16" t="s">
        <v>302</v>
      </c>
      <c r="O19" s="16" t="s">
        <v>303</v>
      </c>
      <c r="P19" s="16" t="s">
        <v>304</v>
      </c>
      <c r="Q19" s="15" t="s">
        <v>95</v>
      </c>
      <c r="R19" s="5" t="s">
        <v>102</v>
      </c>
      <c r="S19" s="5" t="s">
        <v>101</v>
      </c>
      <c r="T19" s="5" t="s">
        <v>96</v>
      </c>
      <c r="U19" s="15" t="s">
        <v>95</v>
      </c>
    </row>
    <row r="20" ht="82.5" customHeight="1">
      <c r="A20" s="13">
        <v>18.0</v>
      </c>
      <c r="B20" s="13" t="s">
        <v>253</v>
      </c>
      <c r="C20" s="14" t="s">
        <v>254</v>
      </c>
      <c r="D20" s="15" t="s">
        <v>133</v>
      </c>
      <c r="E20" s="16" t="s">
        <v>307</v>
      </c>
      <c r="F20" s="16" t="s">
        <v>309</v>
      </c>
      <c r="G20" s="17" t="s">
        <v>147</v>
      </c>
      <c r="H20" s="13">
        <v>20.0</v>
      </c>
      <c r="I20" s="17" t="s">
        <v>108</v>
      </c>
      <c r="J20" s="17" t="s">
        <v>114</v>
      </c>
      <c r="K20" s="13" t="s">
        <v>81</v>
      </c>
      <c r="L20" s="17" t="s">
        <v>83</v>
      </c>
      <c r="M20" s="13" t="s">
        <v>85</v>
      </c>
      <c r="N20" s="16" t="s">
        <v>310</v>
      </c>
      <c r="O20" s="16" t="s">
        <v>311</v>
      </c>
      <c r="P20" s="16" t="s">
        <v>312</v>
      </c>
      <c r="Q20" s="15" t="s">
        <v>95</v>
      </c>
      <c r="R20" s="5" t="s">
        <v>102</v>
      </c>
      <c r="S20" s="5" t="s">
        <v>102</v>
      </c>
      <c r="T20" s="5" t="s">
        <v>280</v>
      </c>
      <c r="U20" s="15" t="s">
        <v>95</v>
      </c>
    </row>
    <row r="21" ht="82.5" customHeight="1">
      <c r="A21" s="13">
        <v>19.0</v>
      </c>
      <c r="B21" s="13" t="s">
        <v>262</v>
      </c>
      <c r="C21" s="14" t="s">
        <v>263</v>
      </c>
      <c r="D21" s="15" t="s">
        <v>136</v>
      </c>
      <c r="E21" s="16" t="s">
        <v>316</v>
      </c>
      <c r="F21" s="16" t="s">
        <v>317</v>
      </c>
      <c r="G21" s="17" t="s">
        <v>74</v>
      </c>
      <c r="H21" s="13">
        <v>12.0</v>
      </c>
      <c r="I21" s="17" t="s">
        <v>77</v>
      </c>
      <c r="J21" s="17" t="s">
        <v>79</v>
      </c>
      <c r="K21" s="13" t="s">
        <v>81</v>
      </c>
      <c r="L21" s="17" t="s">
        <v>83</v>
      </c>
      <c r="M21" s="13" t="s">
        <v>85</v>
      </c>
      <c r="N21" s="16" t="s">
        <v>318</v>
      </c>
      <c r="O21" s="16" t="s">
        <v>319</v>
      </c>
      <c r="P21" s="16" t="s">
        <v>320</v>
      </c>
      <c r="Q21" s="15" t="s">
        <v>95</v>
      </c>
      <c r="R21" s="5" t="s">
        <v>102</v>
      </c>
      <c r="S21" s="5" t="s">
        <v>102</v>
      </c>
      <c r="T21" s="5" t="s">
        <v>280</v>
      </c>
      <c r="U21" s="15" t="s">
        <v>95</v>
      </c>
    </row>
    <row r="22" ht="82.5" customHeight="1">
      <c r="A22" s="13">
        <v>20.0</v>
      </c>
      <c r="B22" s="13" t="s">
        <v>272</v>
      </c>
      <c r="C22" s="14" t="s">
        <v>273</v>
      </c>
      <c r="D22" s="15" t="s">
        <v>136</v>
      </c>
      <c r="E22" s="16" t="s">
        <v>324</v>
      </c>
      <c r="F22" s="16" t="s">
        <v>325</v>
      </c>
      <c r="G22" s="17" t="s">
        <v>74</v>
      </c>
      <c r="H22" s="13">
        <v>16.0</v>
      </c>
      <c r="I22" s="17" t="s">
        <v>108</v>
      </c>
      <c r="J22" s="17" t="s">
        <v>79</v>
      </c>
      <c r="K22" s="13" t="s">
        <v>81</v>
      </c>
      <c r="L22" s="17" t="s">
        <v>83</v>
      </c>
      <c r="M22" s="13" t="s">
        <v>85</v>
      </c>
      <c r="N22" s="16" t="s">
        <v>326</v>
      </c>
      <c r="O22" s="16" t="s">
        <v>327</v>
      </c>
      <c r="P22" s="16" t="s">
        <v>328</v>
      </c>
      <c r="Q22" s="15" t="s">
        <v>154</v>
      </c>
      <c r="R22" s="5" t="s">
        <v>102</v>
      </c>
      <c r="S22" s="5" t="s">
        <v>102</v>
      </c>
      <c r="T22" s="5" t="s">
        <v>280</v>
      </c>
      <c r="U22" s="15" t="s">
        <v>154</v>
      </c>
    </row>
    <row r="23" ht="82.5" customHeight="1">
      <c r="A23" s="13">
        <v>21.0</v>
      </c>
      <c r="B23" s="13" t="s">
        <v>283</v>
      </c>
      <c r="C23" s="14" t="s">
        <v>284</v>
      </c>
      <c r="D23" s="15" t="s">
        <v>136</v>
      </c>
      <c r="E23" s="16" t="s">
        <v>332</v>
      </c>
      <c r="F23" s="16" t="s">
        <v>333</v>
      </c>
      <c r="G23" s="17" t="s">
        <v>74</v>
      </c>
      <c r="H23" s="13">
        <v>12.0</v>
      </c>
      <c r="I23" s="17" t="s">
        <v>108</v>
      </c>
      <c r="J23" s="17" t="s">
        <v>106</v>
      </c>
      <c r="K23" s="13" t="s">
        <v>81</v>
      </c>
      <c r="L23" s="17" t="s">
        <v>83</v>
      </c>
      <c r="M23" s="13" t="s">
        <v>85</v>
      </c>
      <c r="N23" s="16" t="s">
        <v>334</v>
      </c>
      <c r="O23" s="16" t="s">
        <v>335</v>
      </c>
      <c r="P23" s="16" t="s">
        <v>320</v>
      </c>
      <c r="Q23" s="15" t="s">
        <v>95</v>
      </c>
      <c r="R23" s="5" t="s">
        <v>102</v>
      </c>
      <c r="S23" s="5" t="s">
        <v>102</v>
      </c>
      <c r="T23" s="5" t="s">
        <v>280</v>
      </c>
      <c r="U23" s="15" t="s">
        <v>95</v>
      </c>
    </row>
    <row r="24" ht="82.5" customHeight="1">
      <c r="A24" s="13">
        <v>22.0</v>
      </c>
      <c r="B24" s="13" t="s">
        <v>291</v>
      </c>
      <c r="C24" s="14" t="s">
        <v>292</v>
      </c>
      <c r="D24" s="15" t="s">
        <v>136</v>
      </c>
      <c r="E24" s="16" t="s">
        <v>339</v>
      </c>
      <c r="F24" s="16" t="s">
        <v>340</v>
      </c>
      <c r="G24" s="17" t="s">
        <v>74</v>
      </c>
      <c r="H24" s="13">
        <v>12.0</v>
      </c>
      <c r="I24" s="17" t="s">
        <v>77</v>
      </c>
      <c r="J24" s="17" t="s">
        <v>79</v>
      </c>
      <c r="K24" s="13" t="s">
        <v>81</v>
      </c>
      <c r="L24" s="17" t="s">
        <v>83</v>
      </c>
      <c r="M24" s="13" t="s">
        <v>85</v>
      </c>
      <c r="N24" s="16" t="s">
        <v>341</v>
      </c>
      <c r="O24" s="16" t="s">
        <v>342</v>
      </c>
      <c r="P24" s="16" t="s">
        <v>343</v>
      </c>
      <c r="Q24" s="15" t="s">
        <v>95</v>
      </c>
      <c r="R24" s="5" t="s">
        <v>102</v>
      </c>
      <c r="S24" s="5" t="s">
        <v>102</v>
      </c>
      <c r="T24" s="5" t="s">
        <v>280</v>
      </c>
      <c r="U24" s="15" t="s">
        <v>95</v>
      </c>
    </row>
    <row r="25" ht="82.5" customHeight="1">
      <c r="A25" s="13">
        <v>23.0</v>
      </c>
      <c r="B25" s="13" t="s">
        <v>299</v>
      </c>
      <c r="C25" s="14" t="s">
        <v>300</v>
      </c>
      <c r="D25" s="15" t="s">
        <v>140</v>
      </c>
      <c r="E25" s="16" t="s">
        <v>344</v>
      </c>
      <c r="F25" s="16" t="s">
        <v>346</v>
      </c>
      <c r="G25" s="17" t="s">
        <v>74</v>
      </c>
      <c r="H25" s="13">
        <v>12.0</v>
      </c>
      <c r="I25" s="17" t="s">
        <v>77</v>
      </c>
      <c r="J25" s="17" t="s">
        <v>79</v>
      </c>
      <c r="K25" s="13" t="s">
        <v>81</v>
      </c>
      <c r="L25" s="17" t="s">
        <v>83</v>
      </c>
      <c r="M25" s="13" t="s">
        <v>85</v>
      </c>
      <c r="N25" s="16" t="s">
        <v>349</v>
      </c>
      <c r="O25" s="16" t="s">
        <v>350</v>
      </c>
      <c r="P25" s="16" t="s">
        <v>351</v>
      </c>
      <c r="Q25" s="15" t="s">
        <v>153</v>
      </c>
      <c r="R25" s="5" t="s">
        <v>96</v>
      </c>
      <c r="S25" s="5" t="s">
        <v>352</v>
      </c>
      <c r="T25" s="10" t="s">
        <v>102</v>
      </c>
      <c r="U25" s="15" t="s">
        <v>153</v>
      </c>
    </row>
    <row r="26" ht="82.5" customHeight="1">
      <c r="A26" s="13">
        <v>24.0</v>
      </c>
      <c r="B26" s="13" t="s">
        <v>305</v>
      </c>
      <c r="C26" s="14" t="s">
        <v>306</v>
      </c>
      <c r="D26" s="15" t="s">
        <v>140</v>
      </c>
      <c r="E26" s="16" t="s">
        <v>356</v>
      </c>
      <c r="F26" s="16" t="s">
        <v>357</v>
      </c>
      <c r="G26" s="17" t="s">
        <v>74</v>
      </c>
      <c r="H26" s="13">
        <v>15.0</v>
      </c>
      <c r="I26" s="17" t="s">
        <v>77</v>
      </c>
      <c r="J26" s="17" t="s">
        <v>114</v>
      </c>
      <c r="K26" s="13" t="s">
        <v>81</v>
      </c>
      <c r="L26" s="17" t="s">
        <v>83</v>
      </c>
      <c r="M26" s="13" t="s">
        <v>85</v>
      </c>
      <c r="N26" s="16" t="s">
        <v>358</v>
      </c>
      <c r="O26" s="16" t="s">
        <v>359</v>
      </c>
      <c r="P26" s="16" t="s">
        <v>360</v>
      </c>
      <c r="Q26" s="15" t="s">
        <v>153</v>
      </c>
      <c r="R26" s="5" t="s">
        <v>96</v>
      </c>
      <c r="S26" s="5" t="s">
        <v>352</v>
      </c>
      <c r="T26" s="10" t="s">
        <v>102</v>
      </c>
      <c r="U26" s="15" t="s">
        <v>153</v>
      </c>
    </row>
    <row r="27" ht="82.5" customHeight="1">
      <c r="A27" s="13">
        <v>25.0</v>
      </c>
      <c r="B27" s="13" t="s">
        <v>313</v>
      </c>
      <c r="C27" s="14" t="s">
        <v>314</v>
      </c>
      <c r="D27" s="15" t="s">
        <v>140</v>
      </c>
      <c r="E27" s="16" t="s">
        <v>364</v>
      </c>
      <c r="F27" s="16" t="s">
        <v>365</v>
      </c>
      <c r="G27" s="17" t="s">
        <v>150</v>
      </c>
      <c r="H27" s="13">
        <v>9.0</v>
      </c>
      <c r="I27" s="17" t="s">
        <v>77</v>
      </c>
      <c r="J27" s="17" t="s">
        <v>106</v>
      </c>
      <c r="K27" s="13" t="s">
        <v>81</v>
      </c>
      <c r="L27" s="17" t="s">
        <v>83</v>
      </c>
      <c r="M27" s="13" t="s">
        <v>85</v>
      </c>
      <c r="N27" s="16" t="s">
        <v>366</v>
      </c>
      <c r="O27" s="16" t="s">
        <v>367</v>
      </c>
      <c r="P27" s="16" t="s">
        <v>368</v>
      </c>
      <c r="Q27" s="15" t="s">
        <v>153</v>
      </c>
      <c r="R27" s="5" t="s">
        <v>96</v>
      </c>
      <c r="S27" s="5" t="s">
        <v>352</v>
      </c>
      <c r="T27" s="10" t="s">
        <v>102</v>
      </c>
      <c r="U27" s="15" t="s">
        <v>153</v>
      </c>
    </row>
    <row r="28" ht="82.5" customHeight="1">
      <c r="A28" s="13">
        <v>26.0</v>
      </c>
      <c r="B28" s="13" t="s">
        <v>321</v>
      </c>
      <c r="C28" s="14" t="s">
        <v>322</v>
      </c>
      <c r="D28" s="15" t="s">
        <v>140</v>
      </c>
      <c r="E28" s="16" t="s">
        <v>369</v>
      </c>
      <c r="F28" s="16" t="s">
        <v>370</v>
      </c>
      <c r="G28" s="17" t="s">
        <v>74</v>
      </c>
      <c r="H28" s="13">
        <v>12.0</v>
      </c>
      <c r="I28" s="17" t="s">
        <v>77</v>
      </c>
      <c r="J28" s="17" t="s">
        <v>79</v>
      </c>
      <c r="K28" s="13" t="s">
        <v>81</v>
      </c>
      <c r="L28" s="17" t="s">
        <v>83</v>
      </c>
      <c r="M28" s="13" t="s">
        <v>85</v>
      </c>
      <c r="N28" s="16" t="s">
        <v>374</v>
      </c>
      <c r="O28" s="16" t="s">
        <v>375</v>
      </c>
      <c r="P28" s="16" t="s">
        <v>376</v>
      </c>
      <c r="Q28" s="15" t="s">
        <v>154</v>
      </c>
      <c r="R28" s="5" t="s">
        <v>96</v>
      </c>
      <c r="S28" s="5" t="s">
        <v>377</v>
      </c>
      <c r="T28" s="10" t="s">
        <v>102</v>
      </c>
      <c r="U28" s="15" t="s">
        <v>154</v>
      </c>
    </row>
    <row r="29" ht="82.5" customHeight="1">
      <c r="A29" s="13">
        <v>27.0</v>
      </c>
      <c r="B29" s="13" t="s">
        <v>329</v>
      </c>
      <c r="C29" s="14" t="s">
        <v>330</v>
      </c>
      <c r="D29" s="15" t="s">
        <v>140</v>
      </c>
      <c r="E29" s="16" t="s">
        <v>378</v>
      </c>
      <c r="F29" s="16" t="s">
        <v>379</v>
      </c>
      <c r="G29" s="17" t="s">
        <v>74</v>
      </c>
      <c r="H29" s="13">
        <v>12.0</v>
      </c>
      <c r="I29" s="17" t="s">
        <v>77</v>
      </c>
      <c r="J29" s="17" t="s">
        <v>79</v>
      </c>
      <c r="K29" s="13" t="s">
        <v>81</v>
      </c>
      <c r="L29" s="17" t="s">
        <v>83</v>
      </c>
      <c r="M29" s="13" t="s">
        <v>85</v>
      </c>
      <c r="N29" s="16" t="s">
        <v>383</v>
      </c>
      <c r="O29" s="16" t="s">
        <v>384</v>
      </c>
      <c r="P29" s="16" t="s">
        <v>385</v>
      </c>
      <c r="Q29" s="15" t="s">
        <v>153</v>
      </c>
      <c r="R29" s="5" t="s">
        <v>96</v>
      </c>
      <c r="S29" s="5" t="s">
        <v>377</v>
      </c>
      <c r="T29" s="10" t="s">
        <v>102</v>
      </c>
      <c r="U29" s="15" t="s">
        <v>153</v>
      </c>
    </row>
    <row r="30" ht="82.5" customHeight="1">
      <c r="A30" s="13">
        <v>28.0</v>
      </c>
      <c r="B30" s="13" t="s">
        <v>336</v>
      </c>
      <c r="C30" s="14" t="s">
        <v>337</v>
      </c>
      <c r="D30" s="15" t="s">
        <v>140</v>
      </c>
      <c r="E30" s="16" t="s">
        <v>388</v>
      </c>
      <c r="F30" s="16" t="s">
        <v>390</v>
      </c>
      <c r="G30" s="17" t="s">
        <v>150</v>
      </c>
      <c r="H30" s="13">
        <v>9.0</v>
      </c>
      <c r="I30" s="17" t="s">
        <v>77</v>
      </c>
      <c r="J30" s="17" t="s">
        <v>106</v>
      </c>
      <c r="K30" s="13" t="s">
        <v>81</v>
      </c>
      <c r="L30" s="17" t="s">
        <v>83</v>
      </c>
      <c r="M30" s="13" t="s">
        <v>85</v>
      </c>
      <c r="N30" s="16" t="s">
        <v>391</v>
      </c>
      <c r="O30" s="16" t="s">
        <v>392</v>
      </c>
      <c r="P30" s="16" t="s">
        <v>393</v>
      </c>
      <c r="Q30" s="15" t="s">
        <v>154</v>
      </c>
      <c r="R30" s="5" t="s">
        <v>96</v>
      </c>
      <c r="S30" s="5" t="s">
        <v>101</v>
      </c>
      <c r="T30" s="10" t="s">
        <v>102</v>
      </c>
      <c r="U30" s="15" t="s">
        <v>154</v>
      </c>
    </row>
    <row r="31" ht="82.5" customHeight="1">
      <c r="A31" s="13">
        <v>29.0</v>
      </c>
      <c r="B31" s="13" t="s">
        <v>345</v>
      </c>
      <c r="C31" s="14" t="s">
        <v>347</v>
      </c>
      <c r="D31" s="15" t="s">
        <v>143</v>
      </c>
      <c r="E31" s="16" t="s">
        <v>397</v>
      </c>
      <c r="F31" s="16" t="s">
        <v>398</v>
      </c>
      <c r="G31" s="17" t="s">
        <v>74</v>
      </c>
      <c r="H31" s="13">
        <v>16.0</v>
      </c>
      <c r="I31" s="17" t="s">
        <v>108</v>
      </c>
      <c r="J31" s="17" t="s">
        <v>79</v>
      </c>
      <c r="K31" s="13" t="s">
        <v>81</v>
      </c>
      <c r="L31" s="17" t="s">
        <v>83</v>
      </c>
      <c r="M31" s="13" t="s">
        <v>85</v>
      </c>
      <c r="N31" s="16" t="s">
        <v>399</v>
      </c>
      <c r="O31" s="16" t="s">
        <v>400</v>
      </c>
      <c r="P31" s="16" t="s">
        <v>401</v>
      </c>
      <c r="Q31" s="15" t="s">
        <v>95</v>
      </c>
      <c r="R31" s="5" t="s">
        <v>200</v>
      </c>
      <c r="S31" s="5" t="s">
        <v>402</v>
      </c>
      <c r="T31" s="5" t="s">
        <v>96</v>
      </c>
      <c r="U31" s="15" t="s">
        <v>95</v>
      </c>
    </row>
    <row r="32" ht="82.5" customHeight="1">
      <c r="A32" s="13">
        <v>30.0</v>
      </c>
      <c r="B32" s="13" t="s">
        <v>353</v>
      </c>
      <c r="C32" s="14" t="s">
        <v>354</v>
      </c>
      <c r="D32" s="15" t="s">
        <v>143</v>
      </c>
      <c r="E32" s="16" t="s">
        <v>406</v>
      </c>
      <c r="F32" s="16" t="s">
        <v>407</v>
      </c>
      <c r="G32" s="17" t="s">
        <v>74</v>
      </c>
      <c r="H32" s="13">
        <v>16.0</v>
      </c>
      <c r="I32" s="17" t="s">
        <v>108</v>
      </c>
      <c r="J32" s="17" t="s">
        <v>79</v>
      </c>
      <c r="K32" s="13" t="s">
        <v>81</v>
      </c>
      <c r="L32" s="17" t="s">
        <v>83</v>
      </c>
      <c r="M32" s="13" t="s">
        <v>85</v>
      </c>
      <c r="N32" s="16" t="s">
        <v>408</v>
      </c>
      <c r="O32" s="16" t="s">
        <v>409</v>
      </c>
      <c r="P32" s="16" t="s">
        <v>410</v>
      </c>
      <c r="Q32" s="15" t="s">
        <v>154</v>
      </c>
      <c r="R32" s="5" t="s">
        <v>200</v>
      </c>
      <c r="S32" s="5" t="s">
        <v>402</v>
      </c>
      <c r="T32" s="5" t="s">
        <v>96</v>
      </c>
      <c r="U32" s="15" t="s">
        <v>154</v>
      </c>
    </row>
    <row r="33" ht="82.5" customHeight="1">
      <c r="A33" s="13">
        <v>31.0</v>
      </c>
      <c r="B33" s="13" t="s">
        <v>361</v>
      </c>
      <c r="C33" s="14" t="s">
        <v>362</v>
      </c>
      <c r="D33" s="15" t="s">
        <v>143</v>
      </c>
      <c r="E33" s="16" t="s">
        <v>414</v>
      </c>
      <c r="F33" s="16" t="s">
        <v>415</v>
      </c>
      <c r="G33" s="17" t="s">
        <v>74</v>
      </c>
      <c r="H33" s="13">
        <v>12.0</v>
      </c>
      <c r="I33" s="17" t="s">
        <v>77</v>
      </c>
      <c r="J33" s="17" t="s">
        <v>79</v>
      </c>
      <c r="K33" s="13" t="s">
        <v>81</v>
      </c>
      <c r="L33" s="17" t="s">
        <v>83</v>
      </c>
      <c r="M33" s="13" t="s">
        <v>85</v>
      </c>
      <c r="N33" s="16" t="s">
        <v>416</v>
      </c>
      <c r="O33" s="16" t="s">
        <v>417</v>
      </c>
      <c r="P33" s="16" t="s">
        <v>401</v>
      </c>
      <c r="Q33" s="15" t="s">
        <v>154</v>
      </c>
      <c r="R33" s="5" t="s">
        <v>200</v>
      </c>
      <c r="S33" s="5" t="s">
        <v>402</v>
      </c>
      <c r="T33" s="5" t="s">
        <v>96</v>
      </c>
      <c r="U33" s="15" t="s">
        <v>154</v>
      </c>
    </row>
    <row r="34" ht="82.5" customHeight="1">
      <c r="A34" s="13">
        <v>32.0</v>
      </c>
      <c r="B34" s="13" t="s">
        <v>371</v>
      </c>
      <c r="C34" s="14" t="s">
        <v>372</v>
      </c>
      <c r="D34" s="15" t="s">
        <v>143</v>
      </c>
      <c r="E34" s="16" t="s">
        <v>421</v>
      </c>
      <c r="F34" s="16" t="s">
        <v>422</v>
      </c>
      <c r="G34" s="17" t="s">
        <v>150</v>
      </c>
      <c r="H34" s="13">
        <v>9.0</v>
      </c>
      <c r="I34" s="17" t="s">
        <v>77</v>
      </c>
      <c r="J34" s="17" t="s">
        <v>106</v>
      </c>
      <c r="K34" s="13" t="s">
        <v>81</v>
      </c>
      <c r="L34" s="17" t="s">
        <v>83</v>
      </c>
      <c r="M34" s="13" t="s">
        <v>85</v>
      </c>
      <c r="N34" s="16" t="s">
        <v>423</v>
      </c>
      <c r="O34" s="16" t="s">
        <v>424</v>
      </c>
      <c r="P34" s="16" t="s">
        <v>425</v>
      </c>
      <c r="Q34" s="15" t="s">
        <v>154</v>
      </c>
      <c r="R34" s="5" t="s">
        <v>200</v>
      </c>
      <c r="S34" s="5" t="s">
        <v>101</v>
      </c>
      <c r="T34" s="5" t="s">
        <v>280</v>
      </c>
      <c r="U34" s="15" t="s">
        <v>154</v>
      </c>
    </row>
    <row r="35" ht="82.5" customHeight="1">
      <c r="A35" s="13">
        <v>33.0</v>
      </c>
      <c r="B35" s="13" t="s">
        <v>380</v>
      </c>
      <c r="C35" s="14" t="s">
        <v>381</v>
      </c>
      <c r="D35" s="15" t="s">
        <v>146</v>
      </c>
      <c r="E35" s="16" t="s">
        <v>429</v>
      </c>
      <c r="F35" s="16" t="s">
        <v>430</v>
      </c>
      <c r="G35" s="17" t="s">
        <v>74</v>
      </c>
      <c r="H35" s="13">
        <v>15.0</v>
      </c>
      <c r="I35" s="17" t="s">
        <v>77</v>
      </c>
      <c r="J35" s="17" t="s">
        <v>114</v>
      </c>
      <c r="K35" s="13" t="s">
        <v>81</v>
      </c>
      <c r="L35" s="17" t="s">
        <v>83</v>
      </c>
      <c r="M35" s="13" t="s">
        <v>85</v>
      </c>
      <c r="N35" s="16" t="s">
        <v>431</v>
      </c>
      <c r="O35" s="16" t="s">
        <v>432</v>
      </c>
      <c r="P35" s="16" t="s">
        <v>270</v>
      </c>
      <c r="Q35" s="15" t="s">
        <v>153</v>
      </c>
      <c r="R35" s="5" t="s">
        <v>271</v>
      </c>
      <c r="S35" s="5" t="s">
        <v>261</v>
      </c>
      <c r="T35" s="5" t="s">
        <v>96</v>
      </c>
      <c r="U35" s="15" t="s">
        <v>153</v>
      </c>
    </row>
    <row r="36" ht="82.5" customHeight="1">
      <c r="A36" s="13">
        <v>34.0</v>
      </c>
      <c r="B36" s="13" t="s">
        <v>386</v>
      </c>
      <c r="C36" s="14" t="s">
        <v>387</v>
      </c>
      <c r="D36" s="15" t="s">
        <v>146</v>
      </c>
      <c r="E36" s="16" t="s">
        <v>436</v>
      </c>
      <c r="F36" s="16" t="s">
        <v>437</v>
      </c>
      <c r="G36" s="17" t="s">
        <v>74</v>
      </c>
      <c r="H36" s="13">
        <v>15.0</v>
      </c>
      <c r="I36" s="17" t="s">
        <v>77</v>
      </c>
      <c r="J36" s="17" t="s">
        <v>114</v>
      </c>
      <c r="K36" s="13" t="s">
        <v>81</v>
      </c>
      <c r="L36" s="17" t="s">
        <v>83</v>
      </c>
      <c r="M36" s="13" t="s">
        <v>85</v>
      </c>
      <c r="N36" s="16" t="s">
        <v>438</v>
      </c>
      <c r="O36" s="16" t="s">
        <v>439</v>
      </c>
      <c r="P36" s="16" t="s">
        <v>270</v>
      </c>
      <c r="Q36" s="15" t="s">
        <v>153</v>
      </c>
      <c r="R36" s="5" t="s">
        <v>271</v>
      </c>
      <c r="S36" s="5" t="s">
        <v>261</v>
      </c>
      <c r="T36" s="5" t="s">
        <v>96</v>
      </c>
      <c r="U36" s="15" t="s">
        <v>153</v>
      </c>
    </row>
    <row r="37" ht="82.5" customHeight="1">
      <c r="A37" s="13">
        <v>35.0</v>
      </c>
      <c r="B37" s="13" t="s">
        <v>394</v>
      </c>
      <c r="C37" s="14" t="s">
        <v>395</v>
      </c>
      <c r="D37" s="15" t="s">
        <v>146</v>
      </c>
      <c r="E37" s="16" t="s">
        <v>440</v>
      </c>
      <c r="F37" s="16" t="s">
        <v>441</v>
      </c>
      <c r="G37" s="17" t="s">
        <v>74</v>
      </c>
      <c r="H37" s="13">
        <v>15.0</v>
      </c>
      <c r="I37" s="17" t="s">
        <v>77</v>
      </c>
      <c r="J37" s="17" t="s">
        <v>114</v>
      </c>
      <c r="K37" s="13" t="s">
        <v>81</v>
      </c>
      <c r="L37" s="17" t="s">
        <v>83</v>
      </c>
      <c r="M37" s="13" t="s">
        <v>85</v>
      </c>
      <c r="N37" s="16" t="s">
        <v>442</v>
      </c>
      <c r="O37" s="16" t="s">
        <v>443</v>
      </c>
      <c r="P37" s="16" t="s">
        <v>270</v>
      </c>
      <c r="Q37" s="15" t="s">
        <v>153</v>
      </c>
      <c r="R37" s="5" t="s">
        <v>271</v>
      </c>
      <c r="S37" s="5" t="s">
        <v>261</v>
      </c>
      <c r="T37" s="5" t="s">
        <v>96</v>
      </c>
      <c r="U37" s="15" t="s">
        <v>153</v>
      </c>
    </row>
    <row r="38" ht="82.5" customHeight="1">
      <c r="A38" s="13">
        <v>36.0</v>
      </c>
      <c r="B38" s="13" t="s">
        <v>403</v>
      </c>
      <c r="C38" s="14" t="s">
        <v>404</v>
      </c>
      <c r="D38" s="15" t="s">
        <v>146</v>
      </c>
      <c r="E38" s="16" t="s">
        <v>444</v>
      </c>
      <c r="F38" s="16" t="s">
        <v>445</v>
      </c>
      <c r="G38" s="17" t="s">
        <v>74</v>
      </c>
      <c r="H38" s="13">
        <v>15.0</v>
      </c>
      <c r="I38" s="17" t="s">
        <v>77</v>
      </c>
      <c r="J38" s="17" t="s">
        <v>114</v>
      </c>
      <c r="K38" s="13" t="s">
        <v>81</v>
      </c>
      <c r="L38" s="17" t="s">
        <v>83</v>
      </c>
      <c r="M38" s="13" t="s">
        <v>85</v>
      </c>
      <c r="N38" s="16" t="s">
        <v>446</v>
      </c>
      <c r="O38" s="16" t="s">
        <v>447</v>
      </c>
      <c r="P38" s="16" t="s">
        <v>270</v>
      </c>
      <c r="Q38" s="15" t="s">
        <v>153</v>
      </c>
      <c r="R38" s="5" t="s">
        <v>271</v>
      </c>
      <c r="S38" s="5" t="s">
        <v>261</v>
      </c>
      <c r="T38" s="5" t="s">
        <v>96</v>
      </c>
      <c r="U38" s="15" t="s">
        <v>153</v>
      </c>
    </row>
    <row r="39" ht="82.5" customHeight="1">
      <c r="A39" s="13">
        <v>37.0</v>
      </c>
      <c r="B39" s="13" t="s">
        <v>411</v>
      </c>
      <c r="C39" s="14" t="s">
        <v>412</v>
      </c>
      <c r="D39" s="11" t="s">
        <v>448</v>
      </c>
      <c r="E39" s="16" t="s">
        <v>449</v>
      </c>
      <c r="F39" s="10" t="s">
        <v>450</v>
      </c>
      <c r="G39" s="17" t="s">
        <v>74</v>
      </c>
      <c r="H39" s="13">
        <v>12.0</v>
      </c>
      <c r="I39" s="17" t="s">
        <v>77</v>
      </c>
      <c r="J39" s="17" t="s">
        <v>79</v>
      </c>
      <c r="K39" s="13" t="s">
        <v>81</v>
      </c>
      <c r="L39" s="17" t="s">
        <v>83</v>
      </c>
      <c r="M39" s="13" t="s">
        <v>85</v>
      </c>
      <c r="N39" s="16" t="s">
        <v>451</v>
      </c>
      <c r="O39" s="16" t="s">
        <v>452</v>
      </c>
      <c r="P39" s="16" t="s">
        <v>453</v>
      </c>
      <c r="Q39" s="15" t="s">
        <v>95</v>
      </c>
      <c r="R39" s="5" t="s">
        <v>96</v>
      </c>
      <c r="S39" s="5" t="s">
        <v>177</v>
      </c>
      <c r="T39" s="10" t="s">
        <v>102</v>
      </c>
      <c r="U39" s="15" t="s">
        <v>95</v>
      </c>
    </row>
    <row r="40" ht="82.5" customHeight="1">
      <c r="A40" s="13">
        <v>38.0</v>
      </c>
      <c r="B40" s="13" t="s">
        <v>418</v>
      </c>
      <c r="C40" s="14" t="s">
        <v>419</v>
      </c>
      <c r="D40" s="11" t="s">
        <v>448</v>
      </c>
      <c r="E40" s="16" t="s">
        <v>454</v>
      </c>
      <c r="F40" s="16" t="s">
        <v>455</v>
      </c>
      <c r="G40" s="17" t="s">
        <v>150</v>
      </c>
      <c r="H40" s="13">
        <v>8.0</v>
      </c>
      <c r="I40" s="17" t="s">
        <v>99</v>
      </c>
      <c r="J40" s="17" t="s">
        <v>79</v>
      </c>
      <c r="K40" s="13" t="s">
        <v>81</v>
      </c>
      <c r="L40" s="17" t="s">
        <v>83</v>
      </c>
      <c r="M40" s="13" t="s">
        <v>85</v>
      </c>
      <c r="N40" s="16" t="s">
        <v>456</v>
      </c>
      <c r="O40" s="16" t="s">
        <v>457</v>
      </c>
      <c r="P40" s="16" t="s">
        <v>458</v>
      </c>
      <c r="Q40" s="15" t="s">
        <v>95</v>
      </c>
      <c r="R40" s="5" t="s">
        <v>96</v>
      </c>
      <c r="S40" s="5" t="s">
        <v>177</v>
      </c>
      <c r="T40" s="10" t="s">
        <v>102</v>
      </c>
      <c r="U40" s="15" t="s">
        <v>95</v>
      </c>
    </row>
    <row r="41" ht="82.5" customHeight="1">
      <c r="A41" s="13">
        <v>39.0</v>
      </c>
      <c r="B41" s="13" t="s">
        <v>426</v>
      </c>
      <c r="C41" s="14" t="s">
        <v>427</v>
      </c>
      <c r="D41" s="11" t="s">
        <v>448</v>
      </c>
      <c r="E41" s="16" t="s">
        <v>459</v>
      </c>
      <c r="F41" s="16" t="s">
        <v>460</v>
      </c>
      <c r="G41" s="17" t="s">
        <v>150</v>
      </c>
      <c r="H41" s="13">
        <v>9.0</v>
      </c>
      <c r="I41" s="17" t="s">
        <v>77</v>
      </c>
      <c r="J41" s="17" t="s">
        <v>106</v>
      </c>
      <c r="K41" s="13" t="s">
        <v>81</v>
      </c>
      <c r="L41" s="17" t="s">
        <v>83</v>
      </c>
      <c r="M41" s="13" t="s">
        <v>85</v>
      </c>
      <c r="N41" s="16" t="s">
        <v>461</v>
      </c>
      <c r="O41" s="16" t="s">
        <v>462</v>
      </c>
      <c r="P41" s="16" t="s">
        <v>463</v>
      </c>
      <c r="Q41" s="15" t="s">
        <v>95</v>
      </c>
      <c r="R41" s="5" t="s">
        <v>96</v>
      </c>
      <c r="S41" s="5" t="s">
        <v>271</v>
      </c>
      <c r="T41" s="10" t="s">
        <v>102</v>
      </c>
      <c r="U41" s="15" t="s">
        <v>95</v>
      </c>
    </row>
    <row r="42" ht="82.5" customHeight="1">
      <c r="A42" s="13">
        <v>40.0</v>
      </c>
      <c r="B42" s="13" t="s">
        <v>433</v>
      </c>
      <c r="C42" s="14" t="s">
        <v>434</v>
      </c>
      <c r="D42" s="11" t="s">
        <v>448</v>
      </c>
      <c r="E42" s="16" t="s">
        <v>464</v>
      </c>
      <c r="F42" s="16" t="s">
        <v>465</v>
      </c>
      <c r="G42" s="17" t="s">
        <v>74</v>
      </c>
      <c r="H42" s="13">
        <v>10.0</v>
      </c>
      <c r="I42" s="17" t="s">
        <v>99</v>
      </c>
      <c r="J42" s="17" t="s">
        <v>114</v>
      </c>
      <c r="K42" s="13" t="s">
        <v>81</v>
      </c>
      <c r="L42" s="17" t="s">
        <v>466</v>
      </c>
      <c r="M42" s="13" t="s">
        <v>85</v>
      </c>
      <c r="N42" s="16" t="s">
        <v>467</v>
      </c>
      <c r="O42" s="16" t="s">
        <v>468</v>
      </c>
      <c r="P42" s="16" t="s">
        <v>469</v>
      </c>
      <c r="Q42" s="15" t="s">
        <v>95</v>
      </c>
      <c r="R42" s="5" t="s">
        <v>280</v>
      </c>
      <c r="S42" s="5" t="s">
        <v>96</v>
      </c>
      <c r="T42" s="10" t="s">
        <v>102</v>
      </c>
      <c r="U42" s="15" t="s">
        <v>95</v>
      </c>
    </row>
    <row r="43">
      <c r="A43" s="2"/>
      <c r="B43" s="2"/>
      <c r="C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G198" s="2"/>
      <c r="H198" s="2"/>
      <c r="I198" s="2"/>
      <c r="J198" s="2"/>
      <c r="K198" s="2"/>
      <c r="L198" s="2"/>
      <c r="M198" s="2"/>
    </row>
  </sheetData>
  <mergeCells count="1">
    <mergeCell ref="A1:U1"/>
  </mergeCells>
  <dataValidations>
    <dataValidation type="list" allowBlank="1" sqref="L3:L42">
      <formula1>"Mitigar,Evitar,Aceptar / Contingencia"</formula1>
    </dataValidation>
    <dataValidation type="list" allowBlank="1" sqref="D3:D42">
      <formula1>"Requisitos y alcance,Técnico y arquitectura,Seguridad y acceso,Gestión Scrum y planificación,Equipo,Operación,Calidad y pruebas,Infraestructura y despliegue,Externos y institucionales"</formula1>
    </dataValidation>
    <dataValidation type="list" allowBlank="1" sqref="J3:J42">
      <formula1>"Menor,Bajo,Moderado,Significativo,Severo"</formula1>
    </dataValidation>
    <dataValidation type="list" allowBlank="1" sqref="I3:I42">
      <formula1>"Remota,Improbable,Posible,Probable,Muy probable"</formula1>
    </dataValidation>
    <dataValidation type="list" allowBlank="1" sqref="G3:G42">
      <formula1>"LOW,MEDIUM,HIGH,HIGHEST"</formula1>
    </dataValidation>
    <dataValidation type="list" allowBlank="1" sqref="Q3:Q42 U3:U42">
      <formula1>"Mauricio Zenteno,Alexander López,Paulo Rivas"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25"/>
    <col customWidth="1" min="2" max="3" width="13.88"/>
    <col customWidth="1" min="4" max="4" width="45.13"/>
    <col customWidth="1" min="5" max="7" width="17.63"/>
    <col customWidth="1" min="8" max="8" width="19.5"/>
    <col customWidth="1" min="9" max="9" width="20.75"/>
    <col customWidth="1" min="10" max="10" width="19.5"/>
    <col customWidth="1" min="11" max="11" width="57.63"/>
    <col customWidth="1" hidden="1" min="12" max="14" width="18.88"/>
  </cols>
  <sheetData>
    <row r="1">
      <c r="A1" s="1" t="s">
        <v>1</v>
      </c>
    </row>
    <row r="2">
      <c r="A2" s="2"/>
      <c r="B2" s="2"/>
      <c r="C2" s="2"/>
      <c r="J2" s="2"/>
    </row>
    <row r="3" ht="34.5" customHeight="1">
      <c r="A3" s="3" t="s">
        <v>2</v>
      </c>
      <c r="B3" s="3" t="s">
        <v>5</v>
      </c>
      <c r="C3" s="3" t="s">
        <v>6</v>
      </c>
      <c r="D3" s="3" t="s">
        <v>10</v>
      </c>
      <c r="E3" s="3" t="s">
        <v>11</v>
      </c>
      <c r="F3" s="3" t="s">
        <v>14</v>
      </c>
      <c r="G3" s="3" t="s">
        <v>15</v>
      </c>
      <c r="H3" s="3" t="s">
        <v>18</v>
      </c>
      <c r="I3" s="3" t="s">
        <v>20</v>
      </c>
      <c r="J3" s="3" t="s">
        <v>17</v>
      </c>
      <c r="K3" s="3" t="s">
        <v>24</v>
      </c>
      <c r="L3" s="3" t="s">
        <v>27</v>
      </c>
      <c r="M3" s="3" t="s">
        <v>29</v>
      </c>
      <c r="N3" s="3" t="s">
        <v>31</v>
      </c>
    </row>
    <row r="4" ht="54.0" customHeight="1">
      <c r="A4" s="8">
        <v>1.0</v>
      </c>
      <c r="B4" s="8" t="s">
        <v>35</v>
      </c>
      <c r="C4" s="9" t="s">
        <v>37</v>
      </c>
      <c r="D4" s="10" t="s">
        <v>38</v>
      </c>
      <c r="E4" s="11"/>
      <c r="F4" s="12"/>
      <c r="G4" s="11"/>
      <c r="H4" s="8" t="str">
        <f t="shared" ref="H4:H43" si="2">IF(COUNTA(E4:G4)&lt;2,"",IF(OR(COUNTIF(E4:G4,"?")&gt;0,COUNTIF(E4:G4,"∞")&gt;0),"REVISAR",IF(MEDIAN(L4:N4)&lt;=0,0,IF(MEDIAN(L4:N4)&lt;=1/2,"½",IF(MEDIAN(L4:N4)&lt;=1,1,IF(MEDIAN(L4:N4)&lt;=2,2,IF(MEDIAN(L4:N4)&lt;=3,3,IF(MEDIAN(L4:N4)&lt;=5,5,IF(MEDIAN(L4:N4)&lt;=8,8,IF(MEDIAN(L4:N4)&lt;=13,13,IF(MEDIAN(L4:N4)&lt;=20,20,IF(MEDIAN(L4:N4)&lt;=40,40,100))))))))))))</f>
        <v/>
      </c>
      <c r="I4" s="8">
        <v>12.0</v>
      </c>
      <c r="J4" s="20" t="s">
        <v>74</v>
      </c>
      <c r="K4" s="8" t="s">
        <v>111</v>
      </c>
      <c r="L4" s="21" t="str">
        <f t="shared" ref="L4:N4" si="1">IF(E4="","",IF(E4="½",1/2,IF(OR(E4="?",E4="∞"),NA(),VALUE(E4))))</f>
        <v/>
      </c>
      <c r="M4" s="10" t="str">
        <f t="shared" si="1"/>
        <v/>
      </c>
      <c r="N4" s="10" t="str">
        <f t="shared" si="1"/>
        <v/>
      </c>
    </row>
    <row r="5" ht="54.0" customHeight="1">
      <c r="A5" s="8">
        <v>2.0</v>
      </c>
      <c r="B5" s="8" t="s">
        <v>130</v>
      </c>
      <c r="C5" s="9" t="s">
        <v>132</v>
      </c>
      <c r="D5" s="10" t="s">
        <v>134</v>
      </c>
      <c r="E5" s="12"/>
      <c r="F5" s="12"/>
      <c r="G5" s="12"/>
      <c r="H5" s="13" t="str">
        <f t="shared" si="2"/>
        <v/>
      </c>
      <c r="I5" s="6">
        <v>12.0</v>
      </c>
      <c r="J5" s="22" t="s">
        <v>74</v>
      </c>
      <c r="K5" s="6" t="s">
        <v>111</v>
      </c>
      <c r="L5" s="21" t="str">
        <f t="shared" ref="L5:N5" si="3">IF(E5="","",IF(E5="½",1/2,IF(OR(E5="?",E5="∞"),NA(),VALUE(E5))))</f>
        <v/>
      </c>
      <c r="M5" s="21" t="str">
        <f t="shared" si="3"/>
        <v/>
      </c>
      <c r="N5" s="21" t="str">
        <f t="shared" si="3"/>
        <v/>
      </c>
    </row>
    <row r="6" ht="54.0" customHeight="1">
      <c r="A6" s="8">
        <v>3.0</v>
      </c>
      <c r="B6" s="8" t="s">
        <v>155</v>
      </c>
      <c r="C6" s="9" t="s">
        <v>156</v>
      </c>
      <c r="D6" s="10" t="s">
        <v>157</v>
      </c>
      <c r="E6" s="15"/>
      <c r="F6" s="15"/>
      <c r="G6" s="15"/>
      <c r="H6" s="13" t="str">
        <f t="shared" si="2"/>
        <v/>
      </c>
      <c r="I6" s="6">
        <v>16.0</v>
      </c>
      <c r="J6" s="22" t="s">
        <v>74</v>
      </c>
      <c r="K6" s="6" t="s">
        <v>111</v>
      </c>
      <c r="L6" s="21" t="str">
        <f t="shared" ref="L6:N6" si="4">IF(E6="","",IF(E6="½",1/2,IF(OR(E6="?",E6="∞"),NA(),VALUE(E6))))</f>
        <v/>
      </c>
      <c r="M6" s="21" t="str">
        <f t="shared" si="4"/>
        <v/>
      </c>
      <c r="N6" s="21" t="str">
        <f t="shared" si="4"/>
        <v/>
      </c>
    </row>
    <row r="7" ht="54.0" customHeight="1">
      <c r="A7" s="8">
        <v>4.0</v>
      </c>
      <c r="B7" s="8" t="s">
        <v>163</v>
      </c>
      <c r="C7" s="9" t="s">
        <v>164</v>
      </c>
      <c r="D7" s="10" t="s">
        <v>165</v>
      </c>
      <c r="E7" s="15"/>
      <c r="F7" s="15"/>
      <c r="G7" s="15"/>
      <c r="H7" s="13" t="str">
        <f t="shared" si="2"/>
        <v/>
      </c>
      <c r="I7" s="6">
        <v>9.0</v>
      </c>
      <c r="J7" s="22" t="s">
        <v>150</v>
      </c>
      <c r="K7" s="6" t="s">
        <v>111</v>
      </c>
      <c r="L7" s="21" t="str">
        <f t="shared" ref="L7:N7" si="5">IF(E7="","",IF(E7="½",1/2,IF(OR(E7="?",E7="∞"),NA(),VALUE(E7))))</f>
        <v/>
      </c>
      <c r="M7" s="21" t="str">
        <f t="shared" si="5"/>
        <v/>
      </c>
      <c r="N7" s="21" t="str">
        <f t="shared" si="5"/>
        <v/>
      </c>
    </row>
    <row r="8" ht="54.0" customHeight="1">
      <c r="A8" s="8">
        <v>5.0</v>
      </c>
      <c r="B8" s="8" t="s">
        <v>166</v>
      </c>
      <c r="C8" s="9" t="s">
        <v>167</v>
      </c>
      <c r="D8" s="10" t="s">
        <v>168</v>
      </c>
      <c r="E8" s="15"/>
      <c r="F8" s="15"/>
      <c r="G8" s="15"/>
      <c r="H8" s="13" t="str">
        <f t="shared" si="2"/>
        <v/>
      </c>
      <c r="I8" s="6">
        <v>12.0</v>
      </c>
      <c r="J8" s="22" t="s">
        <v>74</v>
      </c>
      <c r="K8" s="6" t="s">
        <v>111</v>
      </c>
      <c r="L8" s="21" t="str">
        <f t="shared" ref="L8:N8" si="6">IF(E8="","",IF(E8="½",1/2,IF(OR(E8="?",E8="∞"),NA(),VALUE(E8))))</f>
        <v/>
      </c>
      <c r="M8" s="21" t="str">
        <f t="shared" si="6"/>
        <v/>
      </c>
      <c r="N8" s="21" t="str">
        <f t="shared" si="6"/>
        <v/>
      </c>
    </row>
    <row r="9" ht="54.0" customHeight="1">
      <c r="A9" s="8">
        <v>6.0</v>
      </c>
      <c r="B9" s="8" t="s">
        <v>171</v>
      </c>
      <c r="C9" s="9" t="s">
        <v>172</v>
      </c>
      <c r="D9" s="10" t="s">
        <v>173</v>
      </c>
      <c r="E9" s="15"/>
      <c r="F9" s="15"/>
      <c r="G9" s="15"/>
      <c r="H9" s="13" t="str">
        <f t="shared" si="2"/>
        <v/>
      </c>
      <c r="I9" s="6">
        <v>16.0</v>
      </c>
      <c r="J9" s="22" t="s">
        <v>74</v>
      </c>
      <c r="K9" s="6" t="s">
        <v>111</v>
      </c>
      <c r="L9" s="21" t="str">
        <f t="shared" ref="L9:N9" si="7">IF(E9="","",IF(E9="½",1/2,IF(OR(E9="?",E9="∞"),NA(),VALUE(E9))))</f>
        <v/>
      </c>
      <c r="M9" s="21" t="str">
        <f t="shared" si="7"/>
        <v/>
      </c>
      <c r="N9" s="21" t="str">
        <f t="shared" si="7"/>
        <v/>
      </c>
    </row>
    <row r="10" ht="54.0" customHeight="1">
      <c r="A10" s="8">
        <v>7.0</v>
      </c>
      <c r="B10" s="8" t="s">
        <v>178</v>
      </c>
      <c r="C10" s="9" t="s">
        <v>179</v>
      </c>
      <c r="D10" s="10" t="s">
        <v>180</v>
      </c>
      <c r="E10" s="15"/>
      <c r="F10" s="15"/>
      <c r="G10" s="15"/>
      <c r="H10" s="13" t="str">
        <f t="shared" si="2"/>
        <v/>
      </c>
      <c r="I10" s="6">
        <v>16.0</v>
      </c>
      <c r="J10" s="22" t="s">
        <v>74</v>
      </c>
      <c r="K10" s="6" t="s">
        <v>111</v>
      </c>
      <c r="L10" s="21" t="str">
        <f t="shared" ref="L10:N10" si="8">IF(E10="","",IF(E10="½",1/2,IF(OR(E10="?",E10="∞"),NA(),VALUE(E10))))</f>
        <v/>
      </c>
      <c r="M10" s="21" t="str">
        <f t="shared" si="8"/>
        <v/>
      </c>
      <c r="N10" s="21" t="str">
        <f t="shared" si="8"/>
        <v/>
      </c>
    </row>
    <row r="11" ht="54.0" customHeight="1">
      <c r="A11" s="8">
        <v>8.0</v>
      </c>
      <c r="B11" s="8" t="s">
        <v>183</v>
      </c>
      <c r="C11" s="9" t="s">
        <v>184</v>
      </c>
      <c r="D11" s="10" t="s">
        <v>185</v>
      </c>
      <c r="E11" s="15"/>
      <c r="F11" s="15"/>
      <c r="G11" s="15"/>
      <c r="H11" s="13" t="str">
        <f t="shared" si="2"/>
        <v/>
      </c>
      <c r="I11" s="6">
        <v>9.0</v>
      </c>
      <c r="J11" s="22" t="s">
        <v>150</v>
      </c>
      <c r="K11" s="6" t="s">
        <v>111</v>
      </c>
      <c r="L11" s="21" t="str">
        <f t="shared" ref="L11:N11" si="9">IF(E11="","",IF(E11="½",1/2,IF(OR(E11="?",E11="∞"),NA(),VALUE(E11))))</f>
        <v/>
      </c>
      <c r="M11" s="21" t="str">
        <f t="shared" si="9"/>
        <v/>
      </c>
      <c r="N11" s="21" t="str">
        <f t="shared" si="9"/>
        <v/>
      </c>
    </row>
    <row r="12" ht="54.0" customHeight="1">
      <c r="A12" s="8">
        <v>9.0</v>
      </c>
      <c r="B12" s="8" t="s">
        <v>189</v>
      </c>
      <c r="C12" s="9" t="s">
        <v>190</v>
      </c>
      <c r="D12" s="10" t="s">
        <v>191</v>
      </c>
      <c r="E12" s="15"/>
      <c r="F12" s="15"/>
      <c r="G12" s="15"/>
      <c r="H12" s="13" t="str">
        <f t="shared" si="2"/>
        <v/>
      </c>
      <c r="I12" s="6">
        <v>12.0</v>
      </c>
      <c r="J12" s="22" t="s">
        <v>74</v>
      </c>
      <c r="K12" s="6" t="s">
        <v>111</v>
      </c>
      <c r="L12" s="21" t="str">
        <f t="shared" ref="L12:N12" si="10">IF(E12="","",IF(E12="½",1/2,IF(OR(E12="?",E12="∞"),NA(),VALUE(E12))))</f>
        <v/>
      </c>
      <c r="M12" s="21" t="str">
        <f t="shared" si="10"/>
        <v/>
      </c>
      <c r="N12" s="21" t="str">
        <f t="shared" si="10"/>
        <v/>
      </c>
    </row>
    <row r="13" ht="54.0" customHeight="1">
      <c r="A13" s="8">
        <v>10.0</v>
      </c>
      <c r="B13" s="8" t="s">
        <v>192</v>
      </c>
      <c r="C13" s="9" t="s">
        <v>193</v>
      </c>
      <c r="D13" s="10" t="s">
        <v>194</v>
      </c>
      <c r="E13" s="15"/>
      <c r="F13" s="15"/>
      <c r="G13" s="15"/>
      <c r="H13" s="13" t="str">
        <f t="shared" si="2"/>
        <v/>
      </c>
      <c r="I13" s="6">
        <v>15.0</v>
      </c>
      <c r="J13" s="22" t="s">
        <v>74</v>
      </c>
      <c r="K13" s="6" t="s">
        <v>111</v>
      </c>
      <c r="L13" s="21" t="str">
        <f t="shared" ref="L13:N13" si="11">IF(E13="","",IF(E13="½",1/2,IF(OR(E13="?",E13="∞"),NA(),VALUE(E13))))</f>
        <v/>
      </c>
      <c r="M13" s="21" t="str">
        <f t="shared" si="11"/>
        <v/>
      </c>
      <c r="N13" s="21" t="str">
        <f t="shared" si="11"/>
        <v/>
      </c>
    </row>
    <row r="14" ht="54.0" customHeight="1">
      <c r="A14" s="8">
        <v>11.0</v>
      </c>
      <c r="B14" s="8" t="s">
        <v>202</v>
      </c>
      <c r="C14" s="9" t="s">
        <v>203</v>
      </c>
      <c r="D14" s="10" t="s">
        <v>204</v>
      </c>
      <c r="E14" s="15"/>
      <c r="F14" s="15"/>
      <c r="G14" s="15"/>
      <c r="H14" s="13" t="str">
        <f t="shared" si="2"/>
        <v/>
      </c>
      <c r="I14" s="6">
        <v>12.0</v>
      </c>
      <c r="J14" s="22" t="s">
        <v>74</v>
      </c>
      <c r="K14" s="6" t="s">
        <v>111</v>
      </c>
      <c r="L14" s="21" t="str">
        <f t="shared" ref="L14:N14" si="12">IF(E14="","",IF(E14="½",1/2,IF(OR(E14="?",E14="∞"),NA(),VALUE(E14))))</f>
        <v/>
      </c>
      <c r="M14" s="21" t="str">
        <f t="shared" si="12"/>
        <v/>
      </c>
      <c r="N14" s="21" t="str">
        <f t="shared" si="12"/>
        <v/>
      </c>
    </row>
    <row r="15" ht="54.0" customHeight="1">
      <c r="A15" s="8">
        <v>12.0</v>
      </c>
      <c r="B15" s="8" t="s">
        <v>210</v>
      </c>
      <c r="C15" s="9" t="s">
        <v>211</v>
      </c>
      <c r="D15" s="10" t="s">
        <v>212</v>
      </c>
      <c r="E15" s="15"/>
      <c r="F15" s="15"/>
      <c r="G15" s="15"/>
      <c r="H15" s="13" t="str">
        <f t="shared" si="2"/>
        <v/>
      </c>
      <c r="I15" s="6">
        <v>15.0</v>
      </c>
      <c r="J15" s="22" t="s">
        <v>74</v>
      </c>
      <c r="K15" s="6" t="s">
        <v>111</v>
      </c>
      <c r="L15" s="21" t="str">
        <f t="shared" ref="L15:N15" si="13">IF(E15="","",IF(E15="½",1/2,IF(OR(E15="?",E15="∞"),NA(),VALUE(E15))))</f>
        <v/>
      </c>
      <c r="M15" s="21" t="str">
        <f t="shared" si="13"/>
        <v/>
      </c>
      <c r="N15" s="21" t="str">
        <f t="shared" si="13"/>
        <v/>
      </c>
    </row>
    <row r="16" ht="54.0" customHeight="1">
      <c r="A16" s="8">
        <v>13.0</v>
      </c>
      <c r="B16" s="8" t="s">
        <v>218</v>
      </c>
      <c r="C16" s="9" t="s">
        <v>219</v>
      </c>
      <c r="D16" s="10" t="s">
        <v>220</v>
      </c>
      <c r="E16" s="15"/>
      <c r="F16" s="15"/>
      <c r="G16" s="15"/>
      <c r="H16" s="13" t="str">
        <f t="shared" si="2"/>
        <v/>
      </c>
      <c r="I16" s="6">
        <v>10.0</v>
      </c>
      <c r="J16" s="22" t="s">
        <v>74</v>
      </c>
      <c r="K16" s="6" t="s">
        <v>111</v>
      </c>
      <c r="L16" s="21" t="str">
        <f t="shared" ref="L16:N16" si="14">IF(E16="","",IF(E16="½",1/2,IF(OR(E16="?",E16="∞"),NA(),VALUE(E16))))</f>
        <v/>
      </c>
      <c r="M16" s="21" t="str">
        <f t="shared" si="14"/>
        <v/>
      </c>
      <c r="N16" s="21" t="str">
        <f t="shared" si="14"/>
        <v/>
      </c>
    </row>
    <row r="17" ht="54.0" customHeight="1">
      <c r="A17" s="8">
        <v>14.0</v>
      </c>
      <c r="B17" s="8" t="s">
        <v>226</v>
      </c>
      <c r="C17" s="9" t="s">
        <v>227</v>
      </c>
      <c r="D17" s="10" t="s">
        <v>228</v>
      </c>
      <c r="E17" s="15"/>
      <c r="F17" s="15"/>
      <c r="G17" s="15"/>
      <c r="H17" s="13" t="str">
        <f t="shared" si="2"/>
        <v/>
      </c>
      <c r="I17" s="6">
        <v>16.0</v>
      </c>
      <c r="J17" s="22" t="s">
        <v>74</v>
      </c>
      <c r="K17" s="6" t="s">
        <v>111</v>
      </c>
      <c r="L17" s="21" t="str">
        <f t="shared" ref="L17:N17" si="15">IF(E17="","",IF(E17="½",1/2,IF(OR(E17="?",E17="∞"),NA(),VALUE(E17))))</f>
        <v/>
      </c>
      <c r="M17" s="21" t="str">
        <f t="shared" si="15"/>
        <v/>
      </c>
      <c r="N17" s="21" t="str">
        <f t="shared" si="15"/>
        <v/>
      </c>
    </row>
    <row r="18" ht="54.0" customHeight="1">
      <c r="A18" s="8">
        <v>15.0</v>
      </c>
      <c r="B18" s="8" t="s">
        <v>234</v>
      </c>
      <c r="C18" s="9" t="s">
        <v>235</v>
      </c>
      <c r="D18" s="10" t="s">
        <v>236</v>
      </c>
      <c r="E18" s="15"/>
      <c r="F18" s="15"/>
      <c r="G18" s="15"/>
      <c r="H18" s="13" t="str">
        <f t="shared" si="2"/>
        <v/>
      </c>
      <c r="I18" s="6">
        <v>12.0</v>
      </c>
      <c r="J18" s="22" t="s">
        <v>74</v>
      </c>
      <c r="K18" s="6" t="s">
        <v>111</v>
      </c>
      <c r="L18" s="21" t="str">
        <f t="shared" ref="L18:N18" si="16">IF(E18="","",IF(E18="½",1/2,IF(OR(E18="?",E18="∞"),NA(),VALUE(E18))))</f>
        <v/>
      </c>
      <c r="M18" s="21" t="str">
        <f t="shared" si="16"/>
        <v/>
      </c>
      <c r="N18" s="21" t="str">
        <f t="shared" si="16"/>
        <v/>
      </c>
    </row>
    <row r="19" ht="54.0" customHeight="1">
      <c r="A19" s="8">
        <v>16.0</v>
      </c>
      <c r="B19" s="8" t="s">
        <v>239</v>
      </c>
      <c r="C19" s="9" t="s">
        <v>240</v>
      </c>
      <c r="D19" s="10" t="s">
        <v>242</v>
      </c>
      <c r="E19" s="15"/>
      <c r="F19" s="15"/>
      <c r="G19" s="15"/>
      <c r="H19" s="13" t="str">
        <f t="shared" si="2"/>
        <v/>
      </c>
      <c r="I19" s="6">
        <v>12.0</v>
      </c>
      <c r="J19" s="22" t="s">
        <v>74</v>
      </c>
      <c r="K19" s="6" t="s">
        <v>111</v>
      </c>
      <c r="L19" s="21" t="str">
        <f t="shared" ref="L19:N19" si="17">IF(E19="","",IF(E19="½",1/2,IF(OR(E19="?",E19="∞"),NA(),VALUE(E19))))</f>
        <v/>
      </c>
      <c r="M19" s="21" t="str">
        <f t="shared" si="17"/>
        <v/>
      </c>
      <c r="N19" s="21" t="str">
        <f t="shared" si="17"/>
        <v/>
      </c>
    </row>
    <row r="20" ht="54.0" customHeight="1">
      <c r="A20" s="8">
        <v>17.0</v>
      </c>
      <c r="B20" s="8" t="s">
        <v>247</v>
      </c>
      <c r="C20" s="9" t="s">
        <v>248</v>
      </c>
      <c r="D20" s="10" t="s">
        <v>249</v>
      </c>
      <c r="E20" s="15"/>
      <c r="F20" s="15"/>
      <c r="G20" s="15"/>
      <c r="H20" s="13" t="str">
        <f t="shared" si="2"/>
        <v/>
      </c>
      <c r="I20" s="6">
        <v>12.0</v>
      </c>
      <c r="J20" s="22" t="s">
        <v>74</v>
      </c>
      <c r="K20" s="6" t="s">
        <v>111</v>
      </c>
      <c r="L20" s="21" t="str">
        <f t="shared" ref="L20:N20" si="18">IF(E20="","",IF(E20="½",1/2,IF(OR(E20="?",E20="∞"),NA(),VALUE(E20))))</f>
        <v/>
      </c>
      <c r="M20" s="21" t="str">
        <f t="shared" si="18"/>
        <v/>
      </c>
      <c r="N20" s="21" t="str">
        <f t="shared" si="18"/>
        <v/>
      </c>
    </row>
    <row r="21" ht="54.0" customHeight="1">
      <c r="A21" s="8">
        <v>18.0</v>
      </c>
      <c r="B21" s="8" t="s">
        <v>253</v>
      </c>
      <c r="C21" s="9" t="s">
        <v>254</v>
      </c>
      <c r="D21" s="10" t="s">
        <v>255</v>
      </c>
      <c r="E21" s="15"/>
      <c r="F21" s="15"/>
      <c r="G21" s="15"/>
      <c r="H21" s="13" t="str">
        <f t="shared" si="2"/>
        <v/>
      </c>
      <c r="I21" s="6">
        <v>20.0</v>
      </c>
      <c r="J21" s="22" t="s">
        <v>147</v>
      </c>
      <c r="K21" s="6" t="s">
        <v>111</v>
      </c>
      <c r="L21" s="21" t="str">
        <f t="shared" ref="L21:N21" si="19">IF(E21="","",IF(E21="½",1/2,IF(OR(E21="?",E21="∞"),NA(),VALUE(E21))))</f>
        <v/>
      </c>
      <c r="M21" s="21" t="str">
        <f t="shared" si="19"/>
        <v/>
      </c>
      <c r="N21" s="21" t="str">
        <f t="shared" si="19"/>
        <v/>
      </c>
    </row>
    <row r="22" ht="54.0" customHeight="1">
      <c r="A22" s="8">
        <v>19.0</v>
      </c>
      <c r="B22" s="8" t="s">
        <v>262</v>
      </c>
      <c r="C22" s="9" t="s">
        <v>263</v>
      </c>
      <c r="D22" s="10" t="s">
        <v>264</v>
      </c>
      <c r="E22" s="15"/>
      <c r="F22" s="15"/>
      <c r="G22" s="15"/>
      <c r="H22" s="13" t="str">
        <f t="shared" si="2"/>
        <v/>
      </c>
      <c r="I22" s="6">
        <v>12.0</v>
      </c>
      <c r="J22" s="22" t="s">
        <v>74</v>
      </c>
      <c r="K22" s="6" t="s">
        <v>111</v>
      </c>
      <c r="L22" s="21" t="str">
        <f t="shared" ref="L22:N22" si="20">IF(E22="","",IF(E22="½",1/2,IF(OR(E22="?",E22="∞"),NA(),VALUE(E22))))</f>
        <v/>
      </c>
      <c r="M22" s="21" t="str">
        <f t="shared" si="20"/>
        <v/>
      </c>
      <c r="N22" s="21" t="str">
        <f t="shared" si="20"/>
        <v/>
      </c>
    </row>
    <row r="23" ht="54.0" customHeight="1">
      <c r="A23" s="8">
        <v>20.0</v>
      </c>
      <c r="B23" s="8" t="s">
        <v>272</v>
      </c>
      <c r="C23" s="9" t="s">
        <v>273</v>
      </c>
      <c r="D23" s="10" t="s">
        <v>274</v>
      </c>
      <c r="E23" s="15"/>
      <c r="F23" s="15"/>
      <c r="G23" s="15"/>
      <c r="H23" s="13" t="str">
        <f t="shared" si="2"/>
        <v/>
      </c>
      <c r="I23" s="6">
        <v>16.0</v>
      </c>
      <c r="J23" s="22" t="s">
        <v>74</v>
      </c>
      <c r="K23" s="6" t="s">
        <v>111</v>
      </c>
      <c r="L23" s="21" t="str">
        <f t="shared" ref="L23:N23" si="21">IF(E23="","",IF(E23="½",1/2,IF(OR(E23="?",E23="∞"),NA(),VALUE(E23))))</f>
        <v/>
      </c>
      <c r="M23" s="21" t="str">
        <f t="shared" si="21"/>
        <v/>
      </c>
      <c r="N23" s="21" t="str">
        <f t="shared" si="21"/>
        <v/>
      </c>
    </row>
    <row r="24" ht="54.0" customHeight="1">
      <c r="A24" s="8">
        <v>21.0</v>
      </c>
      <c r="B24" s="8" t="s">
        <v>283</v>
      </c>
      <c r="C24" s="9" t="s">
        <v>284</v>
      </c>
      <c r="D24" s="10" t="s">
        <v>285</v>
      </c>
      <c r="E24" s="15"/>
      <c r="F24" s="15"/>
      <c r="G24" s="15"/>
      <c r="H24" s="13" t="str">
        <f t="shared" si="2"/>
        <v/>
      </c>
      <c r="I24" s="6">
        <v>12.0</v>
      </c>
      <c r="J24" s="22" t="s">
        <v>74</v>
      </c>
      <c r="K24" s="6" t="s">
        <v>111</v>
      </c>
      <c r="L24" s="21" t="str">
        <f t="shared" ref="L24:N24" si="22">IF(E24="","",IF(E24="½",1/2,IF(OR(E24="?",E24="∞"),NA(),VALUE(E24))))</f>
        <v/>
      </c>
      <c r="M24" s="21" t="str">
        <f t="shared" si="22"/>
        <v/>
      </c>
      <c r="N24" s="21" t="str">
        <f t="shared" si="22"/>
        <v/>
      </c>
    </row>
    <row r="25" ht="54.0" customHeight="1">
      <c r="A25" s="8">
        <v>22.0</v>
      </c>
      <c r="B25" s="8" t="s">
        <v>291</v>
      </c>
      <c r="C25" s="9" t="s">
        <v>292</v>
      </c>
      <c r="D25" s="10" t="s">
        <v>293</v>
      </c>
      <c r="E25" s="15"/>
      <c r="F25" s="15"/>
      <c r="G25" s="15"/>
      <c r="H25" s="13" t="str">
        <f t="shared" si="2"/>
        <v/>
      </c>
      <c r="I25" s="6">
        <v>12.0</v>
      </c>
      <c r="J25" s="22" t="s">
        <v>74</v>
      </c>
      <c r="K25" s="6" t="s">
        <v>111</v>
      </c>
      <c r="L25" s="21" t="str">
        <f t="shared" ref="L25:N25" si="23">IF(E25="","",IF(E25="½",1/2,IF(OR(E25="?",E25="∞"),NA(),VALUE(E25))))</f>
        <v/>
      </c>
      <c r="M25" s="21" t="str">
        <f t="shared" si="23"/>
        <v/>
      </c>
      <c r="N25" s="21" t="str">
        <f t="shared" si="23"/>
        <v/>
      </c>
    </row>
    <row r="26" ht="54.0" customHeight="1">
      <c r="A26" s="8">
        <v>23.0</v>
      </c>
      <c r="B26" s="8" t="s">
        <v>299</v>
      </c>
      <c r="C26" s="9" t="s">
        <v>300</v>
      </c>
      <c r="D26" s="10" t="s">
        <v>301</v>
      </c>
      <c r="E26" s="15"/>
      <c r="F26" s="15"/>
      <c r="G26" s="15"/>
      <c r="H26" s="13" t="str">
        <f t="shared" si="2"/>
        <v/>
      </c>
      <c r="I26" s="6">
        <v>12.0</v>
      </c>
      <c r="J26" s="22" t="s">
        <v>74</v>
      </c>
      <c r="K26" s="6" t="s">
        <v>111</v>
      </c>
      <c r="L26" s="21" t="str">
        <f t="shared" ref="L26:N26" si="24">IF(E26="","",IF(E26="½",1/2,IF(OR(E26="?",E26="∞"),NA(),VALUE(E26))))</f>
        <v/>
      </c>
      <c r="M26" s="21" t="str">
        <f t="shared" si="24"/>
        <v/>
      </c>
      <c r="N26" s="21" t="str">
        <f t="shared" si="24"/>
        <v/>
      </c>
    </row>
    <row r="27" ht="54.0" customHeight="1">
      <c r="A27" s="8">
        <v>24.0</v>
      </c>
      <c r="B27" s="8" t="s">
        <v>305</v>
      </c>
      <c r="C27" s="9" t="s">
        <v>306</v>
      </c>
      <c r="D27" s="10" t="s">
        <v>308</v>
      </c>
      <c r="E27" s="15"/>
      <c r="F27" s="15"/>
      <c r="G27" s="15"/>
      <c r="H27" s="13" t="str">
        <f t="shared" si="2"/>
        <v/>
      </c>
      <c r="I27" s="6">
        <v>15.0</v>
      </c>
      <c r="J27" s="22" t="s">
        <v>74</v>
      </c>
      <c r="K27" s="6" t="s">
        <v>111</v>
      </c>
      <c r="L27" s="21" t="str">
        <f t="shared" ref="L27:N27" si="25">IF(E27="","",IF(E27="½",1/2,IF(OR(E27="?",E27="∞"),NA(),VALUE(E27))))</f>
        <v/>
      </c>
      <c r="M27" s="21" t="str">
        <f t="shared" si="25"/>
        <v/>
      </c>
      <c r="N27" s="21" t="str">
        <f t="shared" si="25"/>
        <v/>
      </c>
    </row>
    <row r="28" ht="54.0" customHeight="1">
      <c r="A28" s="8">
        <v>25.0</v>
      </c>
      <c r="B28" s="8" t="s">
        <v>313</v>
      </c>
      <c r="C28" s="9" t="s">
        <v>314</v>
      </c>
      <c r="D28" s="10" t="s">
        <v>315</v>
      </c>
      <c r="E28" s="15"/>
      <c r="F28" s="15"/>
      <c r="G28" s="15"/>
      <c r="H28" s="13" t="str">
        <f t="shared" si="2"/>
        <v/>
      </c>
      <c r="I28" s="6">
        <v>9.0</v>
      </c>
      <c r="J28" s="22" t="s">
        <v>150</v>
      </c>
      <c r="K28" s="6" t="s">
        <v>111</v>
      </c>
      <c r="L28" s="21" t="str">
        <f t="shared" ref="L28:N28" si="26">IF(E28="","",IF(E28="½",1/2,IF(OR(E28="?",E28="∞"),NA(),VALUE(E28))))</f>
        <v/>
      </c>
      <c r="M28" s="21" t="str">
        <f t="shared" si="26"/>
        <v/>
      </c>
      <c r="N28" s="21" t="str">
        <f t="shared" si="26"/>
        <v/>
      </c>
    </row>
    <row r="29" ht="54.0" customHeight="1">
      <c r="A29" s="8">
        <v>26.0</v>
      </c>
      <c r="B29" s="8" t="s">
        <v>321</v>
      </c>
      <c r="C29" s="9" t="s">
        <v>322</v>
      </c>
      <c r="D29" s="10" t="s">
        <v>323</v>
      </c>
      <c r="E29" s="15"/>
      <c r="F29" s="15"/>
      <c r="G29" s="15"/>
      <c r="H29" s="13" t="str">
        <f t="shared" si="2"/>
        <v/>
      </c>
      <c r="I29" s="6">
        <v>12.0</v>
      </c>
      <c r="J29" s="22" t="s">
        <v>74</v>
      </c>
      <c r="K29" s="6" t="s">
        <v>111</v>
      </c>
      <c r="L29" s="21" t="str">
        <f t="shared" ref="L29:N29" si="27">IF(E29="","",IF(E29="½",1/2,IF(OR(E29="?",E29="∞"),NA(),VALUE(E29))))</f>
        <v/>
      </c>
      <c r="M29" s="21" t="str">
        <f t="shared" si="27"/>
        <v/>
      </c>
      <c r="N29" s="21" t="str">
        <f t="shared" si="27"/>
        <v/>
      </c>
    </row>
    <row r="30" ht="54.0" customHeight="1">
      <c r="A30" s="8">
        <v>27.0</v>
      </c>
      <c r="B30" s="8" t="s">
        <v>329</v>
      </c>
      <c r="C30" s="9" t="s">
        <v>330</v>
      </c>
      <c r="D30" s="10" t="s">
        <v>331</v>
      </c>
      <c r="E30" s="15"/>
      <c r="F30" s="15"/>
      <c r="G30" s="15"/>
      <c r="H30" s="13" t="str">
        <f t="shared" si="2"/>
        <v/>
      </c>
      <c r="I30" s="6">
        <v>12.0</v>
      </c>
      <c r="J30" s="22" t="s">
        <v>74</v>
      </c>
      <c r="K30" s="6" t="s">
        <v>111</v>
      </c>
      <c r="L30" s="21" t="str">
        <f t="shared" ref="L30:N30" si="28">IF(E30="","",IF(E30="½",1/2,IF(OR(E30="?",E30="∞"),NA(),VALUE(E30))))</f>
        <v/>
      </c>
      <c r="M30" s="21" t="str">
        <f t="shared" si="28"/>
        <v/>
      </c>
      <c r="N30" s="21" t="str">
        <f t="shared" si="28"/>
        <v/>
      </c>
    </row>
    <row r="31" ht="54.0" customHeight="1">
      <c r="A31" s="8">
        <v>28.0</v>
      </c>
      <c r="B31" s="8" t="s">
        <v>336</v>
      </c>
      <c r="C31" s="9" t="s">
        <v>337</v>
      </c>
      <c r="D31" s="10" t="s">
        <v>338</v>
      </c>
      <c r="E31" s="15"/>
      <c r="F31" s="15"/>
      <c r="G31" s="15"/>
      <c r="H31" s="13" t="str">
        <f t="shared" si="2"/>
        <v/>
      </c>
      <c r="I31" s="6">
        <v>9.0</v>
      </c>
      <c r="J31" s="22" t="s">
        <v>150</v>
      </c>
      <c r="K31" s="6" t="s">
        <v>111</v>
      </c>
      <c r="L31" s="21" t="str">
        <f t="shared" ref="L31:N31" si="29">IF(E31="","",IF(E31="½",1/2,IF(OR(E31="?",E31="∞"),NA(),VALUE(E31))))</f>
        <v/>
      </c>
      <c r="M31" s="21" t="str">
        <f t="shared" si="29"/>
        <v/>
      </c>
      <c r="N31" s="21" t="str">
        <f t="shared" si="29"/>
        <v/>
      </c>
    </row>
    <row r="32" ht="54.0" customHeight="1">
      <c r="A32" s="8">
        <v>29.0</v>
      </c>
      <c r="B32" s="8" t="s">
        <v>345</v>
      </c>
      <c r="C32" s="9" t="s">
        <v>347</v>
      </c>
      <c r="D32" s="10" t="s">
        <v>348</v>
      </c>
      <c r="E32" s="15"/>
      <c r="F32" s="15"/>
      <c r="G32" s="15"/>
      <c r="H32" s="13" t="str">
        <f t="shared" si="2"/>
        <v/>
      </c>
      <c r="I32" s="6">
        <v>16.0</v>
      </c>
      <c r="J32" s="22" t="s">
        <v>74</v>
      </c>
      <c r="K32" s="6" t="s">
        <v>111</v>
      </c>
      <c r="L32" s="21" t="str">
        <f t="shared" ref="L32:N32" si="30">IF(E32="","",IF(E32="½",1/2,IF(OR(E32="?",E32="∞"),NA(),VALUE(E32))))</f>
        <v/>
      </c>
      <c r="M32" s="21" t="str">
        <f t="shared" si="30"/>
        <v/>
      </c>
      <c r="N32" s="21" t="str">
        <f t="shared" si="30"/>
        <v/>
      </c>
    </row>
    <row r="33" ht="54.0" customHeight="1">
      <c r="A33" s="8">
        <v>30.0</v>
      </c>
      <c r="B33" s="8" t="s">
        <v>353</v>
      </c>
      <c r="C33" s="9" t="s">
        <v>354</v>
      </c>
      <c r="D33" s="10" t="s">
        <v>355</v>
      </c>
      <c r="E33" s="15"/>
      <c r="F33" s="15"/>
      <c r="G33" s="15"/>
      <c r="H33" s="13" t="str">
        <f t="shared" si="2"/>
        <v/>
      </c>
      <c r="I33" s="6">
        <v>16.0</v>
      </c>
      <c r="J33" s="22" t="s">
        <v>74</v>
      </c>
      <c r="K33" s="6" t="s">
        <v>111</v>
      </c>
      <c r="L33" s="21" t="str">
        <f t="shared" ref="L33:N33" si="31">IF(E33="","",IF(E33="½",1/2,IF(OR(E33="?",E33="∞"),NA(),VALUE(E33))))</f>
        <v/>
      </c>
      <c r="M33" s="21" t="str">
        <f t="shared" si="31"/>
        <v/>
      </c>
      <c r="N33" s="21" t="str">
        <f t="shared" si="31"/>
        <v/>
      </c>
    </row>
    <row r="34" ht="54.0" customHeight="1">
      <c r="A34" s="8">
        <v>31.0</v>
      </c>
      <c r="B34" s="8" t="s">
        <v>361</v>
      </c>
      <c r="C34" s="9" t="s">
        <v>362</v>
      </c>
      <c r="D34" s="10" t="s">
        <v>363</v>
      </c>
      <c r="E34" s="15"/>
      <c r="F34" s="15"/>
      <c r="G34" s="15"/>
      <c r="H34" s="13" t="str">
        <f t="shared" si="2"/>
        <v/>
      </c>
      <c r="I34" s="6">
        <v>12.0</v>
      </c>
      <c r="J34" s="22" t="s">
        <v>74</v>
      </c>
      <c r="K34" s="6" t="s">
        <v>111</v>
      </c>
      <c r="L34" s="21" t="str">
        <f t="shared" ref="L34:N34" si="32">IF(E34="","",IF(E34="½",1/2,IF(OR(E34="?",E34="∞"),NA(),VALUE(E34))))</f>
        <v/>
      </c>
      <c r="M34" s="21" t="str">
        <f t="shared" si="32"/>
        <v/>
      </c>
      <c r="N34" s="21" t="str">
        <f t="shared" si="32"/>
        <v/>
      </c>
    </row>
    <row r="35" ht="54.0" customHeight="1">
      <c r="A35" s="8">
        <v>32.0</v>
      </c>
      <c r="B35" s="8" t="s">
        <v>371</v>
      </c>
      <c r="C35" s="9" t="s">
        <v>372</v>
      </c>
      <c r="D35" s="10" t="s">
        <v>373</v>
      </c>
      <c r="E35" s="15"/>
      <c r="F35" s="15"/>
      <c r="G35" s="15"/>
      <c r="H35" s="13" t="str">
        <f t="shared" si="2"/>
        <v/>
      </c>
      <c r="I35" s="6">
        <v>9.0</v>
      </c>
      <c r="J35" s="22" t="s">
        <v>150</v>
      </c>
      <c r="K35" s="6" t="s">
        <v>111</v>
      </c>
      <c r="L35" s="21" t="str">
        <f t="shared" ref="L35:N35" si="33">IF(E35="","",IF(E35="½",1/2,IF(OR(E35="?",E35="∞"),NA(),VALUE(E35))))</f>
        <v/>
      </c>
      <c r="M35" s="21" t="str">
        <f t="shared" si="33"/>
        <v/>
      </c>
      <c r="N35" s="21" t="str">
        <f t="shared" si="33"/>
        <v/>
      </c>
    </row>
    <row r="36" ht="54.0" customHeight="1">
      <c r="A36" s="8">
        <v>33.0</v>
      </c>
      <c r="B36" s="8" t="s">
        <v>380</v>
      </c>
      <c r="C36" s="9" t="s">
        <v>381</v>
      </c>
      <c r="D36" s="10" t="s">
        <v>382</v>
      </c>
      <c r="E36" s="15"/>
      <c r="F36" s="15"/>
      <c r="G36" s="15"/>
      <c r="H36" s="13" t="str">
        <f t="shared" si="2"/>
        <v/>
      </c>
      <c r="I36" s="6">
        <v>15.0</v>
      </c>
      <c r="J36" s="22" t="s">
        <v>74</v>
      </c>
      <c r="K36" s="6" t="s">
        <v>111</v>
      </c>
      <c r="L36" s="21" t="str">
        <f t="shared" ref="L36:N36" si="34">IF(E36="","",IF(E36="½",1/2,IF(OR(E36="?",E36="∞"),NA(),VALUE(E36))))</f>
        <v/>
      </c>
      <c r="M36" s="21" t="str">
        <f t="shared" si="34"/>
        <v/>
      </c>
      <c r="N36" s="21" t="str">
        <f t="shared" si="34"/>
        <v/>
      </c>
    </row>
    <row r="37" ht="54.0" customHeight="1">
      <c r="A37" s="8">
        <v>34.0</v>
      </c>
      <c r="B37" s="8" t="s">
        <v>386</v>
      </c>
      <c r="C37" s="9" t="s">
        <v>387</v>
      </c>
      <c r="D37" s="10" t="s">
        <v>389</v>
      </c>
      <c r="E37" s="15"/>
      <c r="F37" s="15"/>
      <c r="G37" s="15"/>
      <c r="H37" s="13" t="str">
        <f t="shared" si="2"/>
        <v/>
      </c>
      <c r="I37" s="6">
        <v>15.0</v>
      </c>
      <c r="J37" s="22" t="s">
        <v>74</v>
      </c>
      <c r="K37" s="6" t="s">
        <v>111</v>
      </c>
      <c r="L37" s="21" t="str">
        <f t="shared" ref="L37:N37" si="35">IF(E37="","",IF(E37="½",1/2,IF(OR(E37="?",E37="∞"),NA(),VALUE(E37))))</f>
        <v/>
      </c>
      <c r="M37" s="21" t="str">
        <f t="shared" si="35"/>
        <v/>
      </c>
      <c r="N37" s="21" t="str">
        <f t="shared" si="35"/>
        <v/>
      </c>
    </row>
    <row r="38" ht="54.0" customHeight="1">
      <c r="A38" s="8">
        <v>35.0</v>
      </c>
      <c r="B38" s="8" t="s">
        <v>394</v>
      </c>
      <c r="C38" s="9" t="s">
        <v>395</v>
      </c>
      <c r="D38" s="10" t="s">
        <v>396</v>
      </c>
      <c r="E38" s="15"/>
      <c r="F38" s="15"/>
      <c r="G38" s="15"/>
      <c r="H38" s="13" t="str">
        <f t="shared" si="2"/>
        <v/>
      </c>
      <c r="I38" s="6">
        <v>15.0</v>
      </c>
      <c r="J38" s="22" t="s">
        <v>74</v>
      </c>
      <c r="K38" s="6" t="s">
        <v>111</v>
      </c>
      <c r="L38" s="21" t="str">
        <f t="shared" ref="L38:N38" si="36">IF(E38="","",IF(E38="½",1/2,IF(OR(E38="?",E38="∞"),NA(),VALUE(E38))))</f>
        <v/>
      </c>
      <c r="M38" s="21" t="str">
        <f t="shared" si="36"/>
        <v/>
      </c>
      <c r="N38" s="21" t="str">
        <f t="shared" si="36"/>
        <v/>
      </c>
    </row>
    <row r="39" ht="54.0" customHeight="1">
      <c r="A39" s="8">
        <v>36.0</v>
      </c>
      <c r="B39" s="8" t="s">
        <v>403</v>
      </c>
      <c r="C39" s="9" t="s">
        <v>404</v>
      </c>
      <c r="D39" s="10" t="s">
        <v>405</v>
      </c>
      <c r="E39" s="15"/>
      <c r="F39" s="15"/>
      <c r="G39" s="15"/>
      <c r="H39" s="13" t="str">
        <f t="shared" si="2"/>
        <v/>
      </c>
      <c r="I39" s="6">
        <v>15.0</v>
      </c>
      <c r="J39" s="22" t="s">
        <v>74</v>
      </c>
      <c r="K39" s="6" t="s">
        <v>111</v>
      </c>
      <c r="L39" s="21" t="str">
        <f t="shared" ref="L39:N39" si="37">IF(E39="","",IF(E39="½",1/2,IF(OR(E39="?",E39="∞"),NA(),VALUE(E39))))</f>
        <v/>
      </c>
      <c r="M39" s="21" t="str">
        <f t="shared" si="37"/>
        <v/>
      </c>
      <c r="N39" s="21" t="str">
        <f t="shared" si="37"/>
        <v/>
      </c>
    </row>
    <row r="40" ht="54.0" customHeight="1">
      <c r="A40" s="8">
        <v>37.0</v>
      </c>
      <c r="B40" s="8" t="s">
        <v>411</v>
      </c>
      <c r="C40" s="9" t="s">
        <v>412</v>
      </c>
      <c r="D40" s="10" t="s">
        <v>413</v>
      </c>
      <c r="E40" s="15"/>
      <c r="F40" s="15"/>
      <c r="G40" s="15"/>
      <c r="H40" s="13" t="str">
        <f t="shared" si="2"/>
        <v/>
      </c>
      <c r="I40" s="6">
        <v>12.0</v>
      </c>
      <c r="J40" s="22" t="s">
        <v>74</v>
      </c>
      <c r="K40" s="6" t="s">
        <v>111</v>
      </c>
      <c r="L40" s="21" t="str">
        <f t="shared" ref="L40:N40" si="38">IF(E40="","",IF(E40="½",1/2,IF(OR(E40="?",E40="∞"),NA(),VALUE(E40))))</f>
        <v/>
      </c>
      <c r="M40" s="21" t="str">
        <f t="shared" si="38"/>
        <v/>
      </c>
      <c r="N40" s="21" t="str">
        <f t="shared" si="38"/>
        <v/>
      </c>
    </row>
    <row r="41" ht="54.0" customHeight="1">
      <c r="A41" s="8">
        <v>38.0</v>
      </c>
      <c r="B41" s="8" t="s">
        <v>418</v>
      </c>
      <c r="C41" s="9" t="s">
        <v>419</v>
      </c>
      <c r="D41" s="10" t="s">
        <v>420</v>
      </c>
      <c r="E41" s="15"/>
      <c r="F41" s="15"/>
      <c r="G41" s="15"/>
      <c r="H41" s="13" t="str">
        <f t="shared" si="2"/>
        <v/>
      </c>
      <c r="I41" s="6">
        <v>8.0</v>
      </c>
      <c r="J41" s="22" t="s">
        <v>150</v>
      </c>
      <c r="K41" s="6" t="s">
        <v>111</v>
      </c>
      <c r="L41" s="21" t="str">
        <f t="shared" ref="L41:N41" si="39">IF(E41="","",IF(E41="½",1/2,IF(OR(E41="?",E41="∞"),NA(),VALUE(E41))))</f>
        <v/>
      </c>
      <c r="M41" s="21" t="str">
        <f t="shared" si="39"/>
        <v/>
      </c>
      <c r="N41" s="21" t="str">
        <f t="shared" si="39"/>
        <v/>
      </c>
    </row>
    <row r="42" ht="54.0" customHeight="1">
      <c r="A42" s="8">
        <v>39.0</v>
      </c>
      <c r="B42" s="8" t="s">
        <v>426</v>
      </c>
      <c r="C42" s="9" t="s">
        <v>427</v>
      </c>
      <c r="D42" s="10" t="s">
        <v>428</v>
      </c>
      <c r="E42" s="15"/>
      <c r="F42" s="15"/>
      <c r="G42" s="15"/>
      <c r="H42" s="13" t="str">
        <f t="shared" si="2"/>
        <v/>
      </c>
      <c r="I42" s="6">
        <v>9.0</v>
      </c>
      <c r="J42" s="22" t="s">
        <v>150</v>
      </c>
      <c r="K42" s="6" t="s">
        <v>111</v>
      </c>
      <c r="L42" s="21" t="str">
        <f t="shared" ref="L42:N42" si="40">IF(E42="","",IF(E42="½",1/2,IF(OR(E42="?",E42="∞"),NA(),VALUE(E42))))</f>
        <v/>
      </c>
      <c r="M42" s="21" t="str">
        <f t="shared" si="40"/>
        <v/>
      </c>
      <c r="N42" s="21" t="str">
        <f t="shared" si="40"/>
        <v/>
      </c>
    </row>
    <row r="43" ht="54.0" customHeight="1">
      <c r="A43" s="8">
        <v>40.0</v>
      </c>
      <c r="B43" s="8" t="s">
        <v>433</v>
      </c>
      <c r="C43" s="9" t="s">
        <v>434</v>
      </c>
      <c r="D43" s="10" t="s">
        <v>435</v>
      </c>
      <c r="E43" s="15"/>
      <c r="F43" s="15"/>
      <c r="G43" s="15"/>
      <c r="H43" s="13" t="str">
        <f t="shared" si="2"/>
        <v/>
      </c>
      <c r="I43" s="6">
        <v>10.0</v>
      </c>
      <c r="J43" s="22" t="s">
        <v>74</v>
      </c>
      <c r="K43" s="6" t="s">
        <v>111</v>
      </c>
      <c r="L43" s="21" t="str">
        <f t="shared" ref="L43:N43" si="41">IF(E43="","",IF(E43="½",1/2,IF(OR(E43="?",E43="∞"),NA(),VALUE(E43))))</f>
        <v/>
      </c>
      <c r="M43" s="21" t="str">
        <f t="shared" si="41"/>
        <v/>
      </c>
      <c r="N43" s="21" t="str">
        <f t="shared" si="41"/>
        <v/>
      </c>
    </row>
    <row r="44">
      <c r="A44" s="2"/>
      <c r="B44" s="2"/>
      <c r="C44" s="2"/>
      <c r="J44" s="2"/>
    </row>
    <row r="45">
      <c r="A45" s="2"/>
      <c r="B45" s="2"/>
      <c r="C45" s="2"/>
      <c r="J45" s="2"/>
    </row>
    <row r="46">
      <c r="A46" s="2"/>
      <c r="B46" s="2"/>
      <c r="C46" s="2"/>
      <c r="J46" s="2"/>
    </row>
    <row r="47">
      <c r="A47" s="2"/>
      <c r="B47" s="2"/>
      <c r="C47" s="2"/>
      <c r="J47" s="2"/>
    </row>
    <row r="48">
      <c r="A48" s="2"/>
      <c r="B48" s="2"/>
      <c r="C48" s="2"/>
      <c r="J48" s="2"/>
    </row>
    <row r="49">
      <c r="A49" s="2"/>
      <c r="B49" s="2"/>
      <c r="C49" s="2"/>
      <c r="J49" s="2"/>
    </row>
    <row r="50">
      <c r="A50" s="2"/>
      <c r="B50" s="2"/>
      <c r="C50" s="2"/>
      <c r="J50" s="2"/>
    </row>
    <row r="51">
      <c r="A51" s="2"/>
      <c r="B51" s="2"/>
      <c r="C51" s="2"/>
      <c r="J51" s="2"/>
    </row>
    <row r="52">
      <c r="A52" s="2"/>
      <c r="B52" s="2"/>
      <c r="C52" s="2"/>
      <c r="J52" s="2"/>
    </row>
    <row r="53">
      <c r="A53" s="2"/>
      <c r="B53" s="2"/>
      <c r="C53" s="2"/>
      <c r="J53" s="2"/>
    </row>
    <row r="54">
      <c r="A54" s="2"/>
      <c r="B54" s="2"/>
      <c r="C54" s="2"/>
      <c r="J54" s="2"/>
    </row>
    <row r="55">
      <c r="A55" s="2"/>
      <c r="B55" s="2"/>
      <c r="C55" s="2"/>
      <c r="J55" s="2"/>
    </row>
    <row r="56">
      <c r="A56" s="2"/>
      <c r="B56" s="2"/>
      <c r="C56" s="2"/>
      <c r="J56" s="2"/>
    </row>
    <row r="57">
      <c r="A57" s="2"/>
      <c r="B57" s="2"/>
      <c r="C57" s="2"/>
      <c r="J57" s="2"/>
    </row>
    <row r="58">
      <c r="A58" s="2"/>
      <c r="B58" s="2"/>
      <c r="C58" s="2"/>
      <c r="J58" s="2"/>
    </row>
    <row r="59">
      <c r="A59" s="2"/>
      <c r="B59" s="2"/>
      <c r="C59" s="2"/>
      <c r="J59" s="2"/>
    </row>
    <row r="60">
      <c r="A60" s="2"/>
      <c r="B60" s="2"/>
      <c r="C60" s="2"/>
      <c r="J60" s="2"/>
    </row>
    <row r="61">
      <c r="A61" s="2"/>
      <c r="B61" s="2"/>
      <c r="C61" s="2"/>
      <c r="J61" s="2"/>
    </row>
    <row r="62">
      <c r="A62" s="2"/>
      <c r="B62" s="2"/>
      <c r="C62" s="2"/>
      <c r="J62" s="2"/>
    </row>
    <row r="63">
      <c r="A63" s="2"/>
      <c r="B63" s="2"/>
      <c r="C63" s="2"/>
      <c r="J63" s="2"/>
    </row>
    <row r="64">
      <c r="A64" s="2"/>
      <c r="B64" s="2"/>
      <c r="C64" s="2"/>
      <c r="J64" s="2"/>
    </row>
    <row r="65">
      <c r="A65" s="2"/>
      <c r="B65" s="2"/>
      <c r="C65" s="2"/>
      <c r="J65" s="2"/>
    </row>
    <row r="66">
      <c r="A66" s="2"/>
      <c r="B66" s="2"/>
      <c r="C66" s="2"/>
      <c r="J66" s="2"/>
    </row>
    <row r="67">
      <c r="A67" s="2"/>
      <c r="B67" s="2"/>
      <c r="C67" s="2"/>
      <c r="J67" s="2"/>
    </row>
    <row r="68">
      <c r="A68" s="2"/>
      <c r="B68" s="2"/>
      <c r="C68" s="2"/>
      <c r="J68" s="2"/>
    </row>
    <row r="69">
      <c r="A69" s="2"/>
      <c r="B69" s="2"/>
      <c r="C69" s="2"/>
      <c r="J69" s="2"/>
    </row>
    <row r="70">
      <c r="A70" s="2"/>
      <c r="B70" s="2"/>
      <c r="C70" s="2"/>
      <c r="J70" s="2"/>
    </row>
    <row r="71">
      <c r="A71" s="2"/>
      <c r="B71" s="2"/>
      <c r="C71" s="2"/>
      <c r="J71" s="2"/>
    </row>
    <row r="72">
      <c r="A72" s="2"/>
      <c r="B72" s="2"/>
      <c r="C72" s="2"/>
      <c r="J72" s="2"/>
    </row>
    <row r="73">
      <c r="A73" s="2"/>
      <c r="B73" s="2"/>
      <c r="C73" s="2"/>
      <c r="J73" s="2"/>
    </row>
    <row r="74">
      <c r="A74" s="2"/>
      <c r="B74" s="2"/>
      <c r="C74" s="2"/>
      <c r="J74" s="2"/>
    </row>
    <row r="75">
      <c r="A75" s="2"/>
      <c r="B75" s="2"/>
      <c r="C75" s="2"/>
      <c r="J75" s="2"/>
    </row>
    <row r="76">
      <c r="A76" s="2"/>
      <c r="B76" s="2"/>
      <c r="C76" s="2"/>
      <c r="J76" s="2"/>
    </row>
    <row r="77">
      <c r="A77" s="2"/>
      <c r="B77" s="2"/>
      <c r="C77" s="2"/>
      <c r="J77" s="2"/>
    </row>
    <row r="78">
      <c r="A78" s="2"/>
      <c r="B78" s="2"/>
      <c r="C78" s="2"/>
      <c r="J78" s="2"/>
    </row>
    <row r="79">
      <c r="A79" s="2"/>
      <c r="B79" s="2"/>
      <c r="C79" s="2"/>
      <c r="J79" s="2"/>
    </row>
    <row r="80">
      <c r="A80" s="2"/>
      <c r="B80" s="2"/>
      <c r="C80" s="2"/>
      <c r="J80" s="2"/>
    </row>
    <row r="81">
      <c r="A81" s="2"/>
      <c r="B81" s="2"/>
      <c r="C81" s="2"/>
      <c r="J81" s="2"/>
    </row>
    <row r="82">
      <c r="A82" s="2"/>
      <c r="B82" s="2"/>
      <c r="C82" s="2"/>
      <c r="J82" s="2"/>
    </row>
    <row r="83">
      <c r="A83" s="2"/>
      <c r="B83" s="2"/>
      <c r="C83" s="2"/>
      <c r="J83" s="2"/>
    </row>
    <row r="84">
      <c r="A84" s="2"/>
      <c r="B84" s="2"/>
      <c r="C84" s="2"/>
      <c r="J84" s="2"/>
    </row>
    <row r="85">
      <c r="A85" s="2"/>
      <c r="B85" s="2"/>
      <c r="C85" s="2"/>
      <c r="J85" s="2"/>
    </row>
    <row r="86">
      <c r="A86" s="2"/>
      <c r="B86" s="2"/>
      <c r="C86" s="2"/>
      <c r="J86" s="2"/>
    </row>
    <row r="87">
      <c r="A87" s="2"/>
      <c r="B87" s="2"/>
      <c r="C87" s="2"/>
      <c r="J87" s="2"/>
    </row>
    <row r="88">
      <c r="A88" s="2"/>
      <c r="B88" s="2"/>
      <c r="C88" s="2"/>
      <c r="J88" s="2"/>
    </row>
    <row r="89">
      <c r="A89" s="2"/>
      <c r="B89" s="2"/>
      <c r="C89" s="2"/>
      <c r="J89" s="2"/>
    </row>
    <row r="90">
      <c r="A90" s="2"/>
      <c r="B90" s="2"/>
      <c r="C90" s="2"/>
      <c r="J90" s="2"/>
    </row>
    <row r="91">
      <c r="A91" s="2"/>
      <c r="B91" s="2"/>
      <c r="C91" s="2"/>
      <c r="J91" s="2"/>
    </row>
    <row r="92">
      <c r="A92" s="2"/>
      <c r="B92" s="2"/>
      <c r="C92" s="2"/>
      <c r="J92" s="2"/>
    </row>
    <row r="93">
      <c r="A93" s="2"/>
      <c r="B93" s="2"/>
      <c r="C93" s="2"/>
      <c r="J93" s="2"/>
    </row>
    <row r="94">
      <c r="A94" s="2"/>
      <c r="B94" s="2"/>
      <c r="C94" s="2"/>
      <c r="J94" s="2"/>
    </row>
    <row r="95">
      <c r="A95" s="2"/>
      <c r="B95" s="2"/>
      <c r="C95" s="2"/>
      <c r="J95" s="2"/>
    </row>
    <row r="96">
      <c r="A96" s="2"/>
      <c r="B96" s="2"/>
      <c r="C96" s="2"/>
      <c r="J96" s="2"/>
    </row>
    <row r="97">
      <c r="A97" s="2"/>
      <c r="B97" s="2"/>
      <c r="C97" s="2"/>
      <c r="J97" s="2"/>
    </row>
    <row r="98">
      <c r="A98" s="2"/>
      <c r="B98" s="2"/>
      <c r="C98" s="2"/>
      <c r="J98" s="2"/>
    </row>
    <row r="99">
      <c r="A99" s="2"/>
      <c r="B99" s="2"/>
      <c r="C99" s="2"/>
      <c r="J99" s="2"/>
    </row>
    <row r="100">
      <c r="A100" s="2"/>
      <c r="B100" s="2"/>
      <c r="C100" s="2"/>
      <c r="J100" s="2"/>
    </row>
    <row r="101">
      <c r="A101" s="2"/>
      <c r="B101" s="2"/>
      <c r="C101" s="2"/>
      <c r="J101" s="2"/>
    </row>
    <row r="102">
      <c r="A102" s="2"/>
      <c r="B102" s="2"/>
      <c r="C102" s="2"/>
      <c r="J102" s="2"/>
    </row>
    <row r="103">
      <c r="A103" s="2"/>
      <c r="B103" s="2"/>
      <c r="C103" s="2"/>
      <c r="J103" s="2"/>
    </row>
    <row r="104">
      <c r="A104" s="2"/>
      <c r="B104" s="2"/>
      <c r="C104" s="2"/>
      <c r="J104" s="2"/>
    </row>
    <row r="105">
      <c r="A105" s="2"/>
      <c r="B105" s="2"/>
      <c r="C105" s="2"/>
      <c r="J105" s="2"/>
    </row>
    <row r="106">
      <c r="A106" s="2"/>
      <c r="B106" s="2"/>
      <c r="C106" s="2"/>
      <c r="J106" s="2"/>
    </row>
    <row r="107">
      <c r="A107" s="2"/>
      <c r="B107" s="2"/>
      <c r="C107" s="2"/>
      <c r="J107" s="2"/>
    </row>
    <row r="108">
      <c r="A108" s="2"/>
      <c r="B108" s="2"/>
      <c r="C108" s="2"/>
      <c r="J108" s="2"/>
    </row>
    <row r="109">
      <c r="A109" s="2"/>
      <c r="B109" s="2"/>
      <c r="C109" s="2"/>
      <c r="J109" s="2"/>
    </row>
    <row r="110">
      <c r="A110" s="2"/>
      <c r="B110" s="2"/>
      <c r="C110" s="2"/>
      <c r="J110" s="2"/>
    </row>
    <row r="111">
      <c r="A111" s="2"/>
      <c r="B111" s="2"/>
      <c r="C111" s="2"/>
      <c r="J111" s="2"/>
    </row>
    <row r="112">
      <c r="A112" s="2"/>
      <c r="B112" s="2"/>
      <c r="C112" s="2"/>
      <c r="J112" s="2"/>
    </row>
    <row r="113">
      <c r="A113" s="2"/>
      <c r="B113" s="2"/>
      <c r="C113" s="2"/>
      <c r="J113" s="2"/>
    </row>
    <row r="114">
      <c r="A114" s="2"/>
      <c r="B114" s="2"/>
      <c r="C114" s="2"/>
      <c r="J114" s="2"/>
    </row>
    <row r="115">
      <c r="A115" s="2"/>
      <c r="B115" s="2"/>
      <c r="C115" s="2"/>
      <c r="J115" s="2"/>
    </row>
    <row r="116">
      <c r="A116" s="2"/>
      <c r="B116" s="2"/>
      <c r="C116" s="2"/>
      <c r="J116" s="2"/>
    </row>
    <row r="117">
      <c r="A117" s="2"/>
      <c r="B117" s="2"/>
      <c r="C117" s="2"/>
      <c r="J117" s="2"/>
    </row>
    <row r="118">
      <c r="A118" s="2"/>
      <c r="B118" s="2"/>
      <c r="C118" s="2"/>
      <c r="J118" s="2"/>
    </row>
    <row r="119">
      <c r="A119" s="2"/>
      <c r="B119" s="2"/>
      <c r="C119" s="2"/>
      <c r="J119" s="2"/>
    </row>
    <row r="120">
      <c r="A120" s="2"/>
      <c r="B120" s="2"/>
      <c r="C120" s="2"/>
      <c r="J120" s="2"/>
    </row>
    <row r="121">
      <c r="A121" s="2"/>
      <c r="B121" s="2"/>
      <c r="C121" s="2"/>
      <c r="J121" s="2"/>
    </row>
    <row r="122">
      <c r="A122" s="2"/>
      <c r="B122" s="2"/>
      <c r="C122" s="2"/>
      <c r="J122" s="2"/>
    </row>
    <row r="123">
      <c r="A123" s="2"/>
      <c r="B123" s="2"/>
      <c r="C123" s="2"/>
      <c r="J123" s="2"/>
    </row>
    <row r="124">
      <c r="A124" s="2"/>
      <c r="B124" s="2"/>
      <c r="C124" s="2"/>
      <c r="J124" s="2"/>
    </row>
    <row r="125">
      <c r="A125" s="2"/>
      <c r="B125" s="2"/>
      <c r="C125" s="2"/>
      <c r="J125" s="2"/>
    </row>
    <row r="126">
      <c r="A126" s="2"/>
      <c r="B126" s="2"/>
      <c r="C126" s="2"/>
      <c r="J126" s="2"/>
    </row>
    <row r="127">
      <c r="A127" s="2"/>
      <c r="B127" s="2"/>
      <c r="C127" s="2"/>
      <c r="J127" s="2"/>
    </row>
    <row r="128">
      <c r="A128" s="2"/>
      <c r="B128" s="2"/>
      <c r="C128" s="2"/>
      <c r="J128" s="2"/>
    </row>
    <row r="129">
      <c r="A129" s="2"/>
      <c r="B129" s="2"/>
      <c r="C129" s="2"/>
      <c r="J129" s="2"/>
    </row>
    <row r="130">
      <c r="A130" s="2"/>
      <c r="B130" s="2"/>
      <c r="C130" s="2"/>
      <c r="J130" s="2"/>
    </row>
    <row r="131">
      <c r="A131" s="2"/>
      <c r="B131" s="2"/>
      <c r="C131" s="2"/>
      <c r="J131" s="2"/>
    </row>
    <row r="132">
      <c r="A132" s="2"/>
      <c r="B132" s="2"/>
      <c r="C132" s="2"/>
      <c r="J132" s="2"/>
    </row>
    <row r="133">
      <c r="A133" s="2"/>
      <c r="B133" s="2"/>
      <c r="C133" s="2"/>
      <c r="J133" s="2"/>
    </row>
    <row r="134">
      <c r="A134" s="2"/>
      <c r="B134" s="2"/>
      <c r="C134" s="2"/>
      <c r="J134" s="2"/>
    </row>
    <row r="135">
      <c r="A135" s="2"/>
      <c r="B135" s="2"/>
      <c r="C135" s="2"/>
      <c r="J135" s="2"/>
    </row>
    <row r="136">
      <c r="A136" s="2"/>
      <c r="B136" s="2"/>
      <c r="C136" s="2"/>
      <c r="J136" s="2"/>
    </row>
    <row r="137">
      <c r="A137" s="2"/>
      <c r="B137" s="2"/>
      <c r="C137" s="2"/>
      <c r="J137" s="2"/>
    </row>
    <row r="138">
      <c r="A138" s="2"/>
      <c r="B138" s="2"/>
      <c r="C138" s="2"/>
      <c r="J138" s="2"/>
    </row>
    <row r="139">
      <c r="A139" s="2"/>
      <c r="B139" s="2"/>
      <c r="C139" s="2"/>
      <c r="J139" s="2"/>
    </row>
    <row r="140">
      <c r="A140" s="2"/>
      <c r="B140" s="2"/>
      <c r="C140" s="2"/>
      <c r="J140" s="2"/>
    </row>
    <row r="141">
      <c r="A141" s="2"/>
      <c r="B141" s="2"/>
      <c r="C141" s="2"/>
      <c r="J141" s="2"/>
    </row>
    <row r="142">
      <c r="A142" s="2"/>
      <c r="B142" s="2"/>
      <c r="C142" s="2"/>
      <c r="J142" s="2"/>
    </row>
    <row r="143">
      <c r="A143" s="2"/>
      <c r="B143" s="2"/>
      <c r="C143" s="2"/>
      <c r="J143" s="2"/>
    </row>
    <row r="144">
      <c r="A144" s="2"/>
      <c r="B144" s="2"/>
      <c r="C144" s="2"/>
      <c r="J144" s="2"/>
    </row>
    <row r="145">
      <c r="A145" s="2"/>
      <c r="B145" s="2"/>
      <c r="C145" s="2"/>
      <c r="J145" s="2"/>
    </row>
    <row r="146">
      <c r="A146" s="2"/>
      <c r="B146" s="2"/>
      <c r="C146" s="2"/>
      <c r="J146" s="2"/>
    </row>
    <row r="147">
      <c r="A147" s="2"/>
      <c r="B147" s="2"/>
      <c r="C147" s="2"/>
      <c r="J147" s="2"/>
    </row>
    <row r="148">
      <c r="A148" s="2"/>
      <c r="B148" s="2"/>
      <c r="C148" s="2"/>
      <c r="J148" s="2"/>
    </row>
    <row r="149">
      <c r="A149" s="2"/>
      <c r="B149" s="2"/>
      <c r="C149" s="2"/>
      <c r="J149" s="2"/>
    </row>
    <row r="150">
      <c r="A150" s="2"/>
      <c r="B150" s="2"/>
      <c r="C150" s="2"/>
      <c r="J150" s="2"/>
    </row>
    <row r="151">
      <c r="A151" s="2"/>
      <c r="B151" s="2"/>
      <c r="C151" s="2"/>
      <c r="J151" s="2"/>
    </row>
    <row r="152">
      <c r="A152" s="2"/>
      <c r="B152" s="2"/>
      <c r="C152" s="2"/>
      <c r="J152" s="2"/>
    </row>
    <row r="153">
      <c r="A153" s="2"/>
      <c r="B153" s="2"/>
      <c r="C153" s="2"/>
      <c r="J153" s="2"/>
    </row>
    <row r="154">
      <c r="A154" s="2"/>
      <c r="B154" s="2"/>
      <c r="C154" s="2"/>
      <c r="J154" s="2"/>
    </row>
    <row r="155">
      <c r="A155" s="2"/>
      <c r="B155" s="2"/>
      <c r="C155" s="2"/>
      <c r="J155" s="2"/>
    </row>
    <row r="156">
      <c r="A156" s="2"/>
      <c r="B156" s="2"/>
      <c r="C156" s="2"/>
      <c r="J156" s="2"/>
    </row>
    <row r="157">
      <c r="A157" s="2"/>
      <c r="B157" s="2"/>
      <c r="C157" s="2"/>
      <c r="J157" s="2"/>
    </row>
    <row r="158">
      <c r="A158" s="2"/>
      <c r="B158" s="2"/>
      <c r="C158" s="2"/>
      <c r="J158" s="2"/>
    </row>
    <row r="159">
      <c r="A159" s="2"/>
      <c r="B159" s="2"/>
      <c r="C159" s="2"/>
      <c r="J159" s="2"/>
    </row>
    <row r="160">
      <c r="A160" s="2"/>
      <c r="B160" s="2"/>
      <c r="C160" s="2"/>
      <c r="J160" s="2"/>
    </row>
    <row r="161">
      <c r="A161" s="2"/>
      <c r="B161" s="2"/>
      <c r="C161" s="2"/>
      <c r="J161" s="2"/>
    </row>
    <row r="162">
      <c r="A162" s="2"/>
      <c r="B162" s="2"/>
      <c r="C162" s="2"/>
      <c r="J162" s="2"/>
    </row>
    <row r="163">
      <c r="A163" s="2"/>
      <c r="B163" s="2"/>
      <c r="C163" s="2"/>
      <c r="J163" s="2"/>
    </row>
    <row r="164">
      <c r="A164" s="2"/>
      <c r="B164" s="2"/>
      <c r="C164" s="2"/>
      <c r="J164" s="2"/>
    </row>
    <row r="165">
      <c r="A165" s="2"/>
      <c r="B165" s="2"/>
      <c r="C165" s="2"/>
      <c r="J165" s="2"/>
    </row>
    <row r="166">
      <c r="A166" s="2"/>
      <c r="B166" s="2"/>
      <c r="C166" s="2"/>
      <c r="J166" s="2"/>
    </row>
    <row r="167">
      <c r="A167" s="2"/>
      <c r="B167" s="2"/>
      <c r="C167" s="2"/>
      <c r="J167" s="2"/>
    </row>
    <row r="168">
      <c r="A168" s="2"/>
      <c r="B168" s="2"/>
      <c r="C168" s="2"/>
      <c r="J168" s="2"/>
    </row>
    <row r="169">
      <c r="A169" s="2"/>
      <c r="B169" s="2"/>
      <c r="C169" s="2"/>
      <c r="J169" s="2"/>
    </row>
    <row r="170">
      <c r="A170" s="2"/>
      <c r="B170" s="2"/>
      <c r="C170" s="2"/>
      <c r="J170" s="2"/>
    </row>
    <row r="171">
      <c r="A171" s="2"/>
      <c r="B171" s="2"/>
      <c r="C171" s="2"/>
      <c r="J171" s="2"/>
    </row>
    <row r="172">
      <c r="A172" s="2"/>
      <c r="B172" s="2"/>
      <c r="C172" s="2"/>
      <c r="J172" s="2"/>
    </row>
    <row r="173">
      <c r="A173" s="2"/>
      <c r="B173" s="2"/>
      <c r="C173" s="2"/>
      <c r="J173" s="2"/>
    </row>
    <row r="174">
      <c r="A174" s="2"/>
      <c r="B174" s="2"/>
      <c r="C174" s="2"/>
      <c r="J174" s="2"/>
    </row>
    <row r="175">
      <c r="A175" s="2"/>
      <c r="B175" s="2"/>
      <c r="C175" s="2"/>
      <c r="J175" s="2"/>
    </row>
    <row r="176">
      <c r="A176" s="2"/>
      <c r="B176" s="2"/>
      <c r="C176" s="2"/>
      <c r="J176" s="2"/>
    </row>
    <row r="177">
      <c r="A177" s="2"/>
      <c r="B177" s="2"/>
      <c r="C177" s="2"/>
      <c r="J177" s="2"/>
    </row>
    <row r="178">
      <c r="A178" s="2"/>
      <c r="B178" s="2"/>
      <c r="C178" s="2"/>
      <c r="J178" s="2"/>
    </row>
    <row r="179">
      <c r="A179" s="2"/>
      <c r="B179" s="2"/>
      <c r="C179" s="2"/>
      <c r="J179" s="2"/>
    </row>
    <row r="180">
      <c r="A180" s="2"/>
      <c r="B180" s="2"/>
      <c r="C180" s="2"/>
      <c r="J180" s="2"/>
    </row>
    <row r="181">
      <c r="A181" s="2"/>
      <c r="B181" s="2"/>
      <c r="C181" s="2"/>
      <c r="J181" s="2"/>
    </row>
    <row r="182">
      <c r="A182" s="2"/>
      <c r="B182" s="2"/>
      <c r="C182" s="2"/>
      <c r="J182" s="2"/>
    </row>
    <row r="183">
      <c r="A183" s="2"/>
      <c r="B183" s="2"/>
      <c r="C183" s="2"/>
      <c r="J183" s="2"/>
    </row>
    <row r="184">
      <c r="A184" s="2"/>
      <c r="B184" s="2"/>
      <c r="C184" s="2"/>
      <c r="J184" s="2"/>
    </row>
    <row r="185">
      <c r="A185" s="2"/>
      <c r="B185" s="2"/>
      <c r="C185" s="2"/>
      <c r="J185" s="2"/>
    </row>
    <row r="186">
      <c r="A186" s="2"/>
      <c r="B186" s="2"/>
      <c r="C186" s="2"/>
      <c r="J186" s="2"/>
    </row>
    <row r="187">
      <c r="A187" s="2"/>
      <c r="B187" s="2"/>
      <c r="C187" s="2"/>
      <c r="J187" s="2"/>
    </row>
    <row r="188">
      <c r="A188" s="2"/>
      <c r="B188" s="2"/>
      <c r="C188" s="2"/>
      <c r="J188" s="2"/>
    </row>
    <row r="189">
      <c r="A189" s="2"/>
      <c r="B189" s="2"/>
      <c r="C189" s="2"/>
      <c r="J189" s="2"/>
    </row>
    <row r="190">
      <c r="A190" s="2"/>
      <c r="B190" s="2"/>
      <c r="C190" s="2"/>
      <c r="J190" s="2"/>
    </row>
    <row r="191">
      <c r="A191" s="2"/>
      <c r="B191" s="2"/>
      <c r="C191" s="2"/>
      <c r="J191" s="2"/>
    </row>
    <row r="192">
      <c r="A192" s="2"/>
      <c r="B192" s="2"/>
      <c r="C192" s="2"/>
      <c r="J192" s="2"/>
    </row>
    <row r="193">
      <c r="A193" s="2"/>
      <c r="B193" s="2"/>
      <c r="C193" s="2"/>
      <c r="J193" s="2"/>
    </row>
    <row r="194">
      <c r="A194" s="2"/>
      <c r="B194" s="2"/>
      <c r="C194" s="2"/>
      <c r="J194" s="2"/>
    </row>
    <row r="195">
      <c r="A195" s="2"/>
      <c r="B195" s="2"/>
      <c r="C195" s="2"/>
      <c r="J195" s="2"/>
    </row>
    <row r="196">
      <c r="A196" s="2"/>
      <c r="B196" s="2"/>
      <c r="C196" s="2"/>
      <c r="J196" s="2"/>
    </row>
    <row r="197">
      <c r="A197" s="2"/>
      <c r="B197" s="2"/>
      <c r="C197" s="2"/>
      <c r="J197" s="2"/>
    </row>
    <row r="198">
      <c r="A198" s="2"/>
      <c r="B198" s="2"/>
      <c r="C198" s="2"/>
      <c r="J198" s="2"/>
    </row>
    <row r="199">
      <c r="A199" s="2"/>
      <c r="B199" s="2"/>
      <c r="C199" s="2"/>
      <c r="J199" s="2"/>
    </row>
  </sheetData>
  <mergeCells count="1">
    <mergeCell ref="A1:N1"/>
  </mergeCells>
  <dataValidations>
    <dataValidation type="list" allowBlank="1" showErrorMessage="1" sqref="E4:G43">
      <formula1>"0,½,1,2,3,5,8,13,20,40,100,?,∞"</formula1>
    </dataValidation>
    <dataValidation type="list" allowBlank="1" sqref="J4:J43">
      <formula1>"LOW,MEDIUM,HIGH,HIGHEST"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57.63"/>
    <col customWidth="1" min="3" max="3" width="42.63"/>
    <col customWidth="1" min="4" max="4" width="20.13"/>
    <col customWidth="1" min="5" max="5" width="36.38"/>
    <col customWidth="1" min="6" max="6" width="22.63"/>
    <col customWidth="1" min="7" max="7" width="45.13"/>
    <col customWidth="1" min="8" max="8" width="3.88"/>
    <col customWidth="1" min="9" max="9" width="32.63"/>
    <col customWidth="1" min="10" max="10" width="48.88"/>
  </cols>
  <sheetData>
    <row r="1">
      <c r="A1" s="1" t="s">
        <v>3</v>
      </c>
    </row>
    <row r="3" ht="45.0" customHeight="1">
      <c r="A3" s="4" t="s">
        <v>4</v>
      </c>
      <c r="B3" s="4" t="s">
        <v>9</v>
      </c>
      <c r="I3" s="3" t="s">
        <v>12</v>
      </c>
      <c r="J3" s="3" t="s">
        <v>16</v>
      </c>
    </row>
    <row r="4" ht="57.0" customHeight="1">
      <c r="A4" s="5" t="s">
        <v>21</v>
      </c>
      <c r="B4" s="5" t="s">
        <v>25</v>
      </c>
      <c r="I4" s="6" t="s">
        <v>30</v>
      </c>
      <c r="J4" s="7" t="s">
        <v>32</v>
      </c>
    </row>
    <row r="5" ht="57.0" customHeight="1">
      <c r="A5" s="5" t="s">
        <v>33</v>
      </c>
      <c r="B5" s="5" t="s">
        <v>34</v>
      </c>
      <c r="I5" s="6" t="s">
        <v>36</v>
      </c>
      <c r="J5" s="7" t="s">
        <v>32</v>
      </c>
    </row>
    <row r="6" ht="57.0" customHeight="1">
      <c r="A6" s="5" t="s">
        <v>39</v>
      </c>
      <c r="B6" s="5" t="s">
        <v>40</v>
      </c>
      <c r="I6" s="6" t="s">
        <v>41</v>
      </c>
      <c r="J6" s="7" t="s">
        <v>32</v>
      </c>
    </row>
    <row r="7" ht="57.0" customHeight="1">
      <c r="A7" s="5" t="s">
        <v>42</v>
      </c>
      <c r="B7" s="5" t="s">
        <v>43</v>
      </c>
      <c r="I7" s="6" t="s">
        <v>45</v>
      </c>
      <c r="J7" s="7" t="s">
        <v>46</v>
      </c>
    </row>
    <row r="8" ht="57.0" customHeight="1">
      <c r="A8" s="5" t="s">
        <v>48</v>
      </c>
      <c r="B8" s="5" t="s">
        <v>50</v>
      </c>
      <c r="I8" s="6" t="s">
        <v>52</v>
      </c>
      <c r="J8" s="6" t="s">
        <v>54</v>
      </c>
    </row>
    <row r="9" ht="57.0" customHeight="1">
      <c r="A9" s="5" t="s">
        <v>56</v>
      </c>
      <c r="B9" s="5" t="s">
        <v>58</v>
      </c>
      <c r="I9" s="6" t="s">
        <v>60</v>
      </c>
      <c r="J9" s="6" t="s">
        <v>62</v>
      </c>
    </row>
    <row r="10" ht="57.0" customHeight="1">
      <c r="A10" s="5" t="s">
        <v>63</v>
      </c>
      <c r="B10" s="5" t="s">
        <v>64</v>
      </c>
      <c r="I10" s="6" t="s">
        <v>65</v>
      </c>
      <c r="J10" s="6" t="s">
        <v>66</v>
      </c>
    </row>
    <row r="11" ht="57.0" customHeight="1">
      <c r="A11" s="5" t="s">
        <v>67</v>
      </c>
      <c r="B11" s="5" t="s">
        <v>69</v>
      </c>
      <c r="I11" s="6" t="s">
        <v>70</v>
      </c>
      <c r="J11" s="6" t="s">
        <v>73</v>
      </c>
    </row>
    <row r="12" ht="57.0" customHeight="1">
      <c r="A12" s="5" t="s">
        <v>75</v>
      </c>
      <c r="B12" s="5" t="s">
        <v>76</v>
      </c>
      <c r="I12" s="6" t="s">
        <v>78</v>
      </c>
      <c r="J12" s="6" t="s">
        <v>80</v>
      </c>
    </row>
    <row r="13" ht="57.0" customHeight="1">
      <c r="A13" s="5" t="s">
        <v>82</v>
      </c>
      <c r="B13" s="5" t="s">
        <v>84</v>
      </c>
      <c r="I13" s="6" t="s">
        <v>86</v>
      </c>
      <c r="J13" s="6" t="s">
        <v>89</v>
      </c>
    </row>
    <row r="16" ht="34.5" customHeight="1">
      <c r="A16" s="3" t="s">
        <v>90</v>
      </c>
      <c r="B16" s="3" t="s">
        <v>22</v>
      </c>
      <c r="C16" s="3" t="s">
        <v>91</v>
      </c>
      <c r="D16" s="18"/>
      <c r="E16" s="3" t="s">
        <v>90</v>
      </c>
      <c r="F16" s="3" t="s">
        <v>23</v>
      </c>
      <c r="G16" s="3" t="s">
        <v>91</v>
      </c>
      <c r="H16" s="19"/>
    </row>
    <row r="17" ht="48.0" customHeight="1">
      <c r="A17" s="13">
        <v>1.0</v>
      </c>
      <c r="B17" s="13" t="s">
        <v>92</v>
      </c>
      <c r="C17" s="13" t="s">
        <v>93</v>
      </c>
      <c r="D17" s="18"/>
      <c r="E17" s="13">
        <v>1.0</v>
      </c>
      <c r="F17" s="13" t="s">
        <v>97</v>
      </c>
      <c r="G17" s="8" t="s">
        <v>98</v>
      </c>
      <c r="H17" s="19"/>
    </row>
    <row r="18" ht="48.0" customHeight="1">
      <c r="A18" s="13">
        <v>2.0</v>
      </c>
      <c r="B18" s="13" t="s">
        <v>99</v>
      </c>
      <c r="C18" s="13" t="s">
        <v>100</v>
      </c>
      <c r="D18" s="18"/>
      <c r="E18" s="13">
        <v>2.0</v>
      </c>
      <c r="F18" s="13" t="s">
        <v>103</v>
      </c>
      <c r="G18" s="13" t="s">
        <v>104</v>
      </c>
      <c r="H18" s="19"/>
    </row>
    <row r="19" ht="48.0" customHeight="1">
      <c r="A19" s="13">
        <v>3.0</v>
      </c>
      <c r="B19" s="13" t="s">
        <v>77</v>
      </c>
      <c r="C19" s="13" t="s">
        <v>105</v>
      </c>
      <c r="D19" s="18"/>
      <c r="E19" s="13">
        <v>3.0</v>
      </c>
      <c r="F19" s="13" t="s">
        <v>106</v>
      </c>
      <c r="G19" s="8" t="s">
        <v>107</v>
      </c>
      <c r="H19" s="19"/>
    </row>
    <row r="20" ht="48.0" customHeight="1">
      <c r="A20" s="13">
        <v>4.0</v>
      </c>
      <c r="B20" s="13" t="s">
        <v>108</v>
      </c>
      <c r="C20" s="13" t="s">
        <v>109</v>
      </c>
      <c r="D20" s="18"/>
      <c r="E20" s="13">
        <v>4.0</v>
      </c>
      <c r="F20" s="13" t="s">
        <v>79</v>
      </c>
      <c r="G20" s="13" t="s">
        <v>110</v>
      </c>
      <c r="H20" s="19"/>
    </row>
    <row r="21" ht="48.0" customHeight="1">
      <c r="A21" s="13">
        <v>5.0</v>
      </c>
      <c r="B21" s="13" t="s">
        <v>112</v>
      </c>
      <c r="C21" s="13" t="s">
        <v>113</v>
      </c>
      <c r="D21" s="18"/>
      <c r="E21" s="13">
        <v>5.0</v>
      </c>
      <c r="F21" s="13" t="s">
        <v>114</v>
      </c>
      <c r="G21" s="13" t="s">
        <v>115</v>
      </c>
      <c r="H21" s="19"/>
    </row>
    <row r="22">
      <c r="A22" s="19"/>
      <c r="B22" s="19"/>
      <c r="C22" s="19"/>
      <c r="D22" s="19"/>
      <c r="E22" s="19"/>
      <c r="F22" s="19"/>
      <c r="G22" s="19"/>
      <c r="H22" s="19"/>
    </row>
    <row r="23">
      <c r="A23" s="19"/>
      <c r="B23" s="19"/>
      <c r="C23" s="19"/>
      <c r="D23" s="19"/>
      <c r="E23" s="19"/>
      <c r="F23" s="19"/>
      <c r="G23" s="19"/>
      <c r="H23" s="19"/>
    </row>
    <row r="24" ht="34.5" customHeight="1">
      <c r="A24" s="3" t="s">
        <v>19</v>
      </c>
      <c r="B24" s="3" t="s">
        <v>17</v>
      </c>
      <c r="C24" s="19"/>
      <c r="D24" s="3" t="s">
        <v>116</v>
      </c>
      <c r="E24" s="3" t="s">
        <v>7</v>
      </c>
      <c r="F24" s="19"/>
      <c r="G24" s="19"/>
      <c r="H24" s="19"/>
    </row>
    <row r="25" ht="30.0" customHeight="1">
      <c r="A25" s="13" t="s">
        <v>117</v>
      </c>
      <c r="B25" s="13" t="s">
        <v>118</v>
      </c>
      <c r="C25" s="19"/>
      <c r="D25" s="14" t="s">
        <v>119</v>
      </c>
      <c r="E25" s="13" t="s">
        <v>68</v>
      </c>
      <c r="F25" s="19"/>
      <c r="G25" s="19"/>
      <c r="H25" s="19"/>
    </row>
    <row r="26" ht="30.0" customHeight="1">
      <c r="A26" s="13" t="s">
        <v>120</v>
      </c>
      <c r="B26" s="13" t="s">
        <v>121</v>
      </c>
      <c r="C26" s="19"/>
      <c r="D26" s="14" t="s">
        <v>122</v>
      </c>
      <c r="E26" s="13" t="s">
        <v>123</v>
      </c>
      <c r="F26" s="19"/>
      <c r="G26" s="19"/>
      <c r="H26" s="19"/>
    </row>
    <row r="27" ht="30.0" customHeight="1">
      <c r="A27" s="13" t="s">
        <v>124</v>
      </c>
      <c r="B27" s="13" t="s">
        <v>125</v>
      </c>
      <c r="C27" s="19"/>
      <c r="D27" s="14" t="s">
        <v>126</v>
      </c>
      <c r="E27" s="13" t="s">
        <v>127</v>
      </c>
      <c r="F27" s="19"/>
      <c r="G27" s="19"/>
      <c r="H27" s="19"/>
    </row>
    <row r="28" ht="30.0" customHeight="1">
      <c r="A28" s="13" t="s">
        <v>128</v>
      </c>
      <c r="B28" s="13" t="s">
        <v>129</v>
      </c>
      <c r="C28" s="19"/>
      <c r="D28" s="14" t="s">
        <v>131</v>
      </c>
      <c r="E28" s="13" t="s">
        <v>133</v>
      </c>
      <c r="F28" s="19"/>
      <c r="G28" s="19"/>
      <c r="H28" s="19"/>
    </row>
    <row r="29" ht="30.0" customHeight="1">
      <c r="A29" s="19"/>
      <c r="B29" s="19"/>
      <c r="C29" s="19"/>
      <c r="D29" s="14" t="s">
        <v>135</v>
      </c>
      <c r="E29" s="13" t="s">
        <v>136</v>
      </c>
      <c r="F29" s="19"/>
      <c r="G29" s="19"/>
      <c r="H29" s="19"/>
    </row>
    <row r="30" ht="30.0" customHeight="1">
      <c r="A30" s="19"/>
      <c r="B30" s="19"/>
      <c r="C30" s="19"/>
      <c r="D30" s="14" t="s">
        <v>138</v>
      </c>
      <c r="E30" s="13" t="s">
        <v>140</v>
      </c>
      <c r="F30" s="19"/>
      <c r="G30" s="19"/>
      <c r="H30" s="19"/>
    </row>
    <row r="31" ht="30.0" customHeight="1">
      <c r="A31" s="19"/>
      <c r="B31" s="19"/>
      <c r="C31" s="19"/>
      <c r="D31" s="14" t="s">
        <v>141</v>
      </c>
      <c r="E31" s="13" t="s">
        <v>143</v>
      </c>
      <c r="F31" s="19"/>
      <c r="G31" s="19"/>
      <c r="H31" s="19"/>
    </row>
    <row r="32" ht="30.0" customHeight="1">
      <c r="A32" s="19"/>
      <c r="B32" s="19"/>
      <c r="C32" s="19"/>
      <c r="D32" s="14" t="s">
        <v>145</v>
      </c>
      <c r="E32" s="13" t="s">
        <v>146</v>
      </c>
      <c r="F32" s="19"/>
      <c r="G32" s="19"/>
      <c r="H32" s="19"/>
    </row>
    <row r="33" ht="30.0" customHeight="1">
      <c r="A33" s="19"/>
      <c r="B33" s="19"/>
      <c r="C33" s="19"/>
      <c r="D33" s="14" t="s">
        <v>148</v>
      </c>
      <c r="E33" s="13" t="s">
        <v>149</v>
      </c>
      <c r="F33" s="19"/>
      <c r="G33" s="19"/>
      <c r="H33" s="19"/>
    </row>
  </sheetData>
  <mergeCells count="1">
    <mergeCell ref="A1:H1"/>
  </mergeCells>
  <conditionalFormatting sqref="B25:B28">
    <cfRule type="cellIs" dxfId="5" priority="1" stopIfTrue="1" operator="equal">
      <formula>"HIGHEST / Crítico"</formula>
    </cfRule>
  </conditionalFormatting>
  <conditionalFormatting sqref="B25:B28">
    <cfRule type="cellIs" dxfId="6" priority="2" stopIfTrue="1" operator="equal">
      <formula>"HIGH / Alto"</formula>
    </cfRule>
  </conditionalFormatting>
  <conditionalFormatting sqref="B25:B28">
    <cfRule type="cellIs" dxfId="7" priority="3" stopIfTrue="1" operator="equal">
      <formula>"MEDIUM / Medio"</formula>
    </cfRule>
  </conditionalFormatting>
  <conditionalFormatting sqref="B25:B28">
    <cfRule type="cellIs" dxfId="8" priority="4" stopIfTrue="1" operator="equal">
      <formula>"LOW / Bajo"</formula>
    </cfRule>
  </conditionalFormatting>
  <dataValidations>
    <dataValidation allowBlank="1" showDropDown="1" sqref="D25:D33"/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13"/>
    <col customWidth="1" min="2" max="2" width="16.38"/>
    <col customWidth="1" min="3" max="3" width="4.5"/>
    <col customWidth="1" min="4" max="4" width="27.63"/>
    <col customWidth="1" min="5" max="5" width="16.38"/>
  </cols>
  <sheetData>
    <row r="1">
      <c r="A1" s="1" t="s">
        <v>137</v>
      </c>
    </row>
    <row r="3" ht="34.5" customHeight="1">
      <c r="A3" s="3" t="s">
        <v>139</v>
      </c>
      <c r="B3" s="3" t="s">
        <v>142</v>
      </c>
    </row>
    <row r="4" ht="27.0" customHeight="1">
      <c r="A4" s="16" t="s">
        <v>144</v>
      </c>
      <c r="B4" s="16">
        <v>40.0</v>
      </c>
    </row>
    <row r="5" ht="27.0" customHeight="1">
      <c r="A5" s="16" t="s">
        <v>147</v>
      </c>
      <c r="B5" s="16">
        <v>1.0</v>
      </c>
    </row>
    <row r="6" ht="27.0" customHeight="1">
      <c r="A6" s="16" t="s">
        <v>74</v>
      </c>
      <c r="B6" s="16">
        <v>32.0</v>
      </c>
    </row>
    <row r="7" ht="27.0" customHeight="1">
      <c r="A7" s="16" t="s">
        <v>150</v>
      </c>
      <c r="B7" s="16">
        <v>7.0</v>
      </c>
    </row>
    <row r="8" ht="34.5" customHeight="1">
      <c r="D8" s="4" t="s">
        <v>53</v>
      </c>
      <c r="E8" s="4" t="s">
        <v>151</v>
      </c>
    </row>
    <row r="9" ht="30.0" customHeight="1">
      <c r="D9" s="10" t="s">
        <v>95</v>
      </c>
      <c r="E9" s="10">
        <v>17.0</v>
      </c>
    </row>
    <row r="10" ht="30.0" customHeight="1">
      <c r="A10" s="4" t="s">
        <v>152</v>
      </c>
      <c r="B10" s="4" t="s">
        <v>151</v>
      </c>
      <c r="D10" s="10" t="s">
        <v>153</v>
      </c>
      <c r="E10" s="10">
        <v>15.0</v>
      </c>
    </row>
    <row r="11" ht="30.0" customHeight="1">
      <c r="A11" s="16" t="s">
        <v>68</v>
      </c>
      <c r="B11" s="16">
        <v>4.0</v>
      </c>
      <c r="D11" s="10" t="s">
        <v>154</v>
      </c>
      <c r="E11" s="10">
        <v>8.0</v>
      </c>
    </row>
    <row r="12" ht="30.0" customHeight="1">
      <c r="A12" s="16" t="s">
        <v>123</v>
      </c>
      <c r="B12" s="16">
        <v>5.0</v>
      </c>
    </row>
    <row r="13" ht="30.0" customHeight="1">
      <c r="A13" s="16" t="s">
        <v>127</v>
      </c>
      <c r="B13" s="16">
        <v>4.0</v>
      </c>
    </row>
    <row r="14" ht="30.0" customHeight="1">
      <c r="A14" s="16" t="s">
        <v>133</v>
      </c>
      <c r="B14" s="16">
        <v>5.0</v>
      </c>
    </row>
    <row r="15" ht="30.0" customHeight="1">
      <c r="A15" s="16" t="s">
        <v>136</v>
      </c>
      <c r="B15" s="16">
        <v>4.0</v>
      </c>
    </row>
    <row r="16" ht="30.0" customHeight="1">
      <c r="A16" s="16" t="s">
        <v>140</v>
      </c>
      <c r="B16" s="16">
        <v>6.0</v>
      </c>
    </row>
    <row r="17" ht="30.0" customHeight="1">
      <c r="A17" s="16" t="s">
        <v>143</v>
      </c>
      <c r="B17" s="16">
        <v>4.0</v>
      </c>
    </row>
    <row r="18" ht="22.5" customHeight="1">
      <c r="A18" s="16" t="s">
        <v>146</v>
      </c>
      <c r="B18" s="16">
        <v>4.0</v>
      </c>
    </row>
    <row r="19" ht="22.5" customHeight="1">
      <c r="A19" s="16" t="s">
        <v>149</v>
      </c>
      <c r="B19" s="16">
        <v>4.0</v>
      </c>
    </row>
  </sheetData>
  <mergeCells count="1">
    <mergeCell ref="A1:H1"/>
  </mergeCells>
  <conditionalFormatting sqref="A5:A7">
    <cfRule type="cellIs" dxfId="5" priority="1" stopIfTrue="1" operator="equal">
      <formula>"HIGHEST"</formula>
    </cfRule>
  </conditionalFormatting>
  <conditionalFormatting sqref="A5:A7">
    <cfRule type="cellIs" dxfId="6" priority="2" stopIfTrue="1" operator="equal">
      <formula>"HIGH"</formula>
    </cfRule>
  </conditionalFormatting>
  <conditionalFormatting sqref="A5:A7">
    <cfRule type="cellIs" dxfId="7" priority="3" stopIfTrue="1" operator="equal">
      <formula>"MEDIUM"</formula>
    </cfRule>
  </conditionalFormatting>
  <conditionalFormatting sqref="A5:A7">
    <cfRule type="cellIs" dxfId="8" priority="4" stopIfTrue="1" operator="equal">
      <formula>"LOW"</formula>
    </cfRule>
  </conditionalFormatting>
  <drawing r:id="rId1"/>
  <tableParts count="3">
    <tablePart r:id="rId5"/>
    <tablePart r:id="rId6"/>
    <tablePart r:id="rId7"/>
  </tableParts>
</worksheet>
</file>