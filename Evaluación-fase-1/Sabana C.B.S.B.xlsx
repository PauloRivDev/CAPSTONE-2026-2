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2B410138-D97A-4670-A426-F08F382E9E7F}" xr6:coauthVersionLast="47" xr6:coauthVersionMax="47" xr10:uidLastSave="{00000000-0000-0000-0000-000000000000}"/>
  <bookViews>
    <workbookView xWindow="0" yWindow="0" windowWidth="0" windowHeight="0" firstSheet="1" activeTab="1" xr2:uid="{00000000-000D-0000-FFFF-FFFF00000000}"/>
  </bookViews>
  <sheets>
    <sheet name="MAESTRO_FLOTA" sheetId="14" r:id="rId1"/>
    <sheet name="BITACORA 2025" sheetId="5" r:id="rId2"/>
    <sheet name="CONTROL 2025" sheetId="9" r:id="rId3"/>
    <sheet name="PREVENTIVOS_DB" sheetId="15" r:id="rId4"/>
    <sheet name="DASH_COSTOS" sheetId="16" r:id="rId5"/>
    <sheet name="CAMBIO BATERIAS" sheetId="7" r:id="rId6"/>
    <sheet name="RT" sheetId="1" r:id="rId7"/>
    <sheet name="SN Allison " sheetId="11" r:id="rId8"/>
    <sheet name="PREVENTIVO 2021" sheetId="3" state="hidden" r:id="rId9"/>
    <sheet name="PREVENTIVO 2022" sheetId="4" state="hidden" r:id="rId10"/>
    <sheet name="MANTTO BOMBA AMERICANAS" sheetId="8" r:id="rId11"/>
    <sheet name="NEUMÁTICOS" sheetId="13" r:id="rId12"/>
    <sheet name="PREVENTIVOS 2025" sheetId="2" r:id="rId13"/>
  </sheets>
  <definedNames>
    <definedName name="_xlnm._FilterDatabase" localSheetId="1" hidden="1">'BITACORA 2025'!$A$1:$H$13</definedName>
    <definedName name="_xlnm._FilterDatabase" localSheetId="12" hidden="1">'PREVENTIVOS 2025'!$A$1:$O$31</definedName>
    <definedName name="_xlnm._FilterDatabase" localSheetId="6" hidden="1">RT!$A$8:$I$41</definedName>
    <definedName name="_xlnm._FilterDatabase" localSheetId="7" hidden="1">'SN Allison '!$A$1:$I$11</definedName>
    <definedName name="_xlnm._FilterDatabase" localSheetId="2" hidden="1">'CONTROL 2025'!$A$1:$A$211</definedName>
    <definedName name="SegmentaciónDeDatos_AÑO">#N/A</definedName>
  </definedNames>
  <calcPr calcId="191028"/>
  <pivotCaches>
    <pivotCache cacheId="19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aP+dfco2h/XKVxtHPyH37fvISdJnBT1+ulI9WoG7X5g="/>
    </ext>
  </extLst>
</workbook>
</file>

<file path=xl/calcChain.xml><?xml version="1.0" encoding="utf-8"?>
<calcChain xmlns="http://schemas.openxmlformats.org/spreadsheetml/2006/main">
  <c r="H2" i="15" l="1"/>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G266" i="9"/>
  <c r="G265" i="9"/>
  <c r="E2" i="14"/>
  <c r="H2" i="14" a="1"/>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I2"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J2" i="14"/>
  <c r="D3" i="14"/>
  <c r="G3" i="14" a="1"/>
  <c r="D4" i="14"/>
  <c r="G4" i="14" a="1"/>
  <c r="D5" i="14"/>
  <c r="G5" i="14" a="1"/>
  <c r="D6" i="14"/>
  <c r="G6" i="14" a="1"/>
  <c r="D7" i="14"/>
  <c r="G7" i="14" a="1"/>
  <c r="D8" i="14"/>
  <c r="G8" i="14" a="1"/>
  <c r="D9" i="14"/>
  <c r="G9" i="14" a="1"/>
  <c r="D10" i="14"/>
  <c r="G10" i="14" a="1"/>
  <c r="D11" i="14"/>
  <c r="G11" i="14" a="1"/>
  <c r="D12" i="14"/>
  <c r="G12" i="14" a="1"/>
  <c r="D13" i="14"/>
  <c r="G13" i="14" a="1"/>
  <c r="D14" i="14"/>
  <c r="G14" i="14" a="1"/>
  <c r="D15" i="14"/>
  <c r="G15" i="14" a="1"/>
  <c r="D16" i="14"/>
  <c r="G16" i="14" a="1"/>
  <c r="D17" i="14"/>
  <c r="G17" i="14" a="1"/>
  <c r="D18" i="14"/>
  <c r="G18" i="14" a="1"/>
  <c r="D19" i="14"/>
  <c r="G19" i="14" a="1"/>
  <c r="D20" i="14"/>
  <c r="G20" i="14" a="1"/>
  <c r="D21" i="14"/>
  <c r="G21" i="14" a="1"/>
  <c r="D22" i="14"/>
  <c r="G22" i="14" a="1"/>
  <c r="D23" i="14"/>
  <c r="G23" i="14" a="1"/>
  <c r="D24" i="14"/>
  <c r="G24" i="14" a="1"/>
  <c r="D25" i="14"/>
  <c r="G25" i="14" a="1"/>
  <c r="D26" i="14"/>
  <c r="G26" i="14" a="1"/>
  <c r="D27" i="14"/>
  <c r="G27" i="14" a="1"/>
  <c r="D28" i="14"/>
  <c r="G28" i="14" a="1"/>
  <c r="D29" i="14"/>
  <c r="G29" i="14" a="1"/>
  <c r="D30" i="14"/>
  <c r="G30" i="14" a="1"/>
  <c r="D31" i="14"/>
  <c r="G31" i="14" a="1"/>
  <c r="D32" i="14"/>
  <c r="G32" i="14" a="1"/>
  <c r="D33" i="14"/>
  <c r="G33" i="14" a="1"/>
  <c r="D2" i="14"/>
  <c r="F2" i="14"/>
  <c r="R9" i="2"/>
  <c r="R5" i="2"/>
  <c r="R7" i="2"/>
  <c r="R2" i="2"/>
  <c r="R18" i="2"/>
  <c r="N3" i="11"/>
  <c r="N4" i="11"/>
  <c r="N5" i="11"/>
  <c r="N6" i="11"/>
  <c r="N7" i="11"/>
  <c r="N8" i="11"/>
  <c r="N9" i="11"/>
  <c r="N10" i="11"/>
  <c r="N11" i="11"/>
  <c r="N2" i="11"/>
  <c r="R20" i="2"/>
  <c r="R3" i="2"/>
  <c r="R21" i="2"/>
  <c r="R10" i="2"/>
  <c r="R11" i="2"/>
  <c r="R12" i="2"/>
  <c r="R13" i="2"/>
  <c r="R14" i="2"/>
  <c r="R8" i="2"/>
  <c r="G2" i="14" a="1"/>
  <c r="F33" i="14"/>
  <c r="F32"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F5" i="14"/>
  <c r="F4" i="14"/>
  <c r="F3"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5" i="14"/>
  <c r="G4" i="14"/>
  <c r="G3" i="14"/>
  <c r="H2" i="14"/>
  <c r="G2"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<sst xmlns="http://schemas.openxmlformats.org/spreadsheetml/2006/main" count="5487" uniqueCount="1400">
  <si>
    <t>COMPAÑÍA</t>
  </si>
  <si>
    <t>UNIDAD</t>
  </si>
  <si>
    <t>TIPO</t>
  </si>
  <si>
    <t>ESTADO</t>
  </si>
  <si>
    <t>FECHA SALIDA SERVICIO</t>
  </si>
  <si>
    <t>DIAS FUERA</t>
  </si>
  <si>
    <t>MOTIVO</t>
  </si>
  <si>
    <t>CONTROL PREVENTIVO</t>
  </si>
  <si>
    <t>ULT_PREV</t>
  </si>
  <si>
    <t>COSTO 2025</t>
  </si>
  <si>
    <t>PRIMERA</t>
  </si>
  <si>
    <t>B-1</t>
  </si>
  <si>
    <t>BOMBA</t>
  </si>
  <si>
    <t>BX-1</t>
  </si>
  <si>
    <t>HORAS</t>
  </si>
  <si>
    <t>M-1</t>
  </si>
  <si>
    <t>MECANICA</t>
  </si>
  <si>
    <t>SEGUNDA</t>
  </si>
  <si>
    <t>Q-2</t>
  </si>
  <si>
    <t>PORTA ESCALA</t>
  </si>
  <si>
    <t>RX-2</t>
  </si>
  <si>
    <t>RESCATE</t>
  </si>
  <si>
    <t>TERCERA</t>
  </si>
  <si>
    <t>B-3</t>
  </si>
  <si>
    <t>RH-3</t>
  </si>
  <si>
    <t>CUARTA</t>
  </si>
  <si>
    <t>B-4</t>
  </si>
  <si>
    <t>RX-4</t>
  </si>
  <si>
    <t>MX-4</t>
  </si>
  <si>
    <t>J-4</t>
  </si>
  <si>
    <t>TRANSPORTE</t>
  </si>
  <si>
    <t>KM</t>
  </si>
  <si>
    <t>QUINTA</t>
  </si>
  <si>
    <t>B-5</t>
  </si>
  <si>
    <t>BF-5</t>
  </si>
  <si>
    <t>UTV-5</t>
  </si>
  <si>
    <t>FORESTAL</t>
  </si>
  <si>
    <t>SEXTA</t>
  </si>
  <si>
    <t>B-6</t>
  </si>
  <si>
    <t>RB-6</t>
  </si>
  <si>
    <t>Z-6</t>
  </si>
  <si>
    <t>ALJIBE</t>
  </si>
  <si>
    <t>SEPTIMA</t>
  </si>
  <si>
    <t>B-7</t>
  </si>
  <si>
    <t>BX-7</t>
  </si>
  <si>
    <t>UT-7</t>
  </si>
  <si>
    <t>OCTAVA</t>
  </si>
  <si>
    <t>B-8</t>
  </si>
  <si>
    <t>DECIMA</t>
  </si>
  <si>
    <t>B-10</t>
  </si>
  <si>
    <t>K-10</t>
  </si>
  <si>
    <t>COMANDANCIA</t>
  </si>
  <si>
    <t>K-1</t>
  </si>
  <si>
    <t>K-2</t>
  </si>
  <si>
    <t>J-0</t>
  </si>
  <si>
    <t>H-0</t>
  </si>
  <si>
    <t>UNIDAD AIRE</t>
  </si>
  <si>
    <t>S-1</t>
  </si>
  <si>
    <t>AMBULANCIA</t>
  </si>
  <si>
    <t>X-1</t>
  </si>
  <si>
    <t>COMUNICACIONES</t>
  </si>
  <si>
    <t>BT-0</t>
  </si>
  <si>
    <t>BR-1</t>
  </si>
  <si>
    <t>BOMBA REEMPLAZO</t>
  </si>
  <si>
    <t>TIEMPO</t>
  </si>
  <si>
    <t>BR-2</t>
  </si>
  <si>
    <t>FECHA</t>
  </si>
  <si>
    <t>TIPO EVENTO</t>
  </si>
  <si>
    <t>ESTADO RESULTANTE</t>
  </si>
  <si>
    <t>Servicio Realizado</t>
  </si>
  <si>
    <t>TALLER</t>
  </si>
  <si>
    <t>estatus</t>
  </si>
  <si>
    <t xml:space="preserve">CONCEPTO </t>
  </si>
  <si>
    <t xml:space="preserve">Servicio mantenimientto preventivo y scanner unidad </t>
  </si>
  <si>
    <t>Oñate</t>
  </si>
  <si>
    <t>Reparado</t>
  </si>
  <si>
    <t>Mantenimiento Preventivo</t>
  </si>
  <si>
    <t>Servicio de instalacion Parlante sirena</t>
  </si>
  <si>
    <t>Vieletric</t>
  </si>
  <si>
    <t>Reparacion</t>
  </si>
  <si>
    <t xml:space="preserve">asistencia a sucursal para cambio de neumaticos delanteros </t>
  </si>
  <si>
    <t>SDN</t>
  </si>
  <si>
    <t>Cambio de neumaticos</t>
  </si>
  <si>
    <t>Mantenimiento preventivo y reparacion modulo freno motor</t>
  </si>
  <si>
    <t>Cummis</t>
  </si>
  <si>
    <t>Mantenimiento preventivo, engrase, diagnostico caja y motor</t>
  </si>
  <si>
    <t xml:space="preserve">Mantenimiento preventivo motor, reparacion fuga de combustible, cambio empaquetadura tapa valvula, tapa de llenado de aceite e instalacion de luces perimetrales </t>
  </si>
  <si>
    <t xml:space="preserve">Heavy  Service </t>
  </si>
  <si>
    <t xml:space="preserve">en reparacion </t>
  </si>
  <si>
    <t xml:space="preserve">diagnostico electrico por falla en cremallera </t>
  </si>
  <si>
    <t>diagnistico</t>
  </si>
  <si>
    <t>diagnostico electrico por falla en apagado de baliza, conversor malo</t>
  </si>
  <si>
    <t>607-2025</t>
  </si>
  <si>
    <t xml:space="preserve">diagnostico electrico por falla en sirena feniex y parlante hammer </t>
  </si>
  <si>
    <t>diagnostico electrico por problema electrico y focos traseros</t>
  </si>
  <si>
    <t xml:space="preserve">Asistencia de unidad a Olitek para revision de pernos bajada de estanque </t>
  </si>
  <si>
    <t>Olitek</t>
  </si>
  <si>
    <t>Asistencia de unidad para cotizacion de reparacion cortinas y electricos</t>
  </si>
  <si>
    <t xml:space="preserve">Cotización </t>
  </si>
  <si>
    <t>H-3</t>
  </si>
  <si>
    <t xml:space="preserve">ingreso de unidad para mantenimiento preventivo </t>
  </si>
  <si>
    <t>listo</t>
  </si>
  <si>
    <t xml:space="preserve">se deja fuera de servicio por falla visible en frenno 2puente lado derecho </t>
  </si>
  <si>
    <t xml:space="preserve">cuartel </t>
  </si>
  <si>
    <t xml:space="preserve">Reparacion de interruptor de encendido de luces en cuartel </t>
  </si>
  <si>
    <t>1°</t>
  </si>
  <si>
    <t>Visita para levantamiento estado uniddes primera</t>
  </si>
  <si>
    <t>Mecanico</t>
  </si>
  <si>
    <t>Levantamiento tec</t>
  </si>
  <si>
    <t>informe estado unidades primera</t>
  </si>
  <si>
    <t xml:space="preserve">Cambio de foco trasero derecho </t>
  </si>
  <si>
    <t>2°</t>
  </si>
  <si>
    <t>Visita para levantamiento estado uniddes segunda</t>
  </si>
  <si>
    <t xml:space="preserve">Cambio de foco mayor derecho </t>
  </si>
  <si>
    <t>Cambio de espejos retrovisores izq y der</t>
  </si>
  <si>
    <t>Reparacion mica trasera B-1</t>
  </si>
  <si>
    <t>5°</t>
  </si>
  <si>
    <t>Visita para levantamiento estado uniddes Quinta</t>
  </si>
  <si>
    <t>7°</t>
  </si>
  <si>
    <t>Visita para levantamiento estado uniddes Septima</t>
  </si>
  <si>
    <t xml:space="preserve">Reparacion bisagra puerta trasera derecha </t>
  </si>
  <si>
    <t>instalación de luces de emergencia laterales</t>
  </si>
  <si>
    <t xml:space="preserve">Instalación </t>
  </si>
  <si>
    <t>Revision de B-8 por problema en acelerador de CB</t>
  </si>
  <si>
    <t>Choque unidad en colon y urmeneta</t>
  </si>
  <si>
    <t>informe estado post choque</t>
  </si>
  <si>
    <t xml:space="preserve">instalacion switch acelerador cuerpo de bomba </t>
  </si>
  <si>
    <t>ingreso de unidad para chequeo de torque en sus 4 puntas  luego de choque</t>
  </si>
  <si>
    <t>Reparacion de fuga de combustible por roptura de cañeria</t>
  </si>
  <si>
    <t xml:space="preserve">Reparación de sirena por problema en conexion </t>
  </si>
  <si>
    <t>Com</t>
  </si>
  <si>
    <t>Movimiento de buses que se encuentran en regimiento cerro chena</t>
  </si>
  <si>
    <t>gestion</t>
  </si>
  <si>
    <t xml:space="preserve">Cambio de piola alecerador cuerpo de bomba </t>
  </si>
  <si>
    <t>mantenimiento motor</t>
  </si>
  <si>
    <t>Retiro del resto de tambores traseros unidad</t>
  </si>
  <si>
    <t xml:space="preserve">en proceso </t>
  </si>
  <si>
    <t xml:space="preserve">Asistencia de unidad a diagnostico por falla en sirena, cambio de parlante </t>
  </si>
  <si>
    <t>rectificacion 3 tambores restantes eje trasero</t>
  </si>
  <si>
    <t xml:space="preserve">revisipon de unidad por anomalia en pedal de embrague </t>
  </si>
  <si>
    <t xml:space="preserve">diagnostico </t>
  </si>
  <si>
    <t>Problema de conexión cuerpo bomba por mal procedimiento de enganche, se mueve unidad a HS, en donde se encuentra valvula bomba de alta con problema</t>
  </si>
  <si>
    <t>HS</t>
  </si>
  <si>
    <t xml:space="preserve">reparación de tapa masa rueda delantera derecha, se instala una nueva y se rellena con aceite </t>
  </si>
  <si>
    <t>entrega de unidad H-3 a cuarta compañia mientras B4 esta en taller</t>
  </si>
  <si>
    <t>Se saca de unidad seguros que filtran hidraulico para el basculamientode cabina</t>
  </si>
  <si>
    <t>Ernesto lleva piezas extraidas de mx4 para su reparación</t>
  </si>
  <si>
    <t xml:space="preserve">Fuera de servicio rx4 por fallata en pulmon de freno delantero </t>
  </si>
  <si>
    <t xml:space="preserve">unidad presenta fuga en flexible de boquilla de llenao a estanque de combustible </t>
  </si>
  <si>
    <t>reparacion fuga de combustible por medio de abrazaderas</t>
  </si>
  <si>
    <t>unidad sin energia para dar arrancque, la tercera dentro de una semana</t>
  </si>
  <si>
    <t xml:space="preserve">Mantenimiento motor, cambio de filto de aciete, combustible y de aire. </t>
  </si>
  <si>
    <t>OTRO</t>
  </si>
  <si>
    <t>OPERATIVA</t>
  </si>
  <si>
    <t xml:space="preserve">Unidad ingresa a cuarta compañia, por lo que su servicio debe realizarse en las proximas fechas futuras </t>
  </si>
  <si>
    <t>mm</t>
  </si>
  <si>
    <t>incorporación al servicio</t>
  </si>
  <si>
    <t>Perdida de aciete motor por filtro de aceite, el que fue instalado el día 29 de abril, dejando unidad fuera de servicio</t>
  </si>
  <si>
    <t>Primera</t>
  </si>
  <si>
    <t>se compra filtro de aceite nuevo original en salfa para subsanar problema, el que es instalado por 101, unidad nuevamente 0-9 y sin problemas</t>
  </si>
  <si>
    <t>FALLA</t>
  </si>
  <si>
    <t xml:space="preserve">Fabricacion de sello para ambos seguros hidraulicos de cabina, fabricacion con taller externo </t>
  </si>
  <si>
    <t>fabricacion</t>
  </si>
  <si>
    <t>en proceso</t>
  </si>
  <si>
    <t>reparacion pulmon de freno trasero, cambio de componente por original haldex</t>
  </si>
  <si>
    <t xml:space="preserve">reparacion luces trasera en cuartel, focos comprados con caja chica </t>
  </si>
  <si>
    <t xml:space="preserve">reparacion de valvula 4 vías de freno </t>
  </si>
  <si>
    <t>Cambio de embrague, disco prensa y rectificado de volante</t>
  </si>
  <si>
    <t>Alejandro Vidal</t>
  </si>
  <si>
    <t>Cambio de sirena whelen y programada</t>
  </si>
  <si>
    <t>Ferexpo</t>
  </si>
  <si>
    <t>recepcion de unidad en taller ferexpo, a fin de detectar el problema de mantener y alternador</t>
  </si>
  <si>
    <t>retiro de unidad b8 desde taller</t>
  </si>
  <si>
    <t xml:space="preserve">revision estado de H-3, mantenimiento de piola acelerador </t>
  </si>
  <si>
    <t>Mantenimiento de motor, cambio de lubricante motor y filtros</t>
  </si>
  <si>
    <t>Desconexion de valvula paso refirgerante de calefaccion</t>
  </si>
  <si>
    <t>se hace puente para dar arranque</t>
  </si>
  <si>
    <t>intalacion de tope suspension delantera</t>
  </si>
  <si>
    <t>CG</t>
  </si>
  <si>
    <t xml:space="preserve">visita a campus anb para revision de piezas en cementerio de carros </t>
  </si>
  <si>
    <t>Visita</t>
  </si>
  <si>
    <t>se desintala compresor secundario de unidad para revision y posterior reparacion.</t>
  </si>
  <si>
    <t>revision estado de frenos, delantero con eventual desgaste pero aun en buen estado, al igual que eje trasero</t>
  </si>
  <si>
    <t>Revision Freno</t>
  </si>
  <si>
    <t xml:space="preserve">entrega de unidad H-3 a taller por reparación de estanque </t>
  </si>
  <si>
    <t>externo</t>
  </si>
  <si>
    <t>verificacion de relojes cuerpo de bomba, hay que modificar panel de B-1</t>
  </si>
  <si>
    <t>revision sensor conexion cuerpo de bomba, conexion luces de reversa</t>
  </si>
  <si>
    <t xml:space="preserve">reparación chicote electrico mantenedor </t>
  </si>
  <si>
    <t>recepcion de unidad H-3 luego de reparación de estanque en fibra optica</t>
  </si>
  <si>
    <t>visita de Alejandro Vidal para desconexcion de cilindro en mal estado, esto para poder ser movido y remolcado en grua a taller</t>
  </si>
  <si>
    <t xml:space="preserve">Visita de unidad B-3 para servico scanner en kaufmann quilicura </t>
  </si>
  <si>
    <t>reparacion de fuga de aire unidad Q-2</t>
  </si>
  <si>
    <t xml:space="preserve">ingreso a taller de unidad B-7 a taller de alejandro Vidal </t>
  </si>
  <si>
    <t>servicio grua</t>
  </si>
  <si>
    <t xml:space="preserve">revision de B-8 por presencia de humo blanco en escape, don Ernesto indica que funcionamiento esta correcto </t>
  </si>
  <si>
    <t xml:space="preserve">Reparacipon sistema de escape por ruptura de corrugado </t>
  </si>
  <si>
    <t xml:space="preserve">reparacion de fuga de aire </t>
  </si>
  <si>
    <t>Visita a cuartel para revisar llave de retorno para gestiionar la compra</t>
  </si>
  <si>
    <t>instalacion de nueva piola acelerador y cambio de llave retorno de cuerpo de bomba</t>
  </si>
  <si>
    <t xml:space="preserve">puesta en servicio de unidad BX7 por posible problema de BR-1, bajo la responsabilidad de septima compañia </t>
  </si>
  <si>
    <t>Septima</t>
  </si>
  <si>
    <t>Ernesto realiza informe por factibilidad tecnica de taller sintegracom</t>
  </si>
  <si>
    <t>se realiza cambio de parabrisas de unidad B-5</t>
  </si>
  <si>
    <t>Parabrisas KAR</t>
  </si>
  <si>
    <t>choque de unidad, queda roto foco trasero derecho</t>
  </si>
  <si>
    <t>siniestro</t>
  </si>
  <si>
    <t xml:space="preserve">Relleno de aceite de motor, aprox 2 a 3 litros. </t>
  </si>
  <si>
    <t>relleno de aceite</t>
  </si>
  <si>
    <t>retiro de valvulas reguladora y gobernador, entregados al día en taller para respectiva analisis y reparación</t>
  </si>
  <si>
    <t xml:space="preserve">intalacion de piola acelerador de BR-1 y boton de parador. </t>
  </si>
  <si>
    <t>reparado</t>
  </si>
  <si>
    <t xml:space="preserve">visita a campus anb para retiro de guardafangos, escalera no se pudo retirar por su mal estado </t>
  </si>
  <si>
    <t xml:space="preserve">cambio de bornes positivo y negatvo por colpaso de sulfato </t>
  </si>
  <si>
    <t>Retiro de compresor de aire de unidad BR-1 en cuartel septima compañia por don Ernesto, este aun se debe enviar a reparar</t>
  </si>
  <si>
    <t>recepcion por kaufmann unidad S-1 por testigo en panel de instrumentos, frenos y refirgerante</t>
  </si>
  <si>
    <t>trabajos de instalacion de baliza y sirena a unidad ex H-3</t>
  </si>
  <si>
    <t>Retiro de carro desde taller kaufmann quilicura, no se lleva a cabo por rompimiento de cañeria de refirgeracion, se debe imporar</t>
  </si>
  <si>
    <t>se deja fuera de servicio unidad Q-2 por fuga de lubricante de caja de cambios, fuga de refrigerante de motor y por diferencial, rodolfo visita unidad y nos informa esto</t>
  </si>
  <si>
    <t>visita de personal tercera unidad B-3 en kaufmann quilicura por retrasos en reparación</t>
  </si>
  <si>
    <t>Unidad B-1 ingresa a taller por reparación en sistema de inyeccion de combustible</t>
  </si>
  <si>
    <t>Visita a taller en donde se esta realizando reparación de B-7</t>
  </si>
  <si>
    <t>com</t>
  </si>
  <si>
    <t xml:space="preserve">Reunion INACAP y cbsb para revisar acuerdo </t>
  </si>
  <si>
    <t xml:space="preserve">Ingreso de Q-2 a taller de Rodolfo Oñate para servicio de cambio de bomba de agua, refrigerante, fuga fluido transmision </t>
  </si>
  <si>
    <t>Rodolfo Oñate</t>
  </si>
  <si>
    <t>unidad queda sin baterias, se realiza cambio, se saca una bateria de B10 para instalar en BR-10</t>
  </si>
  <si>
    <t>Decima</t>
  </si>
  <si>
    <t>Relleno de refrigerante luego que se encendiera testigo de relleno</t>
  </si>
  <si>
    <t>Segunda</t>
  </si>
  <si>
    <t>INGRESO_TALLER</t>
  </si>
  <si>
    <t>unidad es dirigido a taller de impomak para servicio de cambio de filtros de bauer.</t>
  </si>
  <si>
    <t>Impomak</t>
  </si>
  <si>
    <t>compra de empaquetadura de PTO por exso de fuga</t>
  </si>
  <si>
    <t>17 cblg</t>
  </si>
  <si>
    <t xml:space="preserve">Retiro de unidad desde taller kaufmann, servicio de reparacion de frenos, cambio de embrague y volante. </t>
  </si>
  <si>
    <t>Kaufmann</t>
  </si>
  <si>
    <t>ingreso de B6 a taller de andes motor para evaluacion de sistema de frenos y cotizacion por mantenimiento de motor</t>
  </si>
  <si>
    <t>Instalacion de una bateria nueva y una usada recargada a unidad B-10, la que se les habia sacado unidades para mantener servicio de BR-10 EX H-3</t>
  </si>
  <si>
    <t>Unidad se deja fuera de servicio por alerta en display, por alerta en comportamiento de freno</t>
  </si>
  <si>
    <t>unidad pasa por vulca para revision de neumaticos trasero que se encontraba con baja presion</t>
  </si>
  <si>
    <t>vulca</t>
  </si>
  <si>
    <t>pago de kit de mantenimiento de transmision de Q-2 y RX-4</t>
  </si>
  <si>
    <t>se realiza mantenimiento a transmision de unidad, quedando operativa, 99% de llenado de aceite, aporiebte de filtros y tapa de filtro con torque de fabrica, receteo y o funcionamiento</t>
  </si>
  <si>
    <t xml:space="preserve">Reparado </t>
  </si>
  <si>
    <t>Reparación</t>
  </si>
  <si>
    <t xml:space="preserve">Cambio de neumaticos delanteros por desgaste prematuro en sus hombres, se incluye balanceo y alineación </t>
  </si>
  <si>
    <t>20/08/20225</t>
  </si>
  <si>
    <t>Cambio de pastillas de freno delanteras y traseras. DENTRO DE UN AÑO DEBEN CAMBIARSE</t>
  </si>
  <si>
    <t xml:space="preserve">B-3 </t>
  </si>
  <si>
    <t xml:space="preserve">Retiro de unidad desde kaufmann santiago norte </t>
  </si>
  <si>
    <t>kaufmann</t>
  </si>
  <si>
    <t xml:space="preserve">Revision de unidad en taller de don Rodolfo por check encendido, solo hay un problema con el sensor CKP, se cotiza y se monitoria si error vuelve a repetirse </t>
  </si>
  <si>
    <t>unidad sin arrancar, se deja fuera de servicio, se presume problema en mantenedor, se envia a electrico a revisar problema y detecta que era error 300 (Andres Losano)</t>
  </si>
  <si>
    <t xml:space="preserve">se realiza apriete de perno de cuerpo de valvula allison evs3000 y relleno de 700ml aprox, quedando a nivel </t>
  </si>
  <si>
    <t>se visita 3ra compañia para revision de estado de baterias, luego de que no tenga arranque desde el viernes am, de procede con cotizacion de baterias</t>
  </si>
  <si>
    <t>unidad presenta fuga de refirgerante desde cabina sanitaria en hospital hoscar, se devuelve cbsb en GRUA</t>
  </si>
  <si>
    <t>grua</t>
  </si>
  <si>
    <t xml:space="preserve">gestion </t>
  </si>
  <si>
    <t xml:space="preserve">se realiza cambio de pastillas a unidad RX-2 y entrega a segunda, a su vez se pide rodage para que pastillas asienten </t>
  </si>
  <si>
    <t>Avances en reparación de BR-1</t>
  </si>
  <si>
    <t>Reparacion de S-1, se cambia motor que regula paso de refrigerante y se instala llave de paso.</t>
  </si>
  <si>
    <t xml:space="preserve">instalacion de baterias a unidad para su arranque en taller de alejandro vidal </t>
  </si>
  <si>
    <t xml:space="preserve">Alejandro Vidal </t>
  </si>
  <si>
    <t>REVISIÓN</t>
  </si>
  <si>
    <t>instalacion de bateria a unidad X-1 de 88 ampr</t>
  </si>
  <si>
    <t>fourca</t>
  </si>
  <si>
    <t>instalacion de baterias y revision de check a unidad B-3, la que se encendio eventualmente por el mal estado de baterias, unidad lista para el servicio</t>
  </si>
  <si>
    <t>prueba de ruta de B7 hasta francisco de mostazal, funcionando en optimas condiciones, se cotiza reparacion de serpentin, valvulas de cabina, lavado y filtro.</t>
  </si>
  <si>
    <t>prueba de ruta</t>
  </si>
  <si>
    <t>diagnostico</t>
  </si>
  <si>
    <t>reparacion de problema de aire en cuartel, don rodolfo visita unidad 01 de septiembre para identificar el problema y hoy 02 lo reparo con valvula nueva</t>
  </si>
  <si>
    <t>ingreso a taller de unidad para reparacion de terminales de dirección, Revision de frenos y ajuste de trinquetes de freno</t>
  </si>
  <si>
    <t>don Hector pasa rapidamente a taller de Fourca para reparacion de conexiones de baliza y sirena</t>
  </si>
  <si>
    <t>Don Rodolfo recepciona unidad para revision de nuevo encendido de check engine, el que se trataria de sensor CKP, se cotiza el cambio de sensor y retira unidad el mismo día</t>
  </si>
  <si>
    <t>Don Rodolfo recepciona unidad B-6 para el servicio de cambio de discos, pastillas y sensores de desgaste, luego que en sexta cía, unidad no diera arranque y hacen puente para encender</t>
  </si>
  <si>
    <t xml:space="preserve">en curso </t>
  </si>
  <si>
    <t>reparación</t>
  </si>
  <si>
    <t>asistencia en terreno por bloqueo de unidad en desfile conmemorastivo de fiestas patrias, cambia valvula 4 vías por una usada en buen esdtado, queda en c10 en 0-8 6-11</t>
  </si>
  <si>
    <t>asistencia en terreno</t>
  </si>
  <si>
    <t>Reparacion y entrega de unidad luego de reparación de sistema de frenos</t>
  </si>
  <si>
    <t>retiro de inyectores desde proveedor y entregados a taller</t>
  </si>
  <si>
    <t>retiro de repuestos kit filtros cummins, golillas de inyector y sensor ckp</t>
  </si>
  <si>
    <t xml:space="preserve">Entrega de unidad a taller de don Rodolfo para mantenimieto preventico  SERVICIO NO REALIZADO </t>
  </si>
  <si>
    <t xml:space="preserve">servicio </t>
  </si>
  <si>
    <t>Mantenimiento preventivo</t>
  </si>
  <si>
    <t xml:space="preserve">K-2 </t>
  </si>
  <si>
    <t>se presenta unidad a revison tecnica, sienfo aprobada pero cuestionada la instalacion de balizas y polarizados</t>
  </si>
  <si>
    <t>Ingreso de unidad RX-4 para servicio preventivo, esta queda en taller, ya que queda corto de aceite de caja, día lunes se retoma con aceite que llegara para B-4</t>
  </si>
  <si>
    <t>servicio</t>
  </si>
  <si>
    <t xml:space="preserve">Prueba de ruta de unidad B-1, se comporta muy bien, buena respuesta </t>
  </si>
  <si>
    <t>Prueba de ruta</t>
  </si>
  <si>
    <t>Entrega de B-1, cambio de inyectores, reparacion fuga desde compresor y bomba hidraulica, se hace regulacion de valvulas y engrase de muñon palanca de cambio</t>
  </si>
  <si>
    <t>reparacion</t>
  </si>
  <si>
    <t>MANT_PREVENTIVO</t>
  </si>
  <si>
    <t>entrega de unidad Rx-4 luego de mantenimiento de transmision y motor, escaner de motor y caja, engrase de puntos de lubricación</t>
  </si>
  <si>
    <t xml:space="preserve">ingreso de unidad B-3 para instalacion de sensor de posicion, pero se debe cambiar el otro, por lo que se cotiza y retira </t>
  </si>
  <si>
    <t>instalacion de kit de reparacion de valvula de entradas trasera 3", comprada por material mayor y mano de obra por personal 4ta.</t>
  </si>
  <si>
    <t>4ta</t>
  </si>
  <si>
    <t xml:space="preserve">ingreso de Q-2 para mantenimiento de motor y revison de cruzeta de cardan </t>
  </si>
  <si>
    <t>Retiro por parte de cuartelero de comandancia amortiguadores de BF5 y sensor para B-3</t>
  </si>
  <si>
    <t>ingreso de unidad nuevamente para instalacion de sensor comprado con caja chica, se instala y al encender unidad codigo de error de borra si necesidad de inside, ok para retiro</t>
  </si>
  <si>
    <t>Asisten a cuartel quinta para reparacion de cañeria de aire, la que se desconecto, provocando que unidad perdiera aire en pleno ingreso a sala de maquinas</t>
  </si>
  <si>
    <t>Asistencia a cuartel 10ma por revision de BR10, el que presenta problema de temperatura de motor</t>
  </si>
  <si>
    <t>Rodolfo</t>
  </si>
  <si>
    <t>ingreso a taller de B-10 a taller para cambio de valvula de aire, adicional se revisa niveles de fluidos complejos, revision de neuma y cambio de baterias</t>
  </si>
  <si>
    <t>Cambio de Amortiguadores delanteros, estos comprados en Zentrum</t>
  </si>
  <si>
    <t xml:space="preserve">se retira BR-1 desde taller, se aplazo entrega por manguera de ciruclacion de refrigerante obstruida, no se deja con refrigerante, sino agua destilada, ya que el exceso de material es excesivo </t>
  </si>
  <si>
    <t>se ingresa BR2 a taller de don rodolfo para revision de temperatura motor y fallas registradas por INACAP</t>
  </si>
  <si>
    <t>desmontaje de radiador por encontrarse tapado, debido al mal uso de liquidos refrigerante a los largo de los años, tambien se desmonta cañeria que se encontraba corroida</t>
  </si>
  <si>
    <t>se entrega radiador a empresa externa para revision</t>
  </si>
  <si>
    <t xml:space="preserve">ingreso de unidad a mantenimiento de motor de 400 horas, cambio de lubricante, filstros en general y lubricacion de punto moviles. </t>
  </si>
  <si>
    <t xml:space="preserve">Asistencia de unidad a sucursal para realizar servicio de alineacion y balanceo a tren delantero </t>
  </si>
  <si>
    <t>Caren</t>
  </si>
  <si>
    <t>ingreso de unidad para servicio de instalación de compresor auxiliar</t>
  </si>
  <si>
    <t>Choque de micro con B-1, rompe espejo retrovisor derecho</t>
  </si>
  <si>
    <t>choque</t>
  </si>
  <si>
    <t>se realiza mantenimiento preventivo a unidad, cambio de aceite motor y sus respectivos filtros, queda pendiente cambio de secador y engrase. filtro agripado</t>
  </si>
  <si>
    <t>se realiza mantenimiento preventivo a motor y transmision, cambio de filtros, fluidos, relleno de refrigerante y engrasado. revision de sistema de freno</t>
  </si>
  <si>
    <t xml:space="preserve">se realiza mantenimiento preventivo de motor a carro B3. cambio de aceite motor, filtros, aire, aceite, combustible,adblue y refrigerante. </t>
  </si>
  <si>
    <t>ingreso de unidad para revision de niveles de fluido y estado de funcionamiento. se encuentra fuga de aceite por rptura de empaque tapa valvulas</t>
  </si>
  <si>
    <t>ingreso de unidad para revison de part number de filtro motor para proximo servicio de mantencion. Se evidencia cardan desbalanceado, por eso unidad vibra</t>
  </si>
  <si>
    <t xml:space="preserve">ingreso de unidad por revision de check por ABS, se realiza scanner y se borrar codigos ya reparados. </t>
  </si>
  <si>
    <t xml:space="preserve">Ingreso de unidad para mantenimieto de motor luego de 400 hrs de su antiguo servicio. </t>
  </si>
  <si>
    <t>retiro de unidad desde taller por servicio de mantencion,  se realiza reparacion a carter de caja de transferencia, hilo nuevo por encontrarse rodado</t>
  </si>
  <si>
    <t>ingreso de unidad a taller por fuga desde caja transferencia, en donde se evidencia problema severo en carcasa de caja, la que se encuentra fisurada, se deja unidad 08</t>
  </si>
  <si>
    <t>capacitacion nueva unidad UTV CFMOTO U10pro</t>
  </si>
  <si>
    <t>Capacitación</t>
  </si>
  <si>
    <t>unidad B-5 queda en panne en ruta a expo carros CB  Santa Maria, presenta alza temperatura en la ida y el regreso, se opta por traslado en grua desde tunel chacabuco</t>
  </si>
  <si>
    <t>servicio Grua</t>
  </si>
  <si>
    <t>unidad es revisar por mecanio en cuartel luego de la falla, no se encuntra fuga evidete de refrigerante, componentes del sistema funcionando, se presume problemas en culatin de compresor</t>
  </si>
  <si>
    <t>reparaciión de sellos valvulas cuerpo de bomba, hecho por la misma compañia, se hace prueba de succion y queda funcionando bien</t>
  </si>
  <si>
    <t>10ma</t>
  </si>
  <si>
    <t xml:space="preserve">retiro de radiador limpiado y pintado, entregado a don rodolfo para el ensamblaje </t>
  </si>
  <si>
    <t>Revision de unidad B-3 por caida de presion en acumulador primario, pasa al taller de don Rodolfo para revision</t>
  </si>
  <si>
    <t>entrega de Br-1 a primera compañia, por reemplazo de B-1, solo para servicios de 10-2</t>
  </si>
  <si>
    <t>reemplazo</t>
  </si>
  <si>
    <t xml:space="preserve">Visita de don Rodolfo Oñate para reparacion de sistema de balizas de unidad </t>
  </si>
  <si>
    <t>Desmontaje de motor de partida para enviar a reparar</t>
  </si>
  <si>
    <t xml:space="preserve">montaje de motor de partida, unidad se va a taller para mantenimiento preventivo </t>
  </si>
  <si>
    <t xml:space="preserve">Retiro de carro luego de mantenimiento de motor </t>
  </si>
  <si>
    <t>ingreso de B5 para reparacion de B5</t>
  </si>
  <si>
    <t>se deja fuera de servicio unidad BT-0 por revision de nivel de aceite de motor</t>
  </si>
  <si>
    <t xml:space="preserve">unidad queda fuera de servicio por ser rechazado en la revisión </t>
  </si>
  <si>
    <t xml:space="preserve">ingreso de a taller de unidar por revision de parachoques, luz patente trasera y revision tubo de escape, y ajuste de descarga frontal bumper. </t>
  </si>
  <si>
    <t xml:space="preserve">RECUE MOTOR </t>
  </si>
  <si>
    <t>ingreso de unidad para revision de desperfecto en bomba producto de roptura de hilo de termostato de bomba</t>
  </si>
  <si>
    <t>ingreso de unidad para revision y reparacion de manguera y llave de llenado directo de estanque, reparado y listo en servcio</t>
  </si>
  <si>
    <t>ingreso de unidad para revision de fuga refrigerante desde calefaccion delantera, se corta llave de paso y se rellena con refrigerante</t>
  </si>
  <si>
    <t>ingreso de unidad a taller para reparacion de sistema de suspension, luego que este se encontrara desviado</t>
  </si>
  <si>
    <t xml:space="preserve">Ferrari fabrica </t>
  </si>
  <si>
    <t xml:space="preserve">se realiza instalacion de manometros de aire para revision de presion de trabajo, ya que indicador de tablero se encuentra con problemas. </t>
  </si>
  <si>
    <t>Servicio</t>
  </si>
  <si>
    <t>ingreso de unidad B-4 para revision de frenos,  en donde el ruido provenia desde el eje trasero, donde existia una cristalizacion prematura de balatas traseras y eso acompañado que el dia del incendio unidad estuvo casi sumergidas las ruedas en agua, dejo una capa en sus balatasque generaba el ruido extraño detectado. se lijo la superficie y se pudo armas y volver al servicio.</t>
  </si>
  <si>
    <t xml:space="preserve">Ingreso de BX-1 a taller por problemas en alternador, el que se tranco por falla en cojinete de rodamiento de rotor. </t>
  </si>
  <si>
    <t>Cambio de baterias de unidad, la extraidas son las originales, se intala dos de 170 ampr redpower</t>
  </si>
  <si>
    <t>Cambio de baterias</t>
  </si>
  <si>
    <t>ingreso de taller de B-4 por ruido extraño en eje trasero, se prevee que sea bujes de sujecion balata, lo que provoca un juego axial y toca con tambor</t>
  </si>
  <si>
    <t>servicio de engrase de chasis, puntos moviles y cuerpo de bomba</t>
  </si>
  <si>
    <t>mantenimiento preventico</t>
  </si>
  <si>
    <t>se extrae cremallera de puerta conductor, la que se encuentra en muy mal estado, se cotiza una nueva y en paralelo se consulta por la reparacion de la mala para contar back up</t>
  </si>
  <si>
    <t>Leopoldo Ulloa</t>
  </si>
  <si>
    <t>ingreso de unidad a sucursal Zentrum para revision de problema en motorn entregado por don Rodolfo Oñate</t>
  </si>
  <si>
    <t>Zentrum</t>
  </si>
  <si>
    <t>se realiza cambio de patines traseros, instalandose unos nuevos, originales marca meritor, asegurando el correcto estandar.</t>
  </si>
  <si>
    <t xml:space="preserve">Mantenimiento de motor y transferencia </t>
  </si>
  <si>
    <t>tomyscar</t>
  </si>
  <si>
    <t>mantenimiento preventivo</t>
  </si>
  <si>
    <t xml:space="preserve">mantenimiento de motor </t>
  </si>
  <si>
    <t>Visita de tecnico para revision de problema en llave de descarga frontal de unidad, se revisa y se encuentra una pieza que se salio del estaque y obstruia el cierre o apertura</t>
  </si>
  <si>
    <t xml:space="preserve">Lavado de chasis unidad en shell 41. </t>
  </si>
  <si>
    <t>Shell gran av</t>
  </si>
  <si>
    <t>Lavado</t>
  </si>
  <si>
    <t xml:space="preserve">mantenimiento de motor, transmision y reparacion de alternador. se instala alternador de 200amp </t>
  </si>
  <si>
    <t>Cambio de neumaticos direccion luego que uno de ellos de rajara y no se pudiera reparar</t>
  </si>
  <si>
    <t>supermercado del neumatico</t>
  </si>
  <si>
    <t>cambio neumaticos</t>
  </si>
  <si>
    <t>choque de unidad RB6 en gran av y santa marta</t>
  </si>
  <si>
    <t xml:space="preserve">choque </t>
  </si>
  <si>
    <t>ingreso de unidad s-1 a taller por servicio de mantenimiento de motor, elias solicita revision de baliza superior</t>
  </si>
  <si>
    <t>FUERA_SERVICIO</t>
  </si>
  <si>
    <t>mantenimiento de motor, se queda en taller por diferentes problemas, en testigo temperatura de motor, inyector pegado, direccion vibra por neumaticos viejos, soporte cardan con problemas</t>
  </si>
  <si>
    <t>Unidad ingresa a cuarta compañia, por lo que su servicio debe realizarse en las proximas fechas futuras OD 28/2026</t>
  </si>
  <si>
    <t>mantenimiento cuerpo de bomba unidades magirus, B-6 y BT-0</t>
  </si>
  <si>
    <t>mantenimiento preventico bomba</t>
  </si>
  <si>
    <t>limpieza estanque de agua unidad por exceso de goma al interior</t>
  </si>
  <si>
    <t>visita a supermercado del neumatico para analisis de estado de neumaticos delanteros</t>
  </si>
  <si>
    <t>Supermercado del neumatico</t>
  </si>
  <si>
    <t>Diagnostico</t>
  </si>
  <si>
    <t>ingreso de unidad a taller para reparacion en alza temperatura de motor</t>
  </si>
  <si>
    <t xml:space="preserve">visita a supermercado del neumatico para analisis de estado de neumaticos, deben cambiarse </t>
  </si>
  <si>
    <t>visita a supermercado del neumatico para analisis de estado de neumaticos, sin novedad</t>
  </si>
  <si>
    <t>Unidad B-10 ingresa a taller de Heavy Service</t>
  </si>
  <si>
    <t>Heavy Service</t>
  </si>
  <si>
    <t xml:space="preserve">Reparacion </t>
  </si>
  <si>
    <t>Unidad Z-6 Ingresa a taller de don Rodolfo por ruido extraño (Falla en pulmon de aire)</t>
  </si>
  <si>
    <t>Unidad B-8 se le cambian neumaticos frontales</t>
  </si>
  <si>
    <t>Unidad RH-3 ingresa a taller de don Rodolfo para reparacion caja de transferencia</t>
  </si>
  <si>
    <t>Unidad B-6 ingresa a taller por revision y reparacion de sitema de freno</t>
  </si>
  <si>
    <t>Unidad RX-2 ingresa a taller por fuga de aciete desde la caja y toma fuerza</t>
  </si>
  <si>
    <t>Unidad Q-2 ingresa a taller para revision de sistema de aire y fuga de aceite en el diferncial</t>
  </si>
  <si>
    <t>Unidad K-2 ingresa a taller para revision y mantencion de sistema de freno</t>
  </si>
  <si>
    <t>Tomycar</t>
  </si>
  <si>
    <t>Unidad RB-6 ingresa a taller por fuga de diesel desde cañeria, reparado al dia dsiguiente en taller</t>
  </si>
  <si>
    <t>Unidad B-8 ingresa a taller para reparar tren delantero y sistema de inyección</t>
  </si>
  <si>
    <t>ingreso de unidad para reparacion en carcasa de caja de transferencia</t>
  </si>
  <si>
    <t>prueba de ruta con personal de porsche, a posterior retiro y unidad ya aparcada en cuartel quinta. prueba realizada por Rodolfo Oñata</t>
  </si>
  <si>
    <t xml:space="preserve">mm </t>
  </si>
  <si>
    <t xml:space="preserve">prueba de ruta </t>
  </si>
  <si>
    <t xml:space="preserve">prueba de ruta de unidad, se cambia nuevamente aceite y filtro, no arrojando error. se cambia viscosidad </t>
  </si>
  <si>
    <t>choque de unidad en transito a 10-4</t>
  </si>
  <si>
    <t>unidad B-1 engancha tubo de escape en cables de baja tension mientras se dirigia a alarma de incencio en topacio y mateo y toro, es reparado esa misma tarde por Rodolfo</t>
  </si>
  <si>
    <t>servicio de reparacion a pisadera derecha de unidad luego de siniestro, ingresa hoy y toma dos dias más por reparación.</t>
  </si>
  <si>
    <t xml:space="preserve">reparacion </t>
  </si>
  <si>
    <t>retiro de Inyectores desde unidad para cotizacion de reparación</t>
  </si>
  <si>
    <t xml:space="preserve">reparación pisarea derecha rx2, le entregan desde taller de fibra y se prepara para ser montada. </t>
  </si>
  <si>
    <t>Reparación fuga de agua por manguera de retorno</t>
  </si>
  <si>
    <t xml:space="preserve">reparacion tecalan de aire conexon asiento </t>
  </si>
  <si>
    <t>Servicio de grua traslada BX-1 a c1</t>
  </si>
  <si>
    <t>Gruas Neron</t>
  </si>
  <si>
    <t>Traslado</t>
  </si>
  <si>
    <t>se realiza desmontaje de neumatico dañado a unidad BX-1 en cuartel primera</t>
  </si>
  <si>
    <t>unidad Q-2 presenta fuga de aire en sistema de aire</t>
  </si>
  <si>
    <t xml:space="preserve">cambio de neumaticos direccionales debido a reventon y se realiza alineacion y balanceo </t>
  </si>
  <si>
    <t>se realiza revision a unidad debido a fuga de refrigerante de motor desde conexion a cabeza de compresor de aire</t>
  </si>
  <si>
    <t xml:space="preserve">Unidad se dirige don Alejandro Vial por revision en bomba y se detecta agua en caja de transferecia </t>
  </si>
  <si>
    <t>Alejandro vial</t>
  </si>
  <si>
    <t>montaje de rueda con neumatico nuevo en cuartel</t>
  </si>
  <si>
    <t>cambio de discos y pastillas de frenos traseros, regulacion de frenos delanteros</t>
  </si>
  <si>
    <t>Unidad se dirige para revision de cb, reparacion de sistema eectrico, intalacion de primer y revision de caja de transferencia</t>
  </si>
  <si>
    <t>Se revisa "nueva" bomba de unidad B-10 en campus de ANB y se lleva a heavy service</t>
  </si>
  <si>
    <t>SALIDA_TALLER</t>
  </si>
  <si>
    <t>Recepcion de unidad B-7 luego de reparacion de sistema electrico, luces de posicion, cambio aceite caja de transferencia y reparacion nuevamente de primer, polos invertidos.</t>
  </si>
  <si>
    <t>unidad queda fuera de servicio por problemas de arranque, producto de falla en bateria, se hace puente pero este no enciende.</t>
  </si>
  <si>
    <t>problema de baterias</t>
  </si>
  <si>
    <t>unidad queda fuera de servicio por problemas de arranque, se brinda cargador/partidor para ingresar unidad  al cuartel.</t>
  </si>
  <si>
    <t xml:space="preserve">Unidad fuera de servicio por falta de mantencion de escala y tornamesa </t>
  </si>
  <si>
    <t>ingreso de B-1 a taller por funcionamiento extraño en CB, revision de cortinas.</t>
  </si>
  <si>
    <t xml:space="preserve">servicio de balanceo y alineacion </t>
  </si>
  <si>
    <t xml:space="preserve">Se realiza instalación de batería de 75amp a unidad, quedando operativo y nuevamente al servicio. </t>
  </si>
  <si>
    <t>Décima</t>
  </si>
  <si>
    <t>Cambio de baterías en cuartel por técnico, quedando unidad operativa</t>
  </si>
  <si>
    <t>Informan que unidad queda sin sirena principal luego del cambio de baterías, solo operativa sirena Q2B, al ser revisada por maquinista, era un fusible y quedo operativo</t>
  </si>
  <si>
    <t xml:space="preserve">gestión </t>
  </si>
  <si>
    <t>Problema eléctrico</t>
  </si>
  <si>
    <t xml:space="preserve">Informa capitán que unidad presenta desperfectos en su sistema de freno y transmisión en modo manual, quedando fuera de servicio, se gestiona ingreso a taller. </t>
  </si>
  <si>
    <t>Problema de frenos</t>
  </si>
  <si>
    <t xml:space="preserve">prueba de ruta de unidad, se revisan estado de pastillas, discos y sensores, todo ok, prueba de ruta en carretera y en situacion de emergencia, todo ok. </t>
  </si>
  <si>
    <t>gestio</t>
  </si>
  <si>
    <t xml:space="preserve">cambio de neumaticos unidad tanto dirección como tracción </t>
  </si>
  <si>
    <t>cambio de neumaticos</t>
  </si>
  <si>
    <t>ingreso de unidad para revision de fuga refrigerante de motor.</t>
  </si>
  <si>
    <t>unidad queda fuera de servicio por fractura en sistema de paquete resortes traseros</t>
  </si>
  <si>
    <t xml:space="preserve">intervension en unidad en cuartel, se sacan ambos paquetes y se envia a cotizar por muestra para reestablecer </t>
  </si>
  <si>
    <t xml:space="preserve">unidad queda fuera de servicio por problema en una de sus baterias y cable de puente </t>
  </si>
  <si>
    <t>instalacion de cremallera puerta conductor de unidad</t>
  </si>
  <si>
    <t xml:space="preserve">reparación fuga combustible y deteccion de tapa de combustible. </t>
  </si>
  <si>
    <t>mantenimiento de motor, cambio de filtros y lubricante de motor</t>
  </si>
  <si>
    <t>ingreso de unidad al servicio</t>
  </si>
  <si>
    <t>unidad es colisionada por detras por colectivo, quedando parachoque pisadera trasero con problemas</t>
  </si>
  <si>
    <t xml:space="preserve">siniestro </t>
  </si>
  <si>
    <t xml:space="preserve">reparación soporte de luz patente </t>
  </si>
  <si>
    <t xml:space="preserve">ingreso de unidad a mantenimiento preventivo </t>
  </si>
  <si>
    <t>Mantenimiento preventivo de unidad</t>
  </si>
  <si>
    <t>se realiza mantenimiento, cambio de aceite motor, diferencial delantero y trasero, transmisión, purificador refrigerante, filtro polen, aire</t>
  </si>
  <si>
    <t>se instalan baterias nuevas y cambio de chicote bateria para el puente y generar los 24V (cable obtenido en nazar)</t>
  </si>
  <si>
    <t>Reparación de pisadera trasera luego de colisión por colectivo</t>
  </si>
  <si>
    <t>ANGELA SOLEDAD MUNOZ IBANEZ</t>
  </si>
  <si>
    <t>Choque de unidad en subterraneo de CG al llegar de actividad en quillota con Brigada Juvenil</t>
  </si>
  <si>
    <t>ingreso para realizacion de mantenimiento preventivo</t>
  </si>
  <si>
    <t xml:space="preserve">se retira repuestos de unidad B-8 desde salfa </t>
  </si>
  <si>
    <t xml:space="preserve">retiro repuesto </t>
  </si>
  <si>
    <t>Q-2 sufre impacto en su puerta derecha trasera por camion</t>
  </si>
  <si>
    <t xml:space="preserve">Siniestro </t>
  </si>
  <si>
    <t>Se retira unidad B-1 de taller de hs</t>
  </si>
  <si>
    <t>Retiro</t>
  </si>
  <si>
    <t>se retira de taller, se realiza Unidad B-6, inspección de cada rueda en zona de frenos, regulación de cada caliper de freno, instalación de sensores de desgaste de pastillas de freno en cada rueda, chequeo electrónico de ABS, instalación de válvula auxiliar de frenos de parqueo con válvula Bendix PP1.</t>
  </si>
  <si>
    <t>Unidad Z-6 sufre alimentacion con sobre presion ropiendo cañeria</t>
  </si>
  <si>
    <t>Siniestro</t>
  </si>
  <si>
    <t>ingresa a taller para repracion de codo de alimentacion estanque, el que es reparado, se cambian dos y seccion. tambien unidad llega a taller y pierde en el camino brazo giratorio de descarga rapida</t>
  </si>
  <si>
    <t>ingreso para engrasado de bomba, cambio de perilla luces y rectificacion de cableado panel cuerpo de bomba.</t>
  </si>
  <si>
    <t>se realiza extraccion de secciones de descarga para dejar unidad en servicio, se debe buscar una solucion a este problema</t>
  </si>
  <si>
    <t xml:space="preserve">se realizo sellado de cables que ingresan desde el techo a la cabina por fugas informadas </t>
  </si>
  <si>
    <t>ingreso para reparación de filtracion en uniones de llaves de cuerpo de bomba, se reparar con sello nuevo</t>
  </si>
  <si>
    <t>unidad operativa y entregada a octava, ultima reparacion hecha es cambio reten de cola, servicio a muñonez, inyectores, mantto motor y empaques</t>
  </si>
  <si>
    <t>ingresa a taller para revision de fuga de agua por soltadura de manifolt cuerpo de bomba</t>
  </si>
  <si>
    <t>ingreso a taller por garantia por ruido extraño en cuerpo de bomba al operar en servicio en fach</t>
  </si>
  <si>
    <t>garantia</t>
  </si>
  <si>
    <t>asiste unidad a empresa para realizar reparación de cañeria cuerpo de bomba</t>
  </si>
  <si>
    <t>se solda cañeria en externo, unidad retoma el servicio</t>
  </si>
  <si>
    <t>unidad sale por reparación de bomba e ingresa d einmediato a realizar mantenimiento de motor</t>
  </si>
  <si>
    <t xml:space="preserve">unidad sale de taller y en servicio </t>
  </si>
  <si>
    <t xml:space="preserve">ingreso por revision por ruido extraño, no encontrado evidencia alguna. </t>
  </si>
  <si>
    <t xml:space="preserve">inspeccion </t>
  </si>
  <si>
    <t>se instala paquete de resortes, y unidad se mueve a taller para cambio del segundo paquete y de tres pernos de rueda cortados</t>
  </si>
  <si>
    <t xml:space="preserve">unidad ingresa por problemas en iioo de la madrugada, donde al llegar al lugar, se apaga motor. </t>
  </si>
  <si>
    <t>unidad al circular presenta se carga a la izq y al fenar se carga a la derecha. queda fuera de servicio</t>
  </si>
  <si>
    <t xml:space="preserve">unidad presenta inconveniente en el cuerpo de bomba, se solicita garantia </t>
  </si>
  <si>
    <t>unidad queda fuera de servicio por exceso de perdida lubricante motor</t>
  </si>
  <si>
    <t>unidad queda fuera de servicio por perdida de aire en pulmon de suspension eje trasero</t>
  </si>
  <si>
    <t xml:space="preserve">unidad es reparada, se cambian carbones y caja reguladora de alternador por baja tension detectada, cambio de niple que presentaba fuga de calentador de bomba </t>
  </si>
  <si>
    <t xml:space="preserve">Rodolfo Oñate </t>
  </si>
  <si>
    <t xml:space="preserve">unidad es diagnostcada en cuartel, presente desgaste severo en balatas delanteras, seran extraidas en el mismo cuartel </t>
  </si>
  <si>
    <t xml:space="preserve">unidad se presente a taller de heavy service para revision de cuerpo de bomba luego de ruido extraño, se realizar apriete de "hidroestato" que va a bomba de cebado, se hacen pruebas y quedo trabjaando sin problemas. </t>
  </si>
  <si>
    <t xml:space="preserve">garantia </t>
  </si>
  <si>
    <t>se instalan paquetes de resortes, pernos de masa y aletas de primer</t>
  </si>
  <si>
    <t>Unidad reparada, se cambian balatas y tambores delanteros. trabajo hecho en cuartel 5ta con repuestos incluidos.</t>
  </si>
  <si>
    <t xml:space="preserve">Elias asiste con muestras para la compra de amortiguadores, comprados en un proveedros en brasil </t>
  </si>
  <si>
    <t>se realiza evaluacion practica a candidato de cuartelero 2da compañia Manuel Venegas</t>
  </si>
  <si>
    <t>servicio de mantencion a escala, lavado y lubriación. quedo listo, pero presento problema electrico, no se pudo guardar brazo desde comandos. se lleva a c-4 y queda fuera de servicio</t>
  </si>
  <si>
    <t>unidad sufre ruptura de rueda direccion derecha en pleno acuartelamento y roinda con 2do comandante</t>
  </si>
  <si>
    <t>unidad presenta problemas de succión, queda fuera de servcio, fin de semana, personal 5ta le hacen limpieza a sensor, a la espera de revision para retornar al servicio</t>
  </si>
  <si>
    <t>unidad al asistir a incendio, sufre colicion con arbol, destruyendo carroceria trasera lado derecho, queda fuera de serviciio</t>
  </si>
  <si>
    <t xml:space="preserve">unidad es llevada a taller para cotizar reparación </t>
  </si>
  <si>
    <t>Se realiza cambio de amortiguadores y pulmon de suspension eje trasero, regulación sensores ABS y cambio cremallera vidrio conductor</t>
  </si>
  <si>
    <t>unidad al dirigirse a un servicio, presenta perdida de potencia, es remolcado por grua e ingresado a taller, turbo entregado a lucas para su diagnostico</t>
  </si>
  <si>
    <t>se realiza reparacion a sistema electrio, corrigiendo sirena, conexion de balizas laterales y alimentaciones de accesorios</t>
  </si>
  <si>
    <t>Freddy</t>
  </si>
  <si>
    <t>se revisa en cuartel problema eletrico de movimiento de brazo articulado+</t>
  </si>
  <si>
    <t>ingresa unidad a realizaion de mantenimiento preventivo, se presenta problemas en balatas y tambores traseros</t>
  </si>
  <si>
    <t>unidad ingresa a taller a fin de comenzar a desarmar para reparación estructural</t>
  </si>
  <si>
    <t>unidad sale de taller, se realiza mantencion de motor y se hace camio de tambores y balatas traseras</t>
  </si>
  <si>
    <t xml:space="preserve">unidad es diagnostticada por no encendido de baliza, se detecta caida de agua sobre modulo que se encuentra debjo del asiento del copiloto </t>
  </si>
  <si>
    <t xml:space="preserve">Freddy </t>
  </si>
  <si>
    <t>unidad se dirige a reparación de llave de entrada auxiliar</t>
  </si>
  <si>
    <t>Tercera compañia</t>
  </si>
  <si>
    <t xml:space="preserve">unidad asiste a vulca por problema en neumatico delantero derecho </t>
  </si>
  <si>
    <t xml:space="preserve">unidad presenta problemas de aceleracion, se sube la RPM sobre 1300, al revisar, se encuentra piola de cb estrangulada, se corrige te continua en servicio </t>
  </si>
  <si>
    <t xml:space="preserve">a unidad se le desmonta bandeja corredisa de cortina trasera derecha, dado que por falta de pieza perdida por vibracion y antiguedad, servicio hecho en cuartel </t>
  </si>
  <si>
    <t>BS-1</t>
  </si>
  <si>
    <t xml:space="preserve">unidad ingresa a taller para realizar servicio de motor y transmisión. </t>
  </si>
  <si>
    <t>se hace instalaion de placa balizas de unidad X-1 para su operatibilidad, dado que tiene placa mala. se busa reparar.</t>
  </si>
  <si>
    <t>unidad presenta problemas en palanca de cierre de valvula retorno</t>
  </si>
  <si>
    <t>inspeccion</t>
  </si>
  <si>
    <t>unidad se realiza mantencion de motor y transmision, reparación electrica de luces, queda oeprativa, pero hay que setear la transmision</t>
  </si>
  <si>
    <t xml:space="preserve">Unidad es trasladada a taller de trabajo de aluminio para reparacion estructural </t>
  </si>
  <si>
    <t>unidad presenta problemas en luces de emergencias, las que se apagan luego de ser encendidas, se coordina agenda para revisión</t>
  </si>
  <si>
    <t>unidad ingresa a taller para realizar servicio de frenos delanteros</t>
  </si>
  <si>
    <t>unidad presenta fuga de combustible desde estanque y cañeria de alza cabina, se revisa mismo dia fuga de estanque, la que queda lista, martes se revisa flexibles.</t>
  </si>
  <si>
    <t xml:space="preserve">unidad ingresa a taller para reparacion de fuga en estanque y flexible </t>
  </si>
  <si>
    <t xml:space="preserve">se realiza reparacion de estanque, fuga eliminada. </t>
  </si>
  <si>
    <t>ingresa a taller por revision de frenos</t>
  </si>
  <si>
    <t>unidad ingresa para realizar mantenimiento de motor y revision de perdida de aire</t>
  </si>
  <si>
    <t>unidad ingresa a taller para reparacion sistema de luces y mantencion de motor</t>
  </si>
  <si>
    <t xml:space="preserve">unidad se realiza mantenion de motor y adicionales como: </t>
  </si>
  <si>
    <t xml:space="preserve">ingreso a taller por reparacion en parador y ambio de niples, lo que producia perdida de aire y una cañeria obstruida. </t>
  </si>
  <si>
    <t xml:space="preserve">reparacion de perdida de aire en cuartel </t>
  </si>
  <si>
    <t>mx-4</t>
  </si>
  <si>
    <t xml:space="preserve">ingreso a taller para reparacion de basculamiento cabina, revision de motor y mantencion, y en paralelo situación electrica de brazo articulado </t>
  </si>
  <si>
    <t>unidad queda fuera de servicio ya que mantiene problema electrico, luces trasera siguen encendidas al apagar unidad y hacer corte al conectar shut-off</t>
  </si>
  <si>
    <t>unidad queda fuera de servicio ya que no se acciona relenti alto y tampoco conecta toma fuerza de generador</t>
  </si>
  <si>
    <t>unidad es revisada por Elias, existia problema de operacion, se encuentra disponible y en servicio nuevamente</t>
  </si>
  <si>
    <t>AÑO</t>
  </si>
  <si>
    <t>proveedor</t>
  </si>
  <si>
    <t>COTIZACION</t>
  </si>
  <si>
    <t>N° orden de compra</t>
  </si>
  <si>
    <t>N° factura</t>
  </si>
  <si>
    <t>VALOR</t>
  </si>
  <si>
    <t>estado Pendiente/ Pagado</t>
  </si>
  <si>
    <t>detalle</t>
  </si>
  <si>
    <t>N° Trasn</t>
  </si>
  <si>
    <t>Compañía</t>
  </si>
  <si>
    <t>Mantto preventivo</t>
  </si>
  <si>
    <t>oc 001</t>
  </si>
  <si>
    <t>Pagado</t>
  </si>
  <si>
    <t>mantenimiento de motor anual unidad</t>
  </si>
  <si>
    <t>Transferencia 87685803</t>
  </si>
  <si>
    <t>Tercera</t>
  </si>
  <si>
    <t>Raul Ramirez</t>
  </si>
  <si>
    <t xml:space="preserve">Cambio Parabrisas </t>
  </si>
  <si>
    <t>oc 003</t>
  </si>
  <si>
    <t xml:space="preserve">Cambio de parabrisas por piquete </t>
  </si>
  <si>
    <t>Transferencia 88902757_x000D_</t>
  </si>
  <si>
    <t>Quinta</t>
  </si>
  <si>
    <t>oc 004</t>
  </si>
  <si>
    <t>sin fact</t>
  </si>
  <si>
    <t>mantenimiento de motor unidad</t>
  </si>
  <si>
    <t>Transferencia 88747288_x000D_</t>
  </si>
  <si>
    <t>oc 005</t>
  </si>
  <si>
    <t>Transferencia 88903451_x000D_</t>
  </si>
  <si>
    <t>Octava</t>
  </si>
  <si>
    <t>oc 006</t>
  </si>
  <si>
    <t>Transferencia 89478667</t>
  </si>
  <si>
    <t>Comandancia</t>
  </si>
  <si>
    <t>Caren spa</t>
  </si>
  <si>
    <t xml:space="preserve">Compra repuesto </t>
  </si>
  <si>
    <t>oc 007</t>
  </si>
  <si>
    <t>compra de aceite para relleno</t>
  </si>
  <si>
    <t>Transferencia 88903586_x000D_</t>
  </si>
  <si>
    <t>Cuarta</t>
  </si>
  <si>
    <t>Correctivo</t>
  </si>
  <si>
    <t>oc 14</t>
  </si>
  <si>
    <t>cambio empaquetadura tapa valvulas, tapa de llenado, instalacion luces azules laterales e iluminacion cuerpo de bomba</t>
  </si>
  <si>
    <t>Transferencia 93487924_x000D_</t>
  </si>
  <si>
    <t>oc 15</t>
  </si>
  <si>
    <t>Reparaciones componentes, revision de bomba, motor y compresor. Mantenimiento de motor</t>
  </si>
  <si>
    <t>oc 22</t>
  </si>
  <si>
    <t xml:space="preserve">compra de acelerador de cuerpo de bomba, acutal en mal estado </t>
  </si>
  <si>
    <t>Transferencia 90713181</t>
  </si>
  <si>
    <t xml:space="preserve">Primera </t>
  </si>
  <si>
    <t>Repuestos la estrellita</t>
  </si>
  <si>
    <t>sin cotizacion</t>
  </si>
  <si>
    <t>sin oc</t>
  </si>
  <si>
    <t xml:space="preserve">Compra de mica para foto trasero derecho </t>
  </si>
  <si>
    <t>Caja Chica</t>
  </si>
  <si>
    <t>RODOLFO ENRIQUE OÑATE VÁSQUEZ</t>
  </si>
  <si>
    <t>reparación de bisagra puerta (reparacion en terreno, preservar servicio)</t>
  </si>
  <si>
    <t>reparacion interruptor de luces (reparacion en terreno, preservar servicio)</t>
  </si>
  <si>
    <t xml:space="preserve">Aco </t>
  </si>
  <si>
    <t>IPM0003071</t>
  </si>
  <si>
    <t>herramientas</t>
  </si>
  <si>
    <t>oc 24</t>
  </si>
  <si>
    <t xml:space="preserve">Compra de llaves saca filtros </t>
  </si>
  <si>
    <t>Transferencia 92670832_x000D_</t>
  </si>
  <si>
    <t>comandancia</t>
  </si>
  <si>
    <t>Comercial V y R LTDA</t>
  </si>
  <si>
    <t>compra de foco trasero derecho nissan np300</t>
  </si>
  <si>
    <t>K10</t>
  </si>
  <si>
    <t>Comercial de insumos industriales CII SPA</t>
  </si>
  <si>
    <t>oc 20</t>
  </si>
  <si>
    <t xml:space="preserve">Compra kit de filtro para mantto </t>
  </si>
  <si>
    <t>Transferencia 90979490</t>
  </si>
  <si>
    <t>Inversiones cs ltda</t>
  </si>
  <si>
    <t>compra aceite</t>
  </si>
  <si>
    <t>oc 21</t>
  </si>
  <si>
    <t xml:space="preserve">compra de aceite para mantto </t>
  </si>
  <si>
    <t>Transferencia 93488283_x000D_</t>
  </si>
  <si>
    <t>Importadora y exportadora la nueva spa</t>
  </si>
  <si>
    <t xml:space="preserve">oc 28 </t>
  </si>
  <si>
    <t xml:space="preserve">compra de herramientas esenciales para trabajo de mecanico </t>
  </si>
  <si>
    <t>Transferencia 92693360_x000D_</t>
  </si>
  <si>
    <t>oc 25</t>
  </si>
  <si>
    <t xml:space="preserve">compra de piola acelerador de cuerpo bomba </t>
  </si>
  <si>
    <t>Sintegracom</t>
  </si>
  <si>
    <t xml:space="preserve">oc 26 </t>
  </si>
  <si>
    <t>diagnostico por problemas electricos en luces de unidad</t>
  </si>
  <si>
    <t>oc 57</t>
  </si>
  <si>
    <t>compra de repuesto para reparacion de  polea motriz cb</t>
  </si>
  <si>
    <t>IPM0003375</t>
  </si>
  <si>
    <t>oc 32</t>
  </si>
  <si>
    <t>compra de herramientas para cambios de aceite</t>
  </si>
  <si>
    <t>Importdora y exportadora la nueva spa</t>
  </si>
  <si>
    <t>019-25</t>
  </si>
  <si>
    <t>oc 33</t>
  </si>
  <si>
    <t>compra set de alicates, caiman, llaves punta corona chicharra</t>
  </si>
  <si>
    <t>COMERCIAL DE INSUMOS INDUSTRIALES CII SPA</t>
  </si>
  <si>
    <t xml:space="preserve">Filtros mantenimiento preventivo </t>
  </si>
  <si>
    <t>Sexta</t>
  </si>
  <si>
    <t>Seguridad Industrial SPA</t>
  </si>
  <si>
    <t>EPP</t>
  </si>
  <si>
    <t>oc 31</t>
  </si>
  <si>
    <t xml:space="preserve">EPP mecanico </t>
  </si>
  <si>
    <t xml:space="preserve">Kaufmann </t>
  </si>
  <si>
    <t>oc 46</t>
  </si>
  <si>
    <t>Compra de zapatas freno para servicio completo tren trasero</t>
  </si>
  <si>
    <t>sexta</t>
  </si>
  <si>
    <t>oc 44</t>
  </si>
  <si>
    <t>compra de grasa para diferentes unidades</t>
  </si>
  <si>
    <t>Transferencia 95243421</t>
  </si>
  <si>
    <t>IPM0003652</t>
  </si>
  <si>
    <t>oc 45</t>
  </si>
  <si>
    <t>compra de kit llaves de impacto y boma manual para tambor</t>
  </si>
  <si>
    <t>oc 47</t>
  </si>
  <si>
    <t>compra de aceite lubricante para diferentes unidades</t>
  </si>
  <si>
    <t>Transferencia 95243574</t>
  </si>
  <si>
    <t xml:space="preserve">diagnostico problema en sirena </t>
  </si>
  <si>
    <t>Nera Chile spa</t>
  </si>
  <si>
    <t>Servicio grua</t>
  </si>
  <si>
    <t>oc 42</t>
  </si>
  <si>
    <t>servicio grua luego de colision con rx4</t>
  </si>
  <si>
    <t>Porsche chile</t>
  </si>
  <si>
    <t>2025009415/ 1</t>
  </si>
  <si>
    <t>oc 64</t>
  </si>
  <si>
    <t>tope goma suspension delantera</t>
  </si>
  <si>
    <t>oc 65</t>
  </si>
  <si>
    <t>oc 66</t>
  </si>
  <si>
    <t>compra valvula electro neumatico de accionamiento de bomba de alta (impotacion)</t>
  </si>
  <si>
    <t>Salfa</t>
  </si>
  <si>
    <t>oc 67</t>
  </si>
  <si>
    <t xml:space="preserve">Compra kit de embrague original </t>
  </si>
  <si>
    <t>oc 69</t>
  </si>
  <si>
    <t>Aciete motor mantenimiento preventivo</t>
  </si>
  <si>
    <t>cuarta</t>
  </si>
  <si>
    <t>oc 68</t>
  </si>
  <si>
    <t>diagnostico problema en mantenedor baterias kussmaul</t>
  </si>
  <si>
    <t>HBSERVICIOS SPA</t>
  </si>
  <si>
    <t>oc 70</t>
  </si>
  <si>
    <t>Mano de obra por cambio de embrague y rectificado de volante inercia</t>
  </si>
  <si>
    <t>oc 77</t>
  </si>
  <si>
    <t xml:space="preserve">Reparacion sirena motorola por configuracion de tonos en mal estado </t>
  </si>
  <si>
    <t>oc 71</t>
  </si>
  <si>
    <t>Mano de obra reparación motor Detroit 6V92 (detalle del trabajo en documento)</t>
  </si>
  <si>
    <t>pagado la MITAD</t>
  </si>
  <si>
    <t>oc 72</t>
  </si>
  <si>
    <t xml:space="preserve">Compra de Sirena Whelen 295SL + mas mano de obra por instalacíon (placa quemada) </t>
  </si>
  <si>
    <t>oc 62</t>
  </si>
  <si>
    <t xml:space="preserve">Compra de pulmon de freno delantero 40/30 </t>
  </si>
  <si>
    <t>Andrade motores</t>
  </si>
  <si>
    <t>S/N</t>
  </si>
  <si>
    <t>oc 118</t>
  </si>
  <si>
    <t>Servicio de rectificado de culatas para B7</t>
  </si>
  <si>
    <t xml:space="preserve">Servicios integrales Diesel </t>
  </si>
  <si>
    <t>oc 114</t>
  </si>
  <si>
    <t>compra de repuestos para reparacion de motor unidad B7</t>
  </si>
  <si>
    <t xml:space="preserve">Compra piola cuerpo de bomba </t>
  </si>
  <si>
    <t>Servicios Natanael Andres Muñoz Rubio E.I.R.L</t>
  </si>
  <si>
    <t>Fabricacion de pieza de seguro hidrualico cabina MX-4</t>
  </si>
  <si>
    <t>Compra repuestos para bomba, producto de filtracion, valvulas y asientos</t>
  </si>
  <si>
    <t>oc 82</t>
  </si>
  <si>
    <t xml:space="preserve">pendiente de pago </t>
  </si>
  <si>
    <t xml:space="preserve">Servicio de reparación sistema electrico unidad </t>
  </si>
  <si>
    <t>oc 89</t>
  </si>
  <si>
    <t>compra de hidrolavadora para servicios</t>
  </si>
  <si>
    <t>ASESORIA Y FABRICACIÓN EN FIBRA DE VIDRIO ANDRES MAURICIO RICHARDS ESCANILLA E.I.R.L.</t>
  </si>
  <si>
    <t>COT2025_71</t>
  </si>
  <si>
    <t>oc 90</t>
  </si>
  <si>
    <t xml:space="preserve">Reparacion estanque </t>
  </si>
  <si>
    <t>INVERSIONES CS LTDA.</t>
  </si>
  <si>
    <t>oc 91</t>
  </si>
  <si>
    <t>Lucas Blandford S.A</t>
  </si>
  <si>
    <t>Compra baterias</t>
  </si>
  <si>
    <t>Baterias Q-2</t>
  </si>
  <si>
    <t>Baterias BT0</t>
  </si>
  <si>
    <t>Boton parador neumatico</t>
  </si>
  <si>
    <t>oc 93</t>
  </si>
  <si>
    <t xml:space="preserve">Boton parador neumatico </t>
  </si>
  <si>
    <t>oc 94</t>
  </si>
  <si>
    <t>piola acelerador cuerpo de bomba B-10</t>
  </si>
  <si>
    <t xml:space="preserve">piola acelerador cuerpo de bomba BR-1 </t>
  </si>
  <si>
    <t>oc 95</t>
  </si>
  <si>
    <t xml:space="preserve">Compra relojes cuerpo de bomba </t>
  </si>
  <si>
    <t>oc 96</t>
  </si>
  <si>
    <t>compra repuestos para mantencion cebador cuerpo de bomba</t>
  </si>
  <si>
    <t>oc 97</t>
  </si>
  <si>
    <t xml:space="preserve">Compra luz intermitente trasero </t>
  </si>
  <si>
    <t>Skc Red SPA</t>
  </si>
  <si>
    <t>MPCA01</t>
  </si>
  <si>
    <t>oc 99</t>
  </si>
  <si>
    <t>Compra de tambor de refrigerante Petronas coolant 50/50 200 litros</t>
  </si>
  <si>
    <t> </t>
  </si>
  <si>
    <t>EOX</t>
  </si>
  <si>
    <t>Materiales de aseo</t>
  </si>
  <si>
    <t>oc 83</t>
  </si>
  <si>
    <t>materiale de aseo para cuartel general, proyectado a un año</t>
  </si>
  <si>
    <t>oc 105</t>
  </si>
  <si>
    <t xml:space="preserve">Servicio de flete para uinida b7, traslado desde cuartel hasta taller de alejandro Vidal </t>
  </si>
  <si>
    <t>Transferencia 10267876</t>
  </si>
  <si>
    <t>oc 106</t>
  </si>
  <si>
    <t xml:space="preserve">Servicio de cambio de parabrisas en cuartel </t>
  </si>
  <si>
    <t xml:space="preserve">desmontaje de radiador, limpieza sistema de refirgeracion </t>
  </si>
  <si>
    <t>2025015515/ 1</t>
  </si>
  <si>
    <t>oc 158</t>
  </si>
  <si>
    <t>compra de amortiguadores delantero</t>
  </si>
  <si>
    <t>REDFLAME</t>
  </si>
  <si>
    <t>Ploteo</t>
  </si>
  <si>
    <t>oc 226</t>
  </si>
  <si>
    <t xml:space="preserve">ploteo unidad </t>
  </si>
  <si>
    <t>oc 188</t>
  </si>
  <si>
    <t xml:space="preserve">Reparacion sistema de inyeccion </t>
  </si>
  <si>
    <t xml:space="preserve">SK Comercial </t>
  </si>
  <si>
    <t>oc 155</t>
  </si>
  <si>
    <t>Compra de foco derecho por roptura de Zenteno</t>
  </si>
  <si>
    <t>AMAI graficas y estampados</t>
  </si>
  <si>
    <t>COT-202506-0010</t>
  </si>
  <si>
    <t>oc 112</t>
  </si>
  <si>
    <t>ploteo futuro carro de la decima</t>
  </si>
  <si>
    <t>oc 119</t>
  </si>
  <si>
    <t>reparacion frenos 4 puntas cambio de discos y pastillas</t>
  </si>
  <si>
    <t>Cummins</t>
  </si>
  <si>
    <t xml:space="preserve">oc 120 </t>
  </si>
  <si>
    <t xml:space="preserve">Compra de bomba de agua motor </t>
  </si>
  <si>
    <t>Improfor</t>
  </si>
  <si>
    <t>oc 159</t>
  </si>
  <si>
    <t>kit de reparación valvula entrada tradera 3"</t>
  </si>
  <si>
    <t>oc 127</t>
  </si>
  <si>
    <t xml:space="preserve">servicio externo de reparacion de sistema de embrague incluido volante </t>
  </si>
  <si>
    <t>Fourca</t>
  </si>
  <si>
    <t>oc 139</t>
  </si>
  <si>
    <t>Servicio de mantenimiento de motor y reparacion sistema de embrague</t>
  </si>
  <si>
    <t>oc 140</t>
  </si>
  <si>
    <t>Servicio de mantenimiento de motor y reparacion componentes motor</t>
  </si>
  <si>
    <t>oc 131</t>
  </si>
  <si>
    <t>Servicio de cambio de camisas de inyector a culatas, 8 unidades</t>
  </si>
  <si>
    <t>oc 130</t>
  </si>
  <si>
    <t>Servicio de reparacion Blower y diagnostico y estado de inyectores</t>
  </si>
  <si>
    <t>Detroit</t>
  </si>
  <si>
    <t xml:space="preserve">caja chica </t>
  </si>
  <si>
    <t xml:space="preserve">Compra de empaquetadura PTO metalica </t>
  </si>
  <si>
    <t>oc 129</t>
  </si>
  <si>
    <t>Fabricacion de radiador de motor por kaufmann</t>
  </si>
  <si>
    <t>Servicio Lucas Diesel S.A.</t>
  </si>
  <si>
    <t>524484-2</t>
  </si>
  <si>
    <t>oc 152</t>
  </si>
  <si>
    <t xml:space="preserve">Compra de 6 inyectores de combsutible </t>
  </si>
  <si>
    <t xml:space="preserve">Andes Motor </t>
  </si>
  <si>
    <t>oc 174</t>
  </si>
  <si>
    <t xml:space="preserve">Foco derecho BX7, el que se rompe por vibracion de cabina </t>
  </si>
  <si>
    <t>oc 138</t>
  </si>
  <si>
    <t>compra de baterias para unidad B10 y back up por posible falla en unidades con calendario 2022</t>
  </si>
  <si>
    <t>oc 136</t>
  </si>
  <si>
    <t xml:space="preserve">servicio grua desde cuartel septima a taller de rodolfo oñate </t>
  </si>
  <si>
    <t xml:space="preserve">Supermercado del neumatco </t>
  </si>
  <si>
    <t>Compra neumaticos</t>
  </si>
  <si>
    <t>oc 143</t>
  </si>
  <si>
    <t>Compra de neumaticos 275/80R22.5</t>
  </si>
  <si>
    <t>Compra repuestos</t>
  </si>
  <si>
    <t>oc 145</t>
  </si>
  <si>
    <t xml:space="preserve">compra de pastillas de freno </t>
  </si>
  <si>
    <t>Mantto preventivo Allison</t>
  </si>
  <si>
    <t>oc 142</t>
  </si>
  <si>
    <t>Kit de mantenimiento transmision Allison EVS 3000 kit de filtros y aceite lubricante (20lt)</t>
  </si>
  <si>
    <t>oc 141</t>
  </si>
  <si>
    <t>oc 153</t>
  </si>
  <si>
    <t xml:space="preserve">baterias b-3, x-1, b10 y back up </t>
  </si>
  <si>
    <t>Reparacion externa</t>
  </si>
  <si>
    <t>oc 161</t>
  </si>
  <si>
    <t>cambio de bomba de agua, fuga pto y mantto allison</t>
  </si>
  <si>
    <t>oc 160</t>
  </si>
  <si>
    <t>´reparacion frenos RX-2</t>
  </si>
  <si>
    <t>compra baterias</t>
  </si>
  <si>
    <t>oc 157</t>
  </si>
  <si>
    <t>Compra de baterias 200amp</t>
  </si>
  <si>
    <t>oc156</t>
  </si>
  <si>
    <t xml:space="preserve">repuestos tren delantero rotula, terminales y bandejas superiores </t>
  </si>
  <si>
    <t>Transportes Navasep</t>
  </si>
  <si>
    <t>-</t>
  </si>
  <si>
    <t>servicio de grua para unidad que queda en panne en hoscar luego de traslado de vol</t>
  </si>
  <si>
    <t>oc 172</t>
  </si>
  <si>
    <t xml:space="preserve">Compra de repuestos sistema de freno, sensor desgaste, pastillas y discos. </t>
  </si>
  <si>
    <t>oc 171</t>
  </si>
  <si>
    <t xml:space="preserve">compra de terminales de direccion </t>
  </si>
  <si>
    <t xml:space="preserve">Mis masas </t>
  </si>
  <si>
    <t>Servicio banqueteria</t>
  </si>
  <si>
    <t>Servicio colaciones activida INACAP</t>
  </si>
  <si>
    <t>oc 177</t>
  </si>
  <si>
    <t xml:space="preserve">Kit repuesto servicio preventivo </t>
  </si>
  <si>
    <t>oc 175</t>
  </si>
  <si>
    <t>oc 176</t>
  </si>
  <si>
    <t>oc 181</t>
  </si>
  <si>
    <t>oc 169</t>
  </si>
  <si>
    <t>oc 192</t>
  </si>
  <si>
    <t>oc 191</t>
  </si>
  <si>
    <t>oc 190</t>
  </si>
  <si>
    <t>oc 194</t>
  </si>
  <si>
    <t>oc 193</t>
  </si>
  <si>
    <t>oc 211</t>
  </si>
  <si>
    <t>Filtro de aire para servicios preventivos</t>
  </si>
  <si>
    <t>B-6 Y RB-6</t>
  </si>
  <si>
    <t>oc 185</t>
  </si>
  <si>
    <t>servicio de mantenimineento preventivo</t>
  </si>
  <si>
    <t>oc 216</t>
  </si>
  <si>
    <t>Servicio de reparacion adicional de b7 enfriador y piezas adicionales necesario para la correcta reparación</t>
  </si>
  <si>
    <t>oc 203</t>
  </si>
  <si>
    <t>Cambio de compresor de mantenedor de aire de unidad, servicio externo</t>
  </si>
  <si>
    <t>Cambio neumaticos</t>
  </si>
  <si>
    <t>oc 204</t>
  </si>
  <si>
    <t>Servicio de cambio de neumaticos x4 continental HCS</t>
  </si>
  <si>
    <t>pagado 2da MITAD</t>
  </si>
  <si>
    <t>oc 197</t>
  </si>
  <si>
    <t>Cambio de baterias en cuartel sexta compañia</t>
  </si>
  <si>
    <t>oc 198</t>
  </si>
  <si>
    <t>Reparacion de fuga de regrigerante por regulador de flujo de calefaccion cabina sanitaria</t>
  </si>
  <si>
    <t>oc 199</t>
  </si>
  <si>
    <t>Visita por fufga de aire, se repara y se hace cambio de valvula AD-9 (purgador de aire)</t>
  </si>
  <si>
    <t>oc 200</t>
  </si>
  <si>
    <t>Servicio de cambio de terminales de dirección de barra larga</t>
  </si>
  <si>
    <t>oc 201</t>
  </si>
  <si>
    <t>Servicio de reparacion cambio de pastillas (4 posiciones) y discos de freno delanteros</t>
  </si>
  <si>
    <t xml:space="preserve"> </t>
  </si>
  <si>
    <t>oc 202</t>
  </si>
  <si>
    <t xml:space="preserve">Servicio de mantenimiento de motor y transmision </t>
  </si>
  <si>
    <t>oc 212</t>
  </si>
  <si>
    <t>revision electrico de B-3 por descargas de baterias,  y cambio de baterias y revision de sensor ckpy cambio de dos sensores</t>
  </si>
  <si>
    <t>Reparacion en terreno</t>
  </si>
  <si>
    <t>oc 214</t>
  </si>
  <si>
    <t>Reparación unidad de comandancia, montaje compresor, bomba direccion, valvulas reg presion, y 4 vias, insumos y repuestos para puesta en marcha</t>
  </si>
  <si>
    <t>oc 213</t>
  </si>
  <si>
    <t>Rescate en terreno de unidad B-10 en estadio de calera, por problema en sistema de aire, instala valvula de 4 vias, por desperfectos</t>
  </si>
  <si>
    <t>oc 210</t>
  </si>
  <si>
    <t>Compra de pulmon de suspension trasero de cabina, el que hoy se encuentra con fuga</t>
  </si>
  <si>
    <t>oc 208</t>
  </si>
  <si>
    <t>Servicio de mantenimineto preventivo, incluye repuestos y mano de obra</t>
  </si>
  <si>
    <t>oc 209</t>
  </si>
  <si>
    <t>IMPLEMENTOS</t>
  </si>
  <si>
    <t>CO-0523534-1</t>
  </si>
  <si>
    <t>oc 220</t>
  </si>
  <si>
    <t>Aceite lubricante para servicio de mantnecion DElvac 1 ATF 19 litros</t>
  </si>
  <si>
    <t>B-4 y Z-6</t>
  </si>
  <si>
    <t>oc 218</t>
  </si>
  <si>
    <t>Kit filtro transmision Allison para unidad</t>
  </si>
  <si>
    <t>2025027641/ 1</t>
  </si>
  <si>
    <t xml:space="preserve">oc 219 </t>
  </si>
  <si>
    <t xml:space="preserve">compra de repuestos manilla puerta y cremallera alzavidrio </t>
  </si>
  <si>
    <t>oc 225</t>
  </si>
  <si>
    <t>oc 224</t>
  </si>
  <si>
    <t>oc 229</t>
  </si>
  <si>
    <t xml:space="preserve">Compra de 2 baterias de 90 amp 12V </t>
  </si>
  <si>
    <t>LS Servicio de Mantenimiento Industrial SPA</t>
  </si>
  <si>
    <t>250808-2</t>
  </si>
  <si>
    <t>oc 231</t>
  </si>
  <si>
    <t>Reparacion externa de sistema electrico BX7, se limpia y se genera nuevo sistema</t>
  </si>
  <si>
    <t>instalacion de presostato luego que se cambiara compresor auxiliar en olitek, estaba malo</t>
  </si>
  <si>
    <t>Rivecar</t>
  </si>
  <si>
    <t>oc 254</t>
  </si>
  <si>
    <t>compra de tambores traseros de 7" americanos</t>
  </si>
  <si>
    <t>oc 238</t>
  </si>
  <si>
    <t xml:space="preserve">filtros mantenimiento preventivo </t>
  </si>
  <si>
    <t>oc 239</t>
  </si>
  <si>
    <t>Filtro mantenimiento transmision</t>
  </si>
  <si>
    <t>oc 240</t>
  </si>
  <si>
    <t xml:space="preserve">compra de empaquetadura tapa de valvulas </t>
  </si>
  <si>
    <t>compra repuestos</t>
  </si>
  <si>
    <t>compra de telecomando de viraje, el que se encuentra con problemas</t>
  </si>
  <si>
    <t>Radiadores Albuerno</t>
  </si>
  <si>
    <t>servicio reparacion</t>
  </si>
  <si>
    <t>Limpieza radiador motor, se logro  extraer la mayor cantidad de impuresas</t>
  </si>
  <si>
    <t>ResuceMotorS710 SPA</t>
  </si>
  <si>
    <t>oc 247</t>
  </si>
  <si>
    <t>Reparacion cortinas B-1</t>
  </si>
  <si>
    <t>compra repuesto</t>
  </si>
  <si>
    <t>oc 250</t>
  </si>
  <si>
    <t>Piola puerta</t>
  </si>
  <si>
    <t>DEcima</t>
  </si>
  <si>
    <t>2025033323/1</t>
  </si>
  <si>
    <t>oc 241</t>
  </si>
  <si>
    <t>Compra kit reparación compresor aire</t>
  </si>
  <si>
    <t>Implementos</t>
  </si>
  <si>
    <t>co-546515-1</t>
  </si>
  <si>
    <t>oc 252</t>
  </si>
  <si>
    <t>compra de aceite de motor para relleno b7 y aceite caja para BX1</t>
  </si>
  <si>
    <t>oc 242</t>
  </si>
  <si>
    <t>Compra repuestos mantenimiento motor</t>
  </si>
  <si>
    <t>251203-1</t>
  </si>
  <si>
    <t xml:space="preserve">compra repuesto </t>
  </si>
  <si>
    <t>oc 251</t>
  </si>
  <si>
    <t>Compra de dos destellantes laterales para termino de reparacion de BX-7</t>
  </si>
  <si>
    <t>Servicio reparacion externa por ajuste parachoque y escape</t>
  </si>
  <si>
    <t>oc 256</t>
  </si>
  <si>
    <t xml:space="preserve">Foco trasero derecho por siniestro en alarma de incendio forestal </t>
  </si>
  <si>
    <t>oc 255</t>
  </si>
  <si>
    <t xml:space="preserve">servicio de regulacion de frenos y engrase chicharras y cardan </t>
  </si>
  <si>
    <t>oc 249</t>
  </si>
  <si>
    <t xml:space="preserve">compra de bateria por desperfecto </t>
  </si>
  <si>
    <t>Car and truck</t>
  </si>
  <si>
    <t>oc 248</t>
  </si>
  <si>
    <t>Compra focos material mayor carros americanos</t>
  </si>
  <si>
    <t>sin</t>
  </si>
  <si>
    <t xml:space="preserve">oc </t>
  </si>
  <si>
    <t xml:space="preserve">Servicio fgrua desde tunel chacabuco hasta 5ta san bernardo </t>
  </si>
  <si>
    <t>SKC RED</t>
  </si>
  <si>
    <t>compra refrigerante</t>
  </si>
  <si>
    <t>oc 262</t>
  </si>
  <si>
    <t>compra tambor de refrigerante motor</t>
  </si>
  <si>
    <t>compra lubricante</t>
  </si>
  <si>
    <t>oc 263</t>
  </si>
  <si>
    <t>compra tambor aceite motor</t>
  </si>
  <si>
    <t>2026001069/ 1</t>
  </si>
  <si>
    <t>compra cremallera puerta trasera derecha</t>
  </si>
  <si>
    <t>OT K-2</t>
  </si>
  <si>
    <t>oc 06</t>
  </si>
  <si>
    <t>Servicio externo de mantenimiento de motor y transmision</t>
  </si>
  <si>
    <t>OT K-10</t>
  </si>
  <si>
    <t>oc 07</t>
  </si>
  <si>
    <t>Servicio externo de mantenimiento de motor</t>
  </si>
  <si>
    <t>OT S-1</t>
  </si>
  <si>
    <t>oc 08</t>
  </si>
  <si>
    <t>oc 04</t>
  </si>
  <si>
    <t>Servicio de cambio de neumatico a rueda de repuesto</t>
  </si>
  <si>
    <t>Servicio alineación</t>
  </si>
  <si>
    <t>oc 18</t>
  </si>
  <si>
    <t xml:space="preserve">Servicio externo de alineacion </t>
  </si>
  <si>
    <t>oc 16</t>
  </si>
  <si>
    <t xml:space="preserve">servicio de reparacion externa de motor primer </t>
  </si>
  <si>
    <t>Servicio de assitencia a domicilio de unidad B-5 por problemas en perdida de aire tecalan transmision</t>
  </si>
  <si>
    <t>oc 26</t>
  </si>
  <si>
    <t xml:space="preserve">Cambio amortiguadores delanteros </t>
  </si>
  <si>
    <t>oc 27</t>
  </si>
  <si>
    <t>Servicio de cambio de pulmones de cabina en taller</t>
  </si>
  <si>
    <t>oc 28</t>
  </si>
  <si>
    <t>Servicio de asistencia en terreno por alza de temperatura, desmontaje y montaje radiador, y servicios de limpieza circuito y cambio de cañeria</t>
  </si>
  <si>
    <t>mantto preventivo</t>
  </si>
  <si>
    <t>Servicio de mantencion motor y transmision, engrase, lavado motor, inspeccion niveles, estado suspension y frenos.</t>
  </si>
  <si>
    <t>oc 29</t>
  </si>
  <si>
    <t>Servicio de mantencion motor y transmision, engrase, lavado motor, inspeccion niveles, estado suspension y reparacion sistema de frenos</t>
  </si>
  <si>
    <t>oc 30</t>
  </si>
  <si>
    <t>Servicio en cuartel general por cambio de baterias</t>
  </si>
  <si>
    <t>Servicio de mantencion motor y transmision, engrase, lavado motor, inspeccion niveles, estado suspension, frenos y servicio de scanner caja y motor.</t>
  </si>
  <si>
    <t>Servicio de mantencion motor y transmision, engrase, lavado motor, inspeccion niveles, estado suspension, frenos y servicio de scanner caja y motor. Reparacion carter caja transferencia e inspeccion de fisura. reparacion de soporte cerradura</t>
  </si>
  <si>
    <t>Servicio de inspeccion en cuartel por alza temperatura, servicio reparacion culatin compresor y reparacion soporte pisaderas.</t>
  </si>
  <si>
    <t>Mantenimiento de motor, reparacion pisadera trasera derecha y cambio llave entrada directa estanque</t>
  </si>
  <si>
    <t>servicio a cuartel por reparacion de encendido de luces exteriores</t>
  </si>
  <si>
    <t>oc 48</t>
  </si>
  <si>
    <t>reparacion motor de arranque, mano de obra por montaje y desmontaje, y gestion.</t>
  </si>
  <si>
    <t>oc 49</t>
  </si>
  <si>
    <t>servicio visita cuartel general por rellno de aceite motor</t>
  </si>
  <si>
    <t>oc 50</t>
  </si>
  <si>
    <t>servicio de reparacion termostato cuerpo de bomba, se fabrica nueva pieza para instalacion</t>
  </si>
  <si>
    <t>oc 51</t>
  </si>
  <si>
    <t xml:space="preserve">servicio de cambio de baterias en cuartel </t>
  </si>
  <si>
    <t>oc 52</t>
  </si>
  <si>
    <t>servicio re cambio focos principales, cambio de balatas x4 meritor</t>
  </si>
  <si>
    <t>oc 53</t>
  </si>
  <si>
    <t>Servicio de cambio de focos principales</t>
  </si>
  <si>
    <t xml:space="preserve">Segunda </t>
  </si>
  <si>
    <t>oc 54</t>
  </si>
  <si>
    <t>oc 55</t>
  </si>
  <si>
    <t>Compra de neumatico para roptura de uno de ellos, se cambian ambas unidades</t>
  </si>
  <si>
    <t xml:space="preserve">Servicio de alineacion </t>
  </si>
  <si>
    <t>cambio de neumaticos delanteros, mas camara y funda interior neuma</t>
  </si>
  <si>
    <t>compra de lubricante de tranmision para cambio</t>
  </si>
  <si>
    <t>Sociedad Emergency132 spa</t>
  </si>
  <si>
    <t xml:space="preserve">Servicio de reparacion de cortinas </t>
  </si>
  <si>
    <t>Reparacion de alternador, mantenimiento motor, transmision y engrase, inspeccion sistemas</t>
  </si>
  <si>
    <t>Servico cambio de baterias unidad B-5</t>
  </si>
  <si>
    <t>Qiuinta</t>
  </si>
  <si>
    <t>engrase chasis, puntos moviles y cuerpo bomba</t>
  </si>
  <si>
    <t>Mantencion motor</t>
  </si>
  <si>
    <t>mantencion motor, revision niveles, engrase, lavado motor, sistema refri, inspeccion visual suspension y frenos</t>
  </si>
  <si>
    <t>limpieza cuerpo de bomba y estanque de agua por exceso de residuos de goma en interior</t>
  </si>
  <si>
    <t>cambio empaquetadura y mangueras por alza temperatura motor, desmontaje, limpieza y montaje radiador</t>
  </si>
  <si>
    <t>cmabio correa ventilador, pulmon de freno 30/30, cambio soporte motor delanteros, servicios con repuestos incluidos.</t>
  </si>
  <si>
    <t>cambio de reten en toma fuerza por perdida de fluido de transmisión (repuesto incluido)</t>
  </si>
  <si>
    <t>cambio de reten en diferencial por perdida de fluido (repuesto incluido) y reparacion perdida de aire</t>
  </si>
  <si>
    <t>cambio de manguera de retorno de combustible por roptura</t>
  </si>
  <si>
    <t>oc</t>
  </si>
  <si>
    <t>Traslado de BX-1 desde San martin a c1</t>
  </si>
  <si>
    <t>oc 108</t>
  </si>
  <si>
    <t xml:space="preserve">Cambio de neumaticos  direccioin y tracción, servicio balanceo y alineacion </t>
  </si>
  <si>
    <t>Sociedad Himelco ltda</t>
  </si>
  <si>
    <t>PR2604-8004</t>
  </si>
  <si>
    <t xml:space="preserve">compra cargador de bateria estacionario para unidades de 12v 10A </t>
  </si>
  <si>
    <t>Porsche inter auto chile spa</t>
  </si>
  <si>
    <t>2026009640/ 1</t>
  </si>
  <si>
    <t xml:space="preserve">kit de mantenimiento motor y transmision + fltros correspondientes </t>
  </si>
  <si>
    <t>2026009641/1</t>
  </si>
  <si>
    <t>oc 107</t>
  </si>
  <si>
    <t xml:space="preserve">reparacion cuerpo de bomba camiva cb90, overhaull completo </t>
  </si>
  <si>
    <t>ploteo unidad completo, eliminacion de ploteo viejo</t>
  </si>
  <si>
    <t>compra de repuestos soporte cardan, kit reparación muñones, rotulas y masa delantera</t>
  </si>
  <si>
    <t>oc 81</t>
  </si>
  <si>
    <t>cambio de neumaticos delanteros por pinchazo en lado derecho + balanceo y alineacion</t>
  </si>
  <si>
    <t>oc 116</t>
  </si>
  <si>
    <t>cambio carcasa caja de transferencia waterous</t>
  </si>
  <si>
    <t>oc 115</t>
  </si>
  <si>
    <t>cambio de aceite y filtro motor, reparacion electrica a a/c y balizas que no encendian</t>
  </si>
  <si>
    <t>reparacion tubo de escape luego de siniestro con cable baja tension en iioo mateo y toro</t>
  </si>
  <si>
    <t>cmabio de valvulas de purga acumuladores de aire en curtel decima (BR-2)</t>
  </si>
  <si>
    <t xml:space="preserve">Comandandia </t>
  </si>
  <si>
    <t>oc 117</t>
  </si>
  <si>
    <t>reparacion pisadera fibra de vidrio, pintura, instalacioón, insumos. (siniestro)</t>
  </si>
  <si>
    <t>reparacion fuga de agua por manguera de retorno estanque-cuerpo de bomba (BR-1)</t>
  </si>
  <si>
    <t>reparacion fuga de aire por asiento conductor</t>
  </si>
  <si>
    <t>desmontaje y montaje neumatico dirección en cuartel, montaje eje palier y llenado de aceite diferencial</t>
  </si>
  <si>
    <t>oc 101</t>
  </si>
  <si>
    <t xml:space="preserve">compra de baterias </t>
  </si>
  <si>
    <t>oc 102</t>
  </si>
  <si>
    <t>oc 103</t>
  </si>
  <si>
    <t xml:space="preserve">baterias de 75amp </t>
  </si>
  <si>
    <t>oc 110</t>
  </si>
  <si>
    <t>servicio de montaje CB90 en unidad, modificacion de manifold, cambio de llaves</t>
  </si>
  <si>
    <t>oc 109</t>
  </si>
  <si>
    <t>reparacion varias, entre ellas estructural, desmontaje de cuerpo de bomba para  inspeccion y mantencion torreta iluminacion</t>
  </si>
  <si>
    <t>FPS Chile SPA</t>
  </si>
  <si>
    <t>027-2026</t>
  </si>
  <si>
    <t>reparacion de unidad B-7, cambio de luces, reparaciones electricas varias, fabricacion soportes, reparacion motor vol/pres</t>
  </si>
  <si>
    <t>oc 121</t>
  </si>
  <si>
    <t xml:space="preserve">735 - </t>
  </si>
  <si>
    <t xml:space="preserve">reparacion bomba, fabricacion eje impulsor, cambio anillo desgaste, anillos macho impulsor, cambio polea bomba cebado, incluye kit reparacion cb180 sello mecanico, rodamientos, retenes, oring, kit reparacion bomba cebado, rodamientos, membranas, reten, eje. </t>
  </si>
  <si>
    <t>oc 122</t>
  </si>
  <si>
    <t>cambio neumaticos direccionales mixto continental crosstrac HS3 315/80R22.5</t>
  </si>
  <si>
    <t>motores de los andes</t>
  </si>
  <si>
    <t>oc 120</t>
  </si>
  <si>
    <t>compra de dos sensores desgaste pastillas frenos traseros</t>
  </si>
  <si>
    <t xml:space="preserve">Sexta </t>
  </si>
  <si>
    <t>oc124</t>
  </si>
  <si>
    <t>compra de baterias para unidad H-0</t>
  </si>
  <si>
    <t>Angela Soledad Muñoz Ibanez</t>
  </si>
  <si>
    <t>reparación de pisadera derecha por choque, reparación fijaciones de parachoque trasera luego de siniestro</t>
  </si>
  <si>
    <t>Godofredo abarca Zuñiga </t>
  </si>
  <si>
    <t>fabricacion paquetes de resortes eje trasero BX-1</t>
  </si>
  <si>
    <t>starclutch</t>
  </si>
  <si>
    <t xml:space="preserve">kit de mantencion </t>
  </si>
  <si>
    <t>stcluatch</t>
  </si>
  <si>
    <t>oc 146</t>
  </si>
  <si>
    <t>oc 163</t>
  </si>
  <si>
    <t>pendiente de oc</t>
  </si>
  <si>
    <t>oc 164</t>
  </si>
  <si>
    <t>Tercero</t>
  </si>
  <si>
    <t>oc 144</t>
  </si>
  <si>
    <t>compra de cremallera para BT-0.</t>
  </si>
  <si>
    <t>compra de cremalleras para unidad B-6, ambas puertas delanteras</t>
  </si>
  <si>
    <t>oc 148</t>
  </si>
  <si>
    <t>compra de cremalleras para unidad RB-6, ambas puertas delanteras</t>
  </si>
  <si>
    <t>FPS CHILE SPA</t>
  </si>
  <si>
    <t>oc 149</t>
  </si>
  <si>
    <t>reparacion de primer, mantencion de motor electrico, cambio paletas de cebado, solenoide, mecanizado y mano de obra</t>
  </si>
  <si>
    <t>oc 150</t>
  </si>
  <si>
    <t xml:space="preserve">cambio de baterias en cuartel </t>
  </si>
  <si>
    <t xml:space="preserve">oc 150 </t>
  </si>
  <si>
    <t>eliminacion de fuga refirgerante por niple en culatin de compresor de aire</t>
  </si>
  <si>
    <t>cambio cremallera electrica alzavidrio puerta delantera izquierda</t>
  </si>
  <si>
    <t>revision de fuga de combustible desde estanque</t>
  </si>
  <si>
    <t>mantencion de motor, cmabio de filtros, revision de fluidos, frenos y engrase de puntos de pivoteo</t>
  </si>
  <si>
    <t>instalacion de luz de patente trasera con tuercas remachadas</t>
  </si>
  <si>
    <t>oc 166</t>
  </si>
  <si>
    <t>Sellado de techo de cabina con aplicación de sellante.</t>
  </si>
  <si>
    <t>oc 167</t>
  </si>
  <si>
    <t>oc 168</t>
  </si>
  <si>
    <t>Cambio de tapas de mazas delanteras.</t>
  </si>
  <si>
    <t>Revision fuga aceite motor</t>
  </si>
  <si>
    <t>oc 170</t>
  </si>
  <si>
    <t>Regulación de frenos y bypass en conversor de balizas y sirena.</t>
  </si>
  <si>
    <t xml:space="preserve">comandancia </t>
  </si>
  <si>
    <t>Diagnóstico del sistema de baterías y alternador, incluyendo reemplazo de batería de arranque.</t>
  </si>
  <si>
    <t xml:space="preserve">reparacion alternador, linea calentador cuerpo de bomba, scanner para eliminacion falla para de emergencia </t>
  </si>
  <si>
    <t>Soldadura fisura manifold cuepro de bomba en soldadura de acero inoxidable</t>
  </si>
  <si>
    <t>oc 179</t>
  </si>
  <si>
    <t>Mantencion de motor unidad de reemplazo, engrase e inspección</t>
  </si>
  <si>
    <t>oc 178</t>
  </si>
  <si>
    <t xml:space="preserve">Mantencion de motor, engrese, lavado motor, eliminacion fugas cuerpo de bomba, cambio de relojes presion CB, reparacion pisadera, manovacuometro </t>
  </si>
  <si>
    <t xml:space="preserve">kit mantencion </t>
  </si>
  <si>
    <t>compra de kit de mantencion transmision Allison</t>
  </si>
  <si>
    <t>BH-1</t>
  </si>
  <si>
    <t xml:space="preserve">compra de un tercer bidon para complementar el que falta en cada caso </t>
  </si>
  <si>
    <t>12607446-532901</t>
  </si>
  <si>
    <t>Compra de turbo compresor unidad por falla en original de fabrica, no se puede reparar</t>
  </si>
  <si>
    <t>GALO PALMA SPA</t>
  </si>
  <si>
    <t xml:space="preserve">sin oc </t>
  </si>
  <si>
    <t xml:space="preserve">servicio grua de unidad B-1 en mariscal y san francisco, por problemas de potenia. llevado a taller directo </t>
  </si>
  <si>
    <t>Cambio de sección de cañería de llenado a estanque por corrosión; suministro de conexiones e insumos.</t>
  </si>
  <si>
    <t>Eliminación de fugas de aire en válvula repartidora de 4 vías y secador de aire; suministro de niplería e insumos.</t>
  </si>
  <si>
    <t>compra de kit mantencion luego de reparación turbo B-1</t>
  </si>
  <si>
    <t>CONTROL</t>
  </si>
  <si>
    <t>HM</t>
  </si>
  <si>
    <t>OBS</t>
  </si>
  <si>
    <t>PROX SERVICIO</t>
  </si>
  <si>
    <t>PREVENTIVO</t>
  </si>
  <si>
    <t>OK</t>
  </si>
  <si>
    <t>mantenimiento se hace cambio de fluido, filtros, engrase y revision del estado en general</t>
  </si>
  <si>
    <t>mantenimiento se hace cambio de fluido, filtros, engrase y revision del estado en general (solo motor)</t>
  </si>
  <si>
    <t>mantenmiento de motor, cambio de fluidos y filtros</t>
  </si>
  <si>
    <t xml:space="preserve">Unidad ingresa a quinta compañia, por lo que su servicio debe realizarse en las proximas fechas futuras </t>
  </si>
  <si>
    <t>Se encuentran listas las balizas. Se detectó un conversor quemado y humedad en la zona eléctrica donde se ubican el módulo y los conversores. Se solicita revisar las condiciones de almacenamiento de dicha zona, a fin de evitar que esta situación vuelva a ocurrir.  Se encontró el tubo de escape perforado, por lo que fue enviado a soldar. Además, se detectó una pequeña perforación en el estanque de petróleo, la cual será reparada. Se realizó mantenimiento de motor.</t>
  </si>
  <si>
    <t xml:space="preserve">Mantenimiento de motor, cambio de lubricante motor y filtros, limpieza de motor en general </t>
  </si>
  <si>
    <t xml:space="preserve">se realiza mantenimiento cambio de lubricante motor, filtros, engrase y revision del estado en general. </t>
  </si>
  <si>
    <t>prEVENTIVO</t>
  </si>
  <si>
    <t>PREVENTIVO BOMBA</t>
  </si>
  <si>
    <t xml:space="preserve">cambio de aceite de cuerpo de bomba luego de cumplidas las horas según manual, cada 50 hrs 10w40 </t>
  </si>
  <si>
    <t>Suma de VALOR</t>
  </si>
  <si>
    <t>(en blanco)</t>
  </si>
  <si>
    <t>Total general</t>
  </si>
  <si>
    <t>Fecha</t>
  </si>
  <si>
    <t xml:space="preserve">Carro </t>
  </si>
  <si>
    <t xml:space="preserve">descripcion </t>
  </si>
  <si>
    <t>Cantidad</t>
  </si>
  <si>
    <t>Baterias 12V 150 amp</t>
  </si>
  <si>
    <t xml:space="preserve">BLANCO </t>
  </si>
  <si>
    <t>BATERIA PREMIUM BY LUCASBLANDFORD 110 AMP PERNO AL CENTRO</t>
  </si>
  <si>
    <t>Lucas Blandford</t>
  </si>
  <si>
    <t xml:space="preserve">baterias </t>
  </si>
  <si>
    <t>BATERIA 12V 100AH 900CCA</t>
  </si>
  <si>
    <t>Cambio De Baterias 2020</t>
  </si>
  <si>
    <t>Cambio De Baterias 2021</t>
  </si>
  <si>
    <t>Cambio baterias de 170 AMP</t>
  </si>
  <si>
    <t>Carro</t>
  </si>
  <si>
    <t>Tipo Bateria</t>
  </si>
  <si>
    <t>170 AMP</t>
  </si>
  <si>
    <t>H-5</t>
  </si>
  <si>
    <t>cambio baterias 225AMP - SMF225H52</t>
  </si>
  <si>
    <t>cambio de bateria 100amop</t>
  </si>
  <si>
    <t>225 AMP</t>
  </si>
  <si>
    <t>BATERIA PREMIUM BY LUCASBLANDFORD 110 AMP PERNO AL CENTRO X6</t>
  </si>
  <si>
    <t>J-6</t>
  </si>
  <si>
    <t>90 AMP</t>
  </si>
  <si>
    <t>170 amp</t>
  </si>
  <si>
    <t>Cambio De Baterias 2022</t>
  </si>
  <si>
    <t>BATERIA PREMIUM BY LUCASBLANDFORD 180 AMP BOR... X2</t>
  </si>
  <si>
    <t>TP4DLT-1155 BATERIA TOPOWER 170 AMP 1155CCA BORNE STD x2</t>
  </si>
  <si>
    <t>100 amp / 900cca</t>
  </si>
  <si>
    <t>BATERIA PREMIUM BY LUCASBLANDFORD 200 AMP BOR...</t>
  </si>
  <si>
    <t>150 amp</t>
  </si>
  <si>
    <t>BATERIA PREMIUM BY LUCASBLANDFORD 88 AMP BORN...</t>
  </si>
  <si>
    <t>170 amp (ex bs1)</t>
  </si>
  <si>
    <t>Baterias 12V 90 AMP Truckstar borne standar</t>
  </si>
  <si>
    <t>cambio de bateria 75AMP</t>
  </si>
  <si>
    <t xml:space="preserve">DEPARTAMENTO DE MATERIAL MAYOR C.B.S.B. </t>
  </si>
  <si>
    <t>CARRO</t>
  </si>
  <si>
    <t>MARCA</t>
  </si>
  <si>
    <t>MODELO</t>
  </si>
  <si>
    <t>N° MOTOR</t>
  </si>
  <si>
    <t>N° VIN</t>
  </si>
  <si>
    <t>PATENTE</t>
  </si>
  <si>
    <t>REV TEC</t>
  </si>
  <si>
    <t>1ra</t>
  </si>
  <si>
    <t>RENAULT</t>
  </si>
  <si>
    <t>MIDLUM 270</t>
  </si>
  <si>
    <t>83M0716157</t>
  </si>
  <si>
    <t>VF645ACA000010158</t>
  </si>
  <si>
    <t>MX4340</t>
  </si>
  <si>
    <t>PIERCE</t>
  </si>
  <si>
    <t>LANCE AUT</t>
  </si>
  <si>
    <t>06R0386768</t>
  </si>
  <si>
    <t>4P1CT02S2WA000286</t>
  </si>
  <si>
    <t>KXZJ52</t>
  </si>
  <si>
    <t>RB-1</t>
  </si>
  <si>
    <t>SPARTAN</t>
  </si>
  <si>
    <t>GLADIATOR</t>
  </si>
  <si>
    <t>4S7AU34982C042449</t>
  </si>
  <si>
    <t>TGYX97</t>
  </si>
  <si>
    <t>IVECO</t>
  </si>
  <si>
    <t>EPS30</t>
  </si>
  <si>
    <t>ZCFA1MM1302531096</t>
  </si>
  <si>
    <t>BYTP60</t>
  </si>
  <si>
    <t>2da</t>
  </si>
  <si>
    <t>CRIMSON</t>
  </si>
  <si>
    <t>SPARTAN METRO</t>
  </si>
  <si>
    <t>457CT2B90BC074482</t>
  </si>
  <si>
    <t>DRDT58</t>
  </si>
  <si>
    <t>MERCEDEN BENZ</t>
  </si>
  <si>
    <t>ATEGO 1630</t>
  </si>
  <si>
    <t>936910C0193544</t>
  </si>
  <si>
    <t>WDB967607L0421597</t>
  </si>
  <si>
    <t>LZRK59</t>
  </si>
  <si>
    <t>3ra</t>
  </si>
  <si>
    <t>METRO STAR</t>
  </si>
  <si>
    <t>4S7CT2D99FC078968</t>
  </si>
  <si>
    <t>HHLR78</t>
  </si>
  <si>
    <t>KME</t>
  </si>
  <si>
    <t>PREDATOR 8900</t>
  </si>
  <si>
    <t>1F9704921NH140015</t>
  </si>
  <si>
    <t>TGYK82</t>
  </si>
  <si>
    <t>4S7CU2D98HC082140</t>
  </si>
  <si>
    <t>JJXS11</t>
  </si>
  <si>
    <t>4S7CT2D97CC074669</t>
  </si>
  <si>
    <t>DSFK72</t>
  </si>
  <si>
    <t>08VF159955</t>
  </si>
  <si>
    <t>4P1CT02G6RA000226</t>
  </si>
  <si>
    <t>KXHJ41</t>
  </si>
  <si>
    <t>CHEVROLET</t>
  </si>
  <si>
    <t>SILVERADO</t>
  </si>
  <si>
    <t>L84TSG328094</t>
  </si>
  <si>
    <t>3GCUK9ED4SG328094</t>
  </si>
  <si>
    <t>TGYX77</t>
  </si>
  <si>
    <t>HOMOLOGADA</t>
  </si>
  <si>
    <t>5ta</t>
  </si>
  <si>
    <t>MAN</t>
  </si>
  <si>
    <t>TMG 18340 4X4</t>
  </si>
  <si>
    <t>WMAN38ZZ4LY410533</t>
  </si>
  <si>
    <t>LZRK58</t>
  </si>
  <si>
    <t xml:space="preserve">
25-03-2026</t>
  </si>
  <si>
    <t>TGM 13290 4X4</t>
  </si>
  <si>
    <t>WMAN37ZZ4DY296898</t>
  </si>
  <si>
    <t>GCCK58</t>
  </si>
  <si>
    <t>carro</t>
  </si>
  <si>
    <t>HECHIZO</t>
  </si>
  <si>
    <t>IJH997</t>
  </si>
  <si>
    <t>UTV</t>
  </si>
  <si>
    <t>CFMOTO</t>
  </si>
  <si>
    <t>U10 PRO</t>
  </si>
  <si>
    <t>6ta</t>
  </si>
  <si>
    <t>MAGIRUS</t>
  </si>
  <si>
    <t>ZCFA1MM1402604919</t>
  </si>
  <si>
    <t>HGCC51</t>
  </si>
  <si>
    <t>ZCFA1MM1402669248</t>
  </si>
  <si>
    <t>LJKT72</t>
  </si>
  <si>
    <t>FREIGHTLINER</t>
  </si>
  <si>
    <t>M2 106</t>
  </si>
  <si>
    <t>926810C1079886</t>
  </si>
  <si>
    <t>3ALHCYDJ6FDGN9980</t>
  </si>
  <si>
    <t>GXTG21</t>
  </si>
  <si>
    <t>7ma</t>
  </si>
  <si>
    <t>LANCE</t>
  </si>
  <si>
    <t>PBV18234</t>
  </si>
  <si>
    <t>1P9J02J8HA040283</t>
  </si>
  <si>
    <t>DJDY46</t>
  </si>
  <si>
    <t>ZCFA1MM1402626534</t>
  </si>
  <si>
    <t>HCPC30</t>
  </si>
  <si>
    <t>FORD</t>
  </si>
  <si>
    <t>RANGER</t>
  </si>
  <si>
    <t>P02XSJ425872</t>
  </si>
  <si>
    <t>8AFBR00EXSJ425872</t>
  </si>
  <si>
    <t>TGYR-48</t>
  </si>
  <si>
    <t>8va</t>
  </si>
  <si>
    <t>MIDLUM 210</t>
  </si>
  <si>
    <t>83M0612415</t>
  </si>
  <si>
    <t>VFGACA000007978</t>
  </si>
  <si>
    <t>YB1352</t>
  </si>
  <si>
    <t>FPT PREMIUM</t>
  </si>
  <si>
    <t>83M0300673</t>
  </si>
  <si>
    <t>VF622AXA0P0000043</t>
  </si>
  <si>
    <t>TE5085</t>
  </si>
  <si>
    <t>NISSAN</t>
  </si>
  <si>
    <t>NP300</t>
  </si>
  <si>
    <t>YS23B26600C032563</t>
  </si>
  <si>
    <t>3N6BD33B6KK811967</t>
  </si>
  <si>
    <t>LPDG53</t>
  </si>
  <si>
    <t>ME 160.13</t>
  </si>
  <si>
    <t>83M0300278</t>
  </si>
  <si>
    <t>VF6JE13AC00008154</t>
  </si>
  <si>
    <t>TD4995</t>
  </si>
  <si>
    <t>ME160-13</t>
  </si>
  <si>
    <t>83M0298666</t>
  </si>
  <si>
    <t>VF6JE13AC00008145</t>
  </si>
  <si>
    <t>TD4986</t>
  </si>
  <si>
    <t>NKR 612</t>
  </si>
  <si>
    <t>4JJ11A8212</t>
  </si>
  <si>
    <t>JAANMR85HE7100564</t>
  </si>
  <si>
    <t>HFXR50</t>
  </si>
  <si>
    <t>KIA</t>
  </si>
  <si>
    <t>SPORTGE</t>
  </si>
  <si>
    <t>D4HAFA236913</t>
  </si>
  <si>
    <t>KNAPB813AF7761844</t>
  </si>
  <si>
    <t>HHHV15</t>
  </si>
  <si>
    <t>YS23B26600C033050</t>
  </si>
  <si>
    <t>3N6BD33B6KK812598</t>
  </si>
  <si>
    <t>LPDG54</t>
  </si>
  <si>
    <t>SPRINTER</t>
  </si>
  <si>
    <t>651955W0058811</t>
  </si>
  <si>
    <t>8AC906633GE121007</t>
  </si>
  <si>
    <t>KBXJ73</t>
  </si>
  <si>
    <t>PEUGEOT</t>
  </si>
  <si>
    <t>BOXER</t>
  </si>
  <si>
    <t>10TRJ40612422</t>
  </si>
  <si>
    <t>VF3YBSMFB12315722</t>
  </si>
  <si>
    <t>FSDS90</t>
  </si>
  <si>
    <t xml:space="preserve">TRAKKER 500 </t>
  </si>
  <si>
    <t>WJME2NUS40C437691</t>
  </si>
  <si>
    <t>RJKY14</t>
  </si>
  <si>
    <t>HYUNDAI</t>
  </si>
  <si>
    <t>COUNTY</t>
  </si>
  <si>
    <t>D4DDC508556</t>
  </si>
  <si>
    <t>KMJHG17PPCC055718</t>
  </si>
  <si>
    <t>DVCC75</t>
  </si>
  <si>
    <t xml:space="preserve">  </t>
  </si>
  <si>
    <t>Adicional</t>
  </si>
  <si>
    <t xml:space="preserve">modelo </t>
  </si>
  <si>
    <t xml:space="preserve">HORA MOTOR ULTIMO MANTTO </t>
  </si>
  <si>
    <t xml:space="preserve">FECHA UILTMO CAMBIO </t>
  </si>
  <si>
    <t xml:space="preserve">ULTIMO KM </t>
  </si>
  <si>
    <t>Horometro</t>
  </si>
  <si>
    <t xml:space="preserve">PROX MANTTO </t>
  </si>
  <si>
    <t>HD4060P</t>
  </si>
  <si>
    <t>11D14 TIDA</t>
  </si>
  <si>
    <t>EVS 3000</t>
  </si>
  <si>
    <t>14J18 TIDA</t>
  </si>
  <si>
    <t>PREVENTIVO 2021</t>
  </si>
  <si>
    <t>KILOMETROS</t>
  </si>
  <si>
    <t>HORA MOTOR</t>
  </si>
  <si>
    <t>Cambio Baterias</t>
  </si>
  <si>
    <t>MIDLUM 310</t>
  </si>
  <si>
    <t>4489,5</t>
  </si>
  <si>
    <t>TMG 340 4X4</t>
  </si>
  <si>
    <t>VFGJE13AC00008145</t>
  </si>
  <si>
    <t>Z-0</t>
  </si>
  <si>
    <t>PREVENTIVO 2022</t>
  </si>
  <si>
    <t>Pendiente</t>
  </si>
  <si>
    <t xml:space="preserve">UNIDAD </t>
  </si>
  <si>
    <t xml:space="preserve">DETALLE </t>
  </si>
  <si>
    <t>INST. K/SELLOS VALVULAS AKRON (desmontaje,desarme,lavado,lubricacion,armado, montaje), VALVULA HEAVY DUTY 3" AKRON, KIT DE BOLA ACERADA</t>
  </si>
  <si>
    <t>Cambio de asiento y velvulas de bajadas de estanque 3" y retorno en 2" originales Akron Brass</t>
  </si>
  <si>
    <t xml:space="preserve">Cambio de kit de reparacion valvula 3" entrada trasera akron brass </t>
  </si>
  <si>
    <t>Unidad</t>
  </si>
  <si>
    <t>Modelo</t>
  </si>
  <si>
    <t>Direccionales</t>
  </si>
  <si>
    <t>Marca</t>
  </si>
  <si>
    <t>Traccionales</t>
  </si>
  <si>
    <t>Marca2</t>
  </si>
  <si>
    <t xml:space="preserve">Fecha de intalacion </t>
  </si>
  <si>
    <t>Fecha de vencimiento</t>
  </si>
  <si>
    <t>Toyo</t>
  </si>
  <si>
    <t>425/65 R22.5 165K</t>
  </si>
  <si>
    <t>4 315/80 R22.5 18PR</t>
  </si>
  <si>
    <t xml:space="preserve">25/03/2026 solo direccion </t>
  </si>
  <si>
    <t xml:space="preserve">12 R22.5 150K </t>
  </si>
  <si>
    <t>12 R22.5 150K</t>
  </si>
  <si>
    <t>29/04/2026 completo</t>
  </si>
  <si>
    <t>Continental</t>
  </si>
  <si>
    <t>315/80R22.5</t>
  </si>
  <si>
    <t xml:space="preserve">01/05/2026 solo direccion </t>
  </si>
  <si>
    <t>PREVENTIVO 2023</t>
  </si>
  <si>
    <t>PREVENTIVO 2024</t>
  </si>
  <si>
    <t>PREVENTIVO 2025</t>
  </si>
  <si>
    <t>Preventivo 2026</t>
  </si>
  <si>
    <t xml:space="preserve">KM </t>
  </si>
  <si>
    <t>Hora Motor</t>
  </si>
  <si>
    <t>PROXIMO SERVICIO HM</t>
  </si>
  <si>
    <t>EUROPEO</t>
  </si>
  <si>
    <t xml:space="preserve">pendiente </t>
  </si>
  <si>
    <t>AMERICANO</t>
  </si>
  <si>
    <t>PENDIENTE</t>
  </si>
  <si>
    <r>
      <rPr>
        <b/>
        <sz val="11"/>
        <color rgb="FF375623"/>
        <rFont val="Calibri"/>
      </rPr>
      <t>Noviembre 2025</t>
    </r>
    <r>
      <rPr>
        <sz val="11"/>
        <color rgb="FF375623"/>
        <rFont val="Calibri"/>
      </rPr>
      <t xml:space="preserve"> </t>
    </r>
    <r>
      <rPr>
        <b/>
        <sz val="11"/>
        <color rgb="FF375623"/>
        <rFont val="Calibri"/>
      </rPr>
      <t>KM 100245 hm 6694</t>
    </r>
  </si>
  <si>
    <t>ok</t>
  </si>
  <si>
    <t>PROXIMO</t>
  </si>
  <si>
    <t>proximo</t>
  </si>
  <si>
    <t>Mayor 2026</t>
  </si>
  <si>
    <t>3900 hoy 08-05</t>
  </si>
  <si>
    <t>pendiente</t>
  </si>
  <si>
    <t xml:space="preserve">vehiculo nuevo </t>
  </si>
  <si>
    <t>CAMIONETA</t>
  </si>
  <si>
    <t>FURGON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</si>
</sst>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quot;$&quot;* #,##0_ ;_ &quot;$&quot;* \-#,##0_ ;_ &quot;$&quot;* &quot;-&quot;_ ;_ @_ "/>
    <numFmt numFmtId="165" formatCode="dd&quot;-&quot;mm&quot;-&quot;yyyy"/>
    <numFmt numFmtId="166" formatCode="dd\-mm\-yyyy"/>
    <numFmt numFmtId="167" formatCode="mmmm\ yyyy"/>
    <numFmt numFmtId="168" formatCode="mmm\ yyyy"/>
    <numFmt numFmtId="169" formatCode="_ [$$-340A]* #,##0_ ;_ [$$-340A]* \-#,##0_ ;_ [$$-340A]* &quot;-&quot;_ ;_ @_ "/>
    <numFmt numFmtId="170" formatCode="_ [$$-340A]* #,##0_ ;_ [$$-340A]* \-#,##0_ ;_ [$$-340A]* &quot;-&quot;??_ ;_ @_ "/>
  </numFmts>
  <fonts count="29">
    <font>
      <sz val="11"/>
      <color theme="1"/>
      <name val="Calibri"/>
      <scheme val="minor"/>
    </font>
    <font>
      <sz val="10"/>
      <color theme="1"/>
      <name val="Calibri"/>
      <scheme val="minor"/>
    </font>
    <font>
      <b/>
      <u/>
      <sz val="11"/>
      <color theme="1"/>
      <name val="Calibri"/>
      <scheme val="minor"/>
    </font>
    <font>
      <b/>
      <sz val="11"/>
      <color theme="1"/>
      <name val="Calibri"/>
      <scheme val="minor"/>
    </font>
    <font>
      <sz val="11"/>
      <color rgb="FF000000"/>
      <name val="Calibri"/>
      <scheme val="minor"/>
    </font>
    <font>
      <b/>
      <sz val="11"/>
      <color rgb="FFFFFFFF"/>
      <name val="Calibri"/>
      <scheme val="minor"/>
    </font>
    <font>
      <sz val="11"/>
      <color theme="1"/>
      <name val="Calibri"/>
      <scheme val="minor"/>
    </font>
    <font>
      <sz val="11"/>
      <name val="Calibri"/>
    </font>
    <font>
      <sz val="11"/>
      <color theme="9" tint="-0.499984740745262"/>
      <name val="Calibri"/>
      <scheme val="minor"/>
    </font>
    <font>
      <b/>
      <sz val="11"/>
      <color theme="0"/>
      <name val="Calibri"/>
      <family val="2"/>
      <scheme val="minor"/>
    </font>
    <font>
      <sz val="10"/>
      <color theme="1"/>
      <name val="Arial"/>
      <charset val="1"/>
    </font>
    <font>
      <sz val="11"/>
      <color rgb="FF002060"/>
      <name val="Calibri"/>
      <scheme val="minor"/>
    </font>
    <font>
      <u/>
      <sz val="11"/>
      <color theme="10"/>
      <name val="Calibri"/>
      <scheme val="minor"/>
    </font>
    <font>
      <sz val="11"/>
      <color rgb="FFC00000"/>
      <name val="Calibri"/>
      <family val="2"/>
      <scheme val="minor"/>
    </font>
    <font>
      <sz val="11"/>
      <color theme="7" tint="-0.249977111117893"/>
      <name val="Calibri"/>
      <family val="2"/>
      <scheme val="minor"/>
    </font>
    <font>
      <sz val="11"/>
      <color rgb="FFC00000"/>
      <name val="Calibri"/>
      <scheme val="minor"/>
    </font>
    <font>
      <sz val="11"/>
      <color rgb="FF000000"/>
      <name val="Calibri"/>
    </font>
    <font>
      <sz val="12"/>
      <color rgb="FF000000"/>
      <name val="Aptos"/>
      <charset val="1"/>
    </font>
    <font>
      <b/>
      <sz val="11"/>
      <color rgb="FF000000"/>
      <name val="Calibri"/>
      <scheme val="minor"/>
    </font>
    <font>
      <b/>
      <sz val="11"/>
      <color rgb="FFC00000"/>
      <name val="Calibri"/>
      <scheme val="minor"/>
    </font>
    <font>
      <sz val="10"/>
      <color rgb="FF0000FF"/>
      <name val="Arial"/>
      <family val="2"/>
    </font>
    <font>
      <sz val="11"/>
      <color rgb="FF375623"/>
      <name val="Calibri"/>
    </font>
    <font>
      <b/>
      <sz val="11"/>
      <color rgb="FF375623"/>
      <name val="Calibri"/>
    </font>
    <font>
      <sz val="16"/>
      <color theme="1"/>
      <name val="Calibri"/>
      <scheme val="minor"/>
    </font>
    <font>
      <b/>
      <sz val="16"/>
      <color theme="1"/>
      <name val="Calibri"/>
      <scheme val="minor"/>
    </font>
    <font>
      <b/>
      <sz val="16"/>
      <color theme="0"/>
      <name val="Calibri"/>
      <scheme val="minor"/>
    </font>
    <font>
      <b/>
      <sz val="11"/>
      <color theme="0"/>
      <name val="Calibri"/>
      <scheme val="minor"/>
    </font>
    <font>
      <sz val="11"/>
      <color rgb="FF992E2E"/>
      <name val="Calibri"/>
      <scheme val="minor"/>
    </font>
    <font>
      <sz val="12"/>
      <color theme="1"/>
      <name val="Aptos"/>
      <charset val="1"/>
    </font>
  </fonts>
  <fills count="33">
    <fill>
      <patternFill patternType="none"/>
    </fill>
    <fill>
      <patternFill patternType="gray125"/>
    </fill>
    <fill>
      <patternFill patternType="solid">
        <fgColor rgb="FFF7CAAC"/>
        <bgColor rgb="FFF7CAAC"/>
      </patternFill>
    </fill>
    <fill>
      <patternFill patternType="solid">
        <fgColor rgb="FFC00000"/>
        <bgColor rgb="FFC00000"/>
      </patternFill>
    </fill>
    <fill>
      <patternFill patternType="solid">
        <fgColor rgb="FF2E75B5"/>
        <bgColor rgb="FF2E75B5"/>
      </patternFill>
    </fill>
    <fill>
      <patternFill patternType="solid">
        <fgColor rgb="FF00B050"/>
        <bgColor rgb="FF00B050"/>
      </patternFill>
    </fill>
    <fill>
      <patternFill patternType="solid">
        <fgColor rgb="FF0000FF"/>
        <bgColor rgb="FF0000FF"/>
      </patternFill>
    </fill>
    <fill>
      <patternFill patternType="solid">
        <fgColor rgb="FFFF0000"/>
        <bgColor rgb="FFFF0000"/>
      </patternFill>
    </fill>
    <fill>
      <patternFill patternType="solid">
        <fgColor rgb="FF134F5C"/>
        <bgColor rgb="FF134F5C"/>
      </patternFill>
    </fill>
    <fill>
      <patternFill patternType="solid">
        <fgColor rgb="FF000000"/>
        <bgColor rgb="FF000000"/>
      </patternFill>
    </fill>
    <fill>
      <patternFill patternType="solid">
        <fgColor rgb="FFBDD6EE"/>
        <bgColor rgb="FFBDD6EE"/>
      </patternFill>
    </fill>
    <fill>
      <patternFill patternType="solid">
        <fgColor rgb="FFFFFF00"/>
        <bgColor rgb="FFFFFF00"/>
      </patternFill>
    </fill>
    <fill>
      <patternFill patternType="solid">
        <fgColor rgb="FF0070C0"/>
        <bgColor rgb="FF0070C0"/>
      </patternFill>
    </fill>
    <fill>
      <patternFill patternType="solid">
        <fgColor rgb="FF1E4E79"/>
        <bgColor rgb="FF1E4E79"/>
      </patternFill>
    </fill>
    <fill>
      <patternFill patternType="solid">
        <fgColor rgb="FFBF9000"/>
        <bgColor rgb="FFBF9000"/>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rgb="FFC00000"/>
        <bgColor indexed="64"/>
      </patternFill>
    </fill>
    <fill>
      <patternFill patternType="solid">
        <fgColor rgb="FFFCE5CD"/>
        <bgColor indexed="64"/>
      </patternFill>
    </fill>
    <fill>
      <patternFill patternType="solid">
        <fgColor rgb="FFEAD1DC"/>
        <bgColor indexed="64"/>
      </patternFill>
    </fill>
    <fill>
      <patternFill patternType="solid">
        <fgColor rgb="FFE06666"/>
        <bgColor indexed="64"/>
      </patternFill>
    </fill>
    <fill>
      <patternFill patternType="solid">
        <fgColor theme="4" tint="0.39997558519241921"/>
        <bgColor indexed="64"/>
      </patternFill>
    </fill>
    <fill>
      <patternFill patternType="solid">
        <fgColor theme="1"/>
        <bgColor theme="1"/>
      </patternFill>
    </fill>
    <fill>
      <patternFill patternType="solid">
        <fgColor rgb="FFFFCCCC"/>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FF"/>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rgb="FFFF7878"/>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right style="thin">
        <color rgb="FF000000"/>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top style="thin">
        <color rgb="FF000000"/>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right style="thin">
        <color rgb="FF000000"/>
      </right>
      <top style="thin">
        <color rgb="FFCCCCCC"/>
      </top>
      <bottom style="thin">
        <color rgb="FFCCCCCC"/>
      </bottom>
      <diagonal/>
    </border>
    <border>
      <left style="thin">
        <color theme="1"/>
      </left>
      <right/>
      <top style="thin">
        <color theme="1"/>
      </top>
      <bottom/>
      <diagonal/>
    </border>
    <border>
      <left/>
      <right/>
      <top style="thin">
        <color theme="1"/>
      </top>
      <bottom/>
      <diagonal/>
    </border>
    <border>
      <left style="thin">
        <color indexed="64"/>
      </left>
      <right/>
      <top style="thin">
        <color indexed="64"/>
      </top>
      <bottom/>
      <diagonal/>
    </border>
    <border>
      <left/>
      <right style="thin">
        <color rgb="FF000000"/>
      </right>
      <top style="thin">
        <color rgb="FF000000"/>
      </top>
      <bottom/>
      <diagonal/>
    </border>
    <border>
      <left style="thin">
        <color rgb="FF000000"/>
      </left>
      <right/>
      <top style="thin">
        <color theme="1"/>
      </top>
      <bottom/>
      <diagonal/>
    </border>
    <border>
      <left style="thin">
        <color theme="1"/>
      </left>
      <right/>
      <top style="thin">
        <color indexed="64"/>
      </top>
      <bottom/>
      <diagonal/>
    </border>
    <border>
      <left style="thin">
        <color indexed="64"/>
      </left>
      <right/>
      <top style="thin">
        <color theme="1"/>
      </top>
      <bottom/>
      <diagonal/>
    </border>
    <border>
      <left style="thin">
        <color theme="1"/>
      </left>
      <right/>
      <top style="thin">
        <color rgb="FF000000"/>
      </top>
      <bottom/>
      <diagonal/>
    </border>
    <border>
      <left style="thin">
        <color indexed="64"/>
      </left>
      <right/>
      <top style="thin">
        <color rgb="FF000000"/>
      </top>
      <bottom/>
      <diagonal/>
    </border>
    <border>
      <left style="thin">
        <color rgb="FF000000"/>
      </left>
      <right/>
      <top style="thin">
        <color auto="1"/>
      </top>
      <bottom/>
      <diagonal/>
    </border>
    <border>
      <left style="thin">
        <color theme="1"/>
      </left>
      <right/>
      <top style="thin">
        <color rgb="FF000000"/>
      </top>
      <bottom style="thin">
        <color rgb="FF000000"/>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right style="thin">
        <color rgb="FF000000"/>
      </right>
      <top/>
      <bottom/>
      <diagonal/>
    </border>
  </borders>
  <cellStyleXfs count="2">
    <xf numFmtId="0" fontId="0" fillId="0" borderId="0"/>
    <xf numFmtId="0" fontId="12" fillId="0" borderId="0" applyNumberFormat="0" applyFill="0" applyBorder="0" applyAlignment="0" applyProtection="0"/>
  </cellStyleXfs>
  <cellXfs count="277">
    <xf numFmtId="0" fontId="0" fillId="0" borderId="0" xfId="0"/>
    <xf numFmtId="0" fontId="1" fillId="0" borderId="0" xfId="0" applyFont="1"/>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xf numFmtId="0" fontId="4" fillId="0" borderId="1" xfId="0" applyFont="1" applyBorder="1" applyAlignment="1">
      <alignment horizontal="center"/>
    </xf>
    <xf numFmtId="0" fontId="4" fillId="0" borderId="0" xfId="0" applyFont="1" applyAlignment="1">
      <alignment horizontal="center" vertical="center"/>
    </xf>
    <xf numFmtId="1" fontId="4" fillId="0" borderId="0" xfId="0" applyNumberFormat="1" applyFont="1" applyAlignment="1">
      <alignment horizontal="center" vertical="center"/>
    </xf>
    <xf numFmtId="0" fontId="4" fillId="0" borderId="0" xfId="0" applyFont="1" applyAlignment="1">
      <alignment horizontal="center"/>
    </xf>
    <xf numFmtId="0" fontId="0" fillId="0" borderId="1" xfId="0" applyBorder="1" applyAlignment="1">
      <alignment horizontal="left"/>
    </xf>
    <xf numFmtId="0" fontId="0" fillId="0" borderId="1" xfId="0" applyBorder="1" applyAlignment="1">
      <alignment horizontal="center"/>
    </xf>
    <xf numFmtId="0" fontId="4" fillId="0" borderId="1" xfId="0" applyFont="1" applyBorder="1" applyAlignment="1">
      <alignment horizontal="center" vertical="center"/>
    </xf>
    <xf numFmtId="0" fontId="6" fillId="0" borderId="1" xfId="0" applyFont="1" applyBorder="1" applyAlignment="1">
      <alignment horizontal="center"/>
    </xf>
    <xf numFmtId="0" fontId="6" fillId="0" borderId="1" xfId="0" applyFont="1" applyBorder="1"/>
    <xf numFmtId="0" fontId="3" fillId="2" borderId="1" xfId="0" applyFont="1" applyFill="1" applyBorder="1" applyAlignment="1">
      <alignment horizontal="right" vertical="center"/>
    </xf>
    <xf numFmtId="167" fontId="6" fillId="0" borderId="1" xfId="0" applyNumberFormat="1" applyFont="1" applyBorder="1"/>
    <xf numFmtId="0" fontId="6" fillId="0" borderId="0" xfId="0" applyFont="1" applyAlignment="1">
      <alignment horizontal="right"/>
    </xf>
    <xf numFmtId="166" fontId="6" fillId="0" borderId="1" xfId="0" applyNumberFormat="1" applyFont="1" applyBorder="1"/>
    <xf numFmtId="14" fontId="0" fillId="0" borderId="1" xfId="0" applyNumberFormat="1" applyBorder="1"/>
    <xf numFmtId="0" fontId="0" fillId="14" borderId="1" xfId="0" applyFill="1" applyBorder="1" applyAlignment="1">
      <alignment horizontal="center" vertical="center"/>
    </xf>
    <xf numFmtId="0" fontId="0" fillId="10" borderId="1" xfId="0" applyFill="1" applyBorder="1" applyAlignment="1">
      <alignment horizontal="center" vertical="center"/>
    </xf>
    <xf numFmtId="168" fontId="0" fillId="0" borderId="1" xfId="0" applyNumberFormat="1" applyBorder="1" applyAlignment="1">
      <alignment horizontal="right"/>
    </xf>
    <xf numFmtId="0" fontId="4" fillId="0" borderId="5" xfId="0" applyFont="1" applyBorder="1" applyAlignment="1">
      <alignment horizontal="center"/>
    </xf>
    <xf numFmtId="1" fontId="4" fillId="0" borderId="1" xfId="0" applyNumberFormat="1" applyFont="1"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4" fillId="0" borderId="4" xfId="0" applyFont="1" applyBorder="1" applyAlignment="1">
      <alignment horizontal="center"/>
    </xf>
    <xf numFmtId="0" fontId="0" fillId="0" borderId="4" xfId="0" applyBorder="1" applyAlignment="1">
      <alignment horizontal="center" vertical="center"/>
    </xf>
    <xf numFmtId="0" fontId="0" fillId="0" borderId="2" xfId="0" applyBorder="1" applyAlignment="1">
      <alignment horizontal="left" vertical="center"/>
    </xf>
    <xf numFmtId="0" fontId="4" fillId="0" borderId="2" xfId="0" applyFont="1" applyBorder="1" applyAlignment="1">
      <alignment horizontal="center"/>
    </xf>
    <xf numFmtId="0" fontId="0" fillId="0" borderId="2" xfId="0" applyBorder="1"/>
    <xf numFmtId="0" fontId="4" fillId="0" borderId="2" xfId="0" applyFont="1" applyBorder="1" applyAlignment="1">
      <alignment horizontal="center" vertical="center"/>
    </xf>
    <xf numFmtId="0" fontId="0" fillId="0" borderId="4" xfId="0" applyBorder="1" applyAlignment="1">
      <alignment horizontal="left" vertical="center"/>
    </xf>
    <xf numFmtId="0" fontId="0" fillId="0" borderId="3" xfId="0" applyBorder="1" applyAlignment="1">
      <alignment horizontal="center" vertical="center"/>
    </xf>
    <xf numFmtId="0" fontId="0" fillId="0" borderId="3" xfId="0" applyBorder="1" applyAlignment="1">
      <alignment horizontal="left"/>
    </xf>
    <xf numFmtId="0" fontId="0" fillId="0" borderId="3" xfId="0" applyBorder="1" applyAlignment="1">
      <alignment horizontal="center"/>
    </xf>
    <xf numFmtId="0" fontId="0" fillId="0" borderId="4" xfId="0" applyBorder="1" applyAlignment="1">
      <alignment horizontal="left"/>
    </xf>
    <xf numFmtId="0" fontId="0" fillId="0" borderId="4" xfId="0" applyBorder="1" applyAlignment="1">
      <alignment horizontal="center"/>
    </xf>
    <xf numFmtId="167" fontId="6" fillId="0" borderId="5" xfId="0" applyNumberFormat="1" applyFont="1" applyBorder="1" applyAlignment="1">
      <alignment horizontal="right"/>
    </xf>
    <xf numFmtId="165" fontId="0" fillId="0" borderId="8" xfId="0" applyNumberFormat="1" applyBorder="1" applyAlignment="1">
      <alignment horizontal="center" vertical="center"/>
    </xf>
    <xf numFmtId="0" fontId="3" fillId="2" borderId="2" xfId="0" applyFont="1" applyFill="1" applyBorder="1" applyAlignment="1">
      <alignment horizontal="center" vertical="center"/>
    </xf>
    <xf numFmtId="167" fontId="8" fillId="15" borderId="1" xfId="0" applyNumberFormat="1" applyFont="1" applyFill="1" applyBorder="1"/>
    <xf numFmtId="0" fontId="3" fillId="2" borderId="0" xfId="0" applyFont="1" applyFill="1" applyAlignment="1">
      <alignment horizontal="center" vertical="center"/>
    </xf>
    <xf numFmtId="167" fontId="6" fillId="0" borderId="0" xfId="0" applyNumberFormat="1" applyFont="1"/>
    <xf numFmtId="0" fontId="0" fillId="0" borderId="3" xfId="0" applyBorder="1"/>
    <xf numFmtId="14" fontId="0" fillId="0" borderId="0" xfId="0" applyNumberFormat="1"/>
    <xf numFmtId="0" fontId="9" fillId="19" borderId="0" xfId="0" applyFont="1" applyFill="1" applyAlignment="1">
      <alignment horizontal="center"/>
    </xf>
    <xf numFmtId="0" fontId="9" fillId="19" borderId="0" xfId="0" applyFont="1" applyFill="1" applyAlignment="1">
      <alignment horizontal="center" vertical="center"/>
    </xf>
    <xf numFmtId="0" fontId="10" fillId="0" borderId="13" xfId="0" applyFont="1" applyBorder="1" applyAlignment="1">
      <alignment readingOrder="1"/>
    </xf>
    <xf numFmtId="0" fontId="10" fillId="21" borderId="15" xfId="0" applyFont="1" applyFill="1" applyBorder="1" applyAlignment="1">
      <alignment readingOrder="1"/>
    </xf>
    <xf numFmtId="0" fontId="10" fillId="21" borderId="16" xfId="0" applyFont="1" applyFill="1" applyBorder="1" applyAlignment="1">
      <alignment readingOrder="1"/>
    </xf>
    <xf numFmtId="0" fontId="10" fillId="21" borderId="17" xfId="0" applyFont="1" applyFill="1" applyBorder="1" applyAlignment="1">
      <alignment readingOrder="1"/>
    </xf>
    <xf numFmtId="0" fontId="10" fillId="0" borderId="18" xfId="0" applyFont="1" applyBorder="1" applyAlignment="1">
      <alignment readingOrder="1"/>
    </xf>
    <xf numFmtId="0" fontId="10" fillId="0" borderId="19" xfId="0" applyFont="1" applyBorder="1" applyAlignment="1">
      <alignment readingOrder="1"/>
    </xf>
    <xf numFmtId="0" fontId="10" fillId="22" borderId="17" xfId="0" applyFont="1" applyFill="1" applyBorder="1" applyAlignment="1">
      <alignment readingOrder="1"/>
    </xf>
    <xf numFmtId="0" fontId="10" fillId="0" borderId="17" xfId="0" applyFont="1" applyBorder="1" applyAlignment="1">
      <alignment readingOrder="1"/>
    </xf>
    <xf numFmtId="14" fontId="10" fillId="0" borderId="17" xfId="0" applyNumberFormat="1" applyFont="1" applyBorder="1" applyAlignment="1">
      <alignment readingOrder="1"/>
    </xf>
    <xf numFmtId="14" fontId="10" fillId="0" borderId="19" xfId="0" applyNumberFormat="1" applyFont="1" applyBorder="1" applyAlignment="1">
      <alignment readingOrder="1"/>
    </xf>
    <xf numFmtId="0" fontId="10" fillId="0" borderId="20" xfId="0" applyFont="1" applyBorder="1" applyAlignment="1">
      <alignment readingOrder="1"/>
    </xf>
    <xf numFmtId="0" fontId="10" fillId="0" borderId="21" xfId="0" applyFont="1" applyBorder="1" applyAlignment="1">
      <alignment readingOrder="1"/>
    </xf>
    <xf numFmtId="0" fontId="10" fillId="0" borderId="15" xfId="0" applyFont="1" applyBorder="1" applyAlignment="1">
      <alignment readingOrder="1"/>
    </xf>
    <xf numFmtId="0" fontId="10" fillId="0" borderId="16" xfId="0" applyFont="1" applyBorder="1" applyAlignment="1">
      <alignment readingOrder="1"/>
    </xf>
    <xf numFmtId="0" fontId="9" fillId="18" borderId="0" xfId="0" applyFont="1" applyFill="1" applyAlignment="1">
      <alignment horizontal="center" vertical="center"/>
    </xf>
    <xf numFmtId="0" fontId="9" fillId="18" borderId="0" xfId="0" applyFont="1" applyFill="1" applyAlignment="1">
      <alignment horizontal="center"/>
    </xf>
    <xf numFmtId="17" fontId="0" fillId="0" borderId="0" xfId="0" applyNumberFormat="1" applyAlignment="1">
      <alignment horizontal="center" vertical="center"/>
    </xf>
    <xf numFmtId="0" fontId="0" fillId="0" borderId="0" xfId="0" applyAlignment="1">
      <alignment wrapText="1"/>
    </xf>
    <xf numFmtId="167" fontId="11" fillId="23" borderId="1" xfId="0" applyNumberFormat="1" applyFont="1" applyFill="1" applyBorder="1"/>
    <xf numFmtId="0" fontId="9" fillId="24" borderId="25" xfId="0" applyFont="1" applyFill="1" applyBorder="1"/>
    <xf numFmtId="0" fontId="9" fillId="24" borderId="26" xfId="0" applyFont="1" applyFill="1" applyBorder="1"/>
    <xf numFmtId="0" fontId="9" fillId="24" borderId="26" xfId="0" applyFont="1" applyFill="1" applyBorder="1" applyAlignment="1">
      <alignment horizontal="left"/>
    </xf>
    <xf numFmtId="164" fontId="0" fillId="0" borderId="0" xfId="0" applyNumberFormat="1"/>
    <xf numFmtId="0" fontId="12" fillId="0" borderId="1" xfId="1" applyBorder="1"/>
    <xf numFmtId="0" fontId="12" fillId="0" borderId="0" xfId="1"/>
    <xf numFmtId="167" fontId="15" fillId="28" borderId="1" xfId="0" applyNumberFormat="1" applyFont="1" applyFill="1" applyBorder="1"/>
    <xf numFmtId="0" fontId="0" fillId="0" borderId="5" xfId="0" applyBorder="1"/>
    <xf numFmtId="0" fontId="0" fillId="0" borderId="28" xfId="0" applyBorder="1"/>
    <xf numFmtId="0" fontId="0" fillId="0" borderId="2" xfId="0" applyBorder="1" applyAlignment="1">
      <alignment horizontal="left"/>
    </xf>
    <xf numFmtId="0" fontId="6" fillId="0" borderId="4" xfId="0" applyFont="1" applyBorder="1" applyAlignment="1">
      <alignment horizontal="center"/>
    </xf>
    <xf numFmtId="0" fontId="12" fillId="0" borderId="2" xfId="1" applyBorder="1" applyAlignment="1">
      <alignment horizontal="left"/>
    </xf>
    <xf numFmtId="0" fontId="4" fillId="0" borderId="4" xfId="0" applyFont="1" applyBorder="1" applyAlignment="1">
      <alignment horizontal="center" vertical="center"/>
    </xf>
    <xf numFmtId="0" fontId="14" fillId="27" borderId="2" xfId="0" applyFont="1" applyFill="1" applyBorder="1"/>
    <xf numFmtId="0" fontId="3" fillId="2" borderId="2" xfId="0" applyFont="1" applyFill="1" applyBorder="1" applyAlignment="1">
      <alignment horizontal="left" vertical="center"/>
    </xf>
    <xf numFmtId="164" fontId="0" fillId="0" borderId="2" xfId="0" applyNumberFormat="1" applyBorder="1"/>
    <xf numFmtId="0" fontId="0" fillId="30" borderId="0" xfId="0" applyFill="1"/>
    <xf numFmtId="167" fontId="8" fillId="16" borderId="1" xfId="0" applyNumberFormat="1" applyFont="1" applyFill="1" applyBorder="1"/>
    <xf numFmtId="0" fontId="5" fillId="9" borderId="2" xfId="0" applyFont="1" applyFill="1" applyBorder="1" applyAlignment="1">
      <alignment horizontal="center" vertical="center"/>
    </xf>
    <xf numFmtId="167" fontId="8" fillId="0" borderId="1" xfId="0" applyNumberFormat="1" applyFont="1" applyBorder="1"/>
    <xf numFmtId="0" fontId="4" fillId="0" borderId="8" xfId="0" applyFont="1" applyBorder="1" applyAlignment="1">
      <alignment horizontal="center"/>
    </xf>
    <xf numFmtId="0" fontId="0" fillId="0" borderId="5" xfId="0" applyBorder="1" applyAlignment="1">
      <alignment horizontal="center"/>
    </xf>
    <xf numFmtId="0" fontId="6" fillId="0" borderId="8" xfId="0" applyFont="1" applyBorder="1" applyAlignment="1">
      <alignment horizontal="right"/>
    </xf>
    <xf numFmtId="167" fontId="6" fillId="0" borderId="8" xfId="0" applyNumberFormat="1" applyFont="1" applyBorder="1" applyAlignment="1">
      <alignment horizontal="right"/>
    </xf>
    <xf numFmtId="14" fontId="0" fillId="0" borderId="1" xfId="0" applyNumberFormat="1" applyBorder="1" applyAlignment="1">
      <alignment horizontal="center" vertical="center"/>
    </xf>
    <xf numFmtId="0" fontId="3" fillId="16" borderId="1" xfId="0" applyFont="1" applyFill="1" applyBorder="1"/>
    <xf numFmtId="0" fontId="3" fillId="0" borderId="1" xfId="0" applyFont="1" applyBorder="1"/>
    <xf numFmtId="0" fontId="18" fillId="0" borderId="1" xfId="0" applyFont="1" applyBorder="1" applyAlignment="1">
      <alignment horizontal="center" vertical="center"/>
    </xf>
    <xf numFmtId="3" fontId="0" fillId="0" borderId="1" xfId="0" applyNumberFormat="1" applyBorder="1" applyAlignment="1">
      <alignment horizontal="center" vertical="center"/>
    </xf>
    <xf numFmtId="0" fontId="19" fillId="0" borderId="1" xfId="0" applyFont="1" applyBorder="1"/>
    <xf numFmtId="0" fontId="3" fillId="0" borderId="4" xfId="0" applyFont="1" applyBorder="1"/>
    <xf numFmtId="14" fontId="0" fillId="0" borderId="0" xfId="0" applyNumberFormat="1" applyAlignment="1">
      <alignment horizontal="right"/>
    </xf>
    <xf numFmtId="0" fontId="20" fillId="0" borderId="0" xfId="0" applyFont="1" applyAlignment="1">
      <alignment wrapText="1"/>
    </xf>
    <xf numFmtId="167" fontId="8" fillId="15" borderId="1" xfId="0" applyNumberFormat="1" applyFont="1" applyFill="1" applyBorder="1" applyAlignment="1">
      <alignment horizontal="right"/>
    </xf>
    <xf numFmtId="167" fontId="21" fillId="15" borderId="1" xfId="0" applyNumberFormat="1" applyFont="1" applyFill="1" applyBorder="1" applyAlignment="1">
      <alignment horizontal="right" vertical="center"/>
    </xf>
    <xf numFmtId="167" fontId="8" fillId="0" borderId="5" xfId="0" applyNumberFormat="1" applyFont="1" applyBorder="1"/>
    <xf numFmtId="0" fontId="3" fillId="2" borderId="2" xfId="0" applyFont="1" applyFill="1" applyBorder="1" applyAlignment="1">
      <alignment horizontal="center" vertical="center" wrapText="1"/>
    </xf>
    <xf numFmtId="0" fontId="24" fillId="0" borderId="0" xfId="0" applyFont="1"/>
    <xf numFmtId="14" fontId="24" fillId="0" borderId="0" xfId="0" applyNumberFormat="1" applyFont="1"/>
    <xf numFmtId="0" fontId="23" fillId="0" borderId="0" xfId="0" applyFont="1" applyAlignment="1">
      <alignment horizontal="left" wrapText="1"/>
    </xf>
    <xf numFmtId="14" fontId="23" fillId="0" borderId="0" xfId="0" applyNumberFormat="1" applyFont="1" applyAlignment="1">
      <alignment horizontal="left" wrapText="1"/>
    </xf>
    <xf numFmtId="0" fontId="25" fillId="0" borderId="0" xfId="0" applyFont="1"/>
    <xf numFmtId="14" fontId="25" fillId="0" borderId="0" xfId="0" applyNumberFormat="1" applyFont="1"/>
    <xf numFmtId="169" fontId="0" fillId="0" borderId="0" xfId="0" applyNumberFormat="1"/>
    <xf numFmtId="0" fontId="16" fillId="0" borderId="0" xfId="0" applyFont="1"/>
    <xf numFmtId="0" fontId="3" fillId="0" borderId="0" xfId="0" applyFont="1"/>
    <xf numFmtId="0" fontId="0" fillId="0" borderId="0" xfId="0" quotePrefix="1"/>
    <xf numFmtId="14" fontId="16" fillId="0" borderId="0" xfId="0" applyNumberFormat="1" applyFont="1"/>
    <xf numFmtId="164" fontId="26" fillId="24" borderId="6" xfId="0" applyNumberFormat="1" applyFont="1" applyFill="1" applyBorder="1"/>
    <xf numFmtId="0" fontId="9" fillId="24" borderId="29" xfId="0" applyFont="1" applyFill="1" applyBorder="1"/>
    <xf numFmtId="0" fontId="0" fillId="0" borderId="30" xfId="0" applyBorder="1" applyAlignment="1">
      <alignment horizontal="left"/>
    </xf>
    <xf numFmtId="0" fontId="12" fillId="0" borderId="27" xfId="1" applyBorder="1" applyAlignment="1">
      <alignment horizontal="left"/>
    </xf>
    <xf numFmtId="0" fontId="0" fillId="0" borderId="27" xfId="0" applyBorder="1" applyAlignment="1">
      <alignment horizontal="left"/>
    </xf>
    <xf numFmtId="0" fontId="12" fillId="0" borderId="31" xfId="1" applyBorder="1" applyAlignment="1">
      <alignment horizontal="left"/>
    </xf>
    <xf numFmtId="164" fontId="0" fillId="0" borderId="27" xfId="0" applyNumberFormat="1" applyBorder="1" applyAlignment="1">
      <alignment horizontal="left"/>
    </xf>
    <xf numFmtId="0" fontId="8" fillId="26" borderId="27" xfId="0" applyFont="1" applyFill="1" applyBorder="1"/>
    <xf numFmtId="0" fontId="0" fillId="0" borderId="27" xfId="0" applyBorder="1"/>
    <xf numFmtId="0" fontId="0" fillId="0" borderId="31" xfId="0" applyBorder="1"/>
    <xf numFmtId="0" fontId="12" fillId="0" borderId="6" xfId="1" applyBorder="1"/>
    <xf numFmtId="0" fontId="0" fillId="0" borderId="29" xfId="0" applyBorder="1"/>
    <xf numFmtId="0" fontId="0" fillId="0" borderId="30" xfId="0" applyBorder="1"/>
    <xf numFmtId="0" fontId="12" fillId="0" borderId="27" xfId="1" applyBorder="1"/>
    <xf numFmtId="164" fontId="0" fillId="0" borderId="27" xfId="0" applyNumberFormat="1" applyBorder="1"/>
    <xf numFmtId="0" fontId="0" fillId="0" borderId="6" xfId="0" applyBorder="1"/>
    <xf numFmtId="0" fontId="0" fillId="0" borderId="32" xfId="0" applyBorder="1"/>
    <xf numFmtId="0" fontId="12" fillId="0" borderId="6" xfId="1" applyBorder="1" applyAlignment="1">
      <alignment horizontal="left"/>
    </xf>
    <xf numFmtId="0" fontId="0" fillId="0" borderId="6" xfId="0" applyBorder="1" applyAlignment="1">
      <alignment horizontal="left"/>
    </xf>
    <xf numFmtId="164" fontId="0" fillId="0" borderId="6" xfId="0" applyNumberFormat="1" applyBorder="1"/>
    <xf numFmtId="2" fontId="12" fillId="0" borderId="6" xfId="1" applyNumberFormat="1" applyBorder="1" applyAlignment="1">
      <alignment horizontal="left"/>
    </xf>
    <xf numFmtId="0" fontId="13" fillId="25" borderId="27" xfId="0" applyFont="1" applyFill="1" applyBorder="1"/>
    <xf numFmtId="0" fontId="0" fillId="0" borderId="33" xfId="0" applyBorder="1"/>
    <xf numFmtId="0" fontId="0" fillId="0" borderId="33" xfId="0" applyBorder="1" applyAlignment="1">
      <alignment wrapText="1"/>
    </xf>
    <xf numFmtId="0" fontId="12" fillId="0" borderId="29" xfId="1" applyBorder="1" applyAlignment="1">
      <alignment horizontal="left"/>
    </xf>
    <xf numFmtId="0" fontId="0" fillId="0" borderId="29" xfId="0" applyBorder="1" applyAlignment="1">
      <alignment horizontal="left"/>
    </xf>
    <xf numFmtId="0" fontId="14" fillId="27" borderId="6" xfId="0" applyFont="1" applyFill="1" applyBorder="1"/>
    <xf numFmtId="0" fontId="0" fillId="0" borderId="25" xfId="0" applyBorder="1"/>
    <xf numFmtId="0" fontId="16" fillId="0" borderId="6" xfId="0" applyFont="1" applyBorder="1"/>
    <xf numFmtId="0" fontId="16" fillId="0" borderId="32" xfId="0" applyFont="1" applyBorder="1"/>
    <xf numFmtId="0" fontId="12" fillId="0" borderId="6" xfId="1" applyBorder="1" applyAlignment="1"/>
    <xf numFmtId="0" fontId="12" fillId="0" borderId="6" xfId="1" applyBorder="1" applyAlignment="1">
      <alignment horizontal="left" vertical="center"/>
    </xf>
    <xf numFmtId="0" fontId="17" fillId="29" borderId="32" xfId="0" applyFont="1" applyFill="1" applyBorder="1"/>
    <xf numFmtId="0" fontId="12" fillId="29" borderId="33" xfId="1" applyFill="1" applyBorder="1" applyAlignment="1">
      <alignment horizontal="left"/>
    </xf>
    <xf numFmtId="0" fontId="17" fillId="29" borderId="33" xfId="0" applyFont="1" applyFill="1" applyBorder="1"/>
    <xf numFmtId="0" fontId="17" fillId="0" borderId="33" xfId="0" applyFont="1" applyBorder="1"/>
    <xf numFmtId="0" fontId="17" fillId="29" borderId="30" xfId="0" applyFont="1" applyFill="1" applyBorder="1"/>
    <xf numFmtId="0" fontId="17" fillId="29" borderId="34" xfId="0" applyFont="1" applyFill="1" applyBorder="1"/>
    <xf numFmtId="0" fontId="17" fillId="0" borderId="31" xfId="0" applyFont="1" applyBorder="1"/>
    <xf numFmtId="0" fontId="12" fillId="0" borderId="29" xfId="1" applyBorder="1"/>
    <xf numFmtId="0" fontId="0" fillId="0" borderId="35" xfId="0" applyBorder="1"/>
    <xf numFmtId="0" fontId="12" fillId="0" borderId="5" xfId="1" applyBorder="1" applyAlignment="1">
      <alignment horizontal="left"/>
    </xf>
    <xf numFmtId="0" fontId="12" fillId="0" borderId="5" xfId="1" applyBorder="1"/>
    <xf numFmtId="0" fontId="0" fillId="0" borderId="5" xfId="0" applyBorder="1" applyAlignment="1">
      <alignment horizontal="left"/>
    </xf>
    <xf numFmtId="164" fontId="0" fillId="0" borderId="5" xfId="0" applyNumberFormat="1" applyBorder="1"/>
    <xf numFmtId="170" fontId="0" fillId="0" borderId="0" xfId="0" applyNumberFormat="1"/>
    <xf numFmtId="14" fontId="0" fillId="31" borderId="37" xfId="0" applyNumberFormat="1" applyFill="1" applyBorder="1"/>
    <xf numFmtId="0" fontId="0" fillId="31" borderId="36" xfId="0" applyFill="1" applyBorder="1"/>
    <xf numFmtId="0" fontId="0" fillId="0" borderId="36" xfId="0" applyBorder="1"/>
    <xf numFmtId="0" fontId="0" fillId="0" borderId="0" xfId="0" pivotButton="1"/>
    <xf numFmtId="0" fontId="4" fillId="17" borderId="0" xfId="0" applyFont="1" applyFill="1"/>
    <xf numFmtId="0" fontId="3" fillId="3" borderId="28" xfId="0" applyFont="1" applyFill="1" applyBorder="1" applyAlignment="1">
      <alignment horizontal="center" vertical="center"/>
    </xf>
    <xf numFmtId="0" fontId="3" fillId="4" borderId="28" xfId="0" applyFont="1" applyFill="1" applyBorder="1" applyAlignment="1">
      <alignment horizontal="center" vertical="center"/>
    </xf>
    <xf numFmtId="0" fontId="3" fillId="4" borderId="39" xfId="0" applyFont="1" applyFill="1" applyBorder="1" applyAlignment="1">
      <alignment horizontal="center" vertical="center"/>
    </xf>
    <xf numFmtId="0" fontId="3" fillId="5" borderId="28" xfId="0" applyFont="1" applyFill="1" applyBorder="1" applyAlignment="1">
      <alignment horizontal="center" vertical="center"/>
    </xf>
    <xf numFmtId="0" fontId="5" fillId="6" borderId="38" xfId="0" applyFont="1" applyFill="1" applyBorder="1" applyAlignment="1">
      <alignment horizontal="center" vertical="center"/>
    </xf>
    <xf numFmtId="0" fontId="5" fillId="6" borderId="0" xfId="0" applyFont="1" applyFill="1" applyAlignment="1">
      <alignment horizontal="center" vertical="center"/>
    </xf>
    <xf numFmtId="0" fontId="5" fillId="6" borderId="28" xfId="0" applyFont="1" applyFill="1" applyBorder="1" applyAlignment="1">
      <alignment horizontal="center" vertical="center"/>
    </xf>
    <xf numFmtId="0" fontId="3" fillId="7" borderId="28" xfId="0" applyFont="1" applyFill="1" applyBorder="1" applyAlignment="1">
      <alignment horizontal="center" vertical="center" wrapText="1"/>
    </xf>
    <xf numFmtId="0" fontId="3" fillId="7" borderId="38" xfId="0" applyFont="1" applyFill="1" applyBorder="1" applyAlignment="1">
      <alignment horizontal="center" vertical="center"/>
    </xf>
    <xf numFmtId="0" fontId="3" fillId="7" borderId="7" xfId="0" applyFont="1" applyFill="1" applyBorder="1" applyAlignment="1">
      <alignment horizontal="center" vertical="center"/>
    </xf>
    <xf numFmtId="0" fontId="3" fillId="8" borderId="7" xfId="0" applyFont="1" applyFill="1" applyBorder="1" applyAlignment="1">
      <alignment horizontal="center" vertical="center"/>
    </xf>
    <xf numFmtId="0" fontId="3" fillId="8" borderId="0" xfId="0" applyFont="1" applyFill="1" applyAlignment="1">
      <alignment horizontal="center" vertical="center"/>
    </xf>
    <xf numFmtId="0" fontId="3" fillId="8" borderId="28" xfId="0" applyFont="1" applyFill="1" applyBorder="1" applyAlignment="1">
      <alignment horizontal="center" vertical="center"/>
    </xf>
    <xf numFmtId="0" fontId="3" fillId="7" borderId="28" xfId="0" applyFont="1" applyFill="1" applyBorder="1" applyAlignment="1">
      <alignment horizontal="center" vertical="center"/>
    </xf>
    <xf numFmtId="0" fontId="3" fillId="7" borderId="39" xfId="0" applyFont="1" applyFill="1" applyBorder="1" applyAlignment="1">
      <alignment horizontal="center" vertical="center"/>
    </xf>
    <xf numFmtId="0" fontId="5" fillId="9" borderId="38" xfId="0" applyFont="1" applyFill="1" applyBorder="1" applyAlignment="1">
      <alignment horizontal="center" vertical="center"/>
    </xf>
    <xf numFmtId="0" fontId="3" fillId="10" borderId="38" xfId="0" applyFont="1" applyFill="1" applyBorder="1" applyAlignment="1">
      <alignment horizontal="center" vertical="center"/>
    </xf>
    <xf numFmtId="0" fontId="3" fillId="11" borderId="28" xfId="0" applyFont="1" applyFill="1" applyBorder="1" applyAlignment="1">
      <alignment horizontal="center" vertical="center"/>
    </xf>
    <xf numFmtId="0" fontId="3" fillId="11" borderId="0" xfId="0" applyFont="1" applyFill="1" applyAlignment="1">
      <alignment horizontal="center" vertical="center"/>
    </xf>
    <xf numFmtId="0" fontId="3" fillId="11" borderId="38" xfId="0" applyFont="1" applyFill="1" applyBorder="1" applyAlignment="1">
      <alignment horizontal="center" vertical="center"/>
    </xf>
    <xf numFmtId="0" fontId="3" fillId="11" borderId="7" xfId="0" applyFont="1" applyFill="1" applyBorder="1" applyAlignment="1">
      <alignment horizontal="center" vertical="center"/>
    </xf>
    <xf numFmtId="165" fontId="0" fillId="0" borderId="5" xfId="0" applyNumberFormat="1" applyBorder="1" applyAlignment="1">
      <alignment horizontal="center" vertical="center"/>
    </xf>
    <xf numFmtId="165" fontId="0" fillId="0" borderId="6" xfId="0" applyNumberFormat="1" applyBorder="1" applyAlignment="1">
      <alignment horizontal="center" vertical="center"/>
    </xf>
    <xf numFmtId="165" fontId="0" fillId="0" borderId="40" xfId="0" applyNumberFormat="1" applyBorder="1" applyAlignment="1">
      <alignment horizontal="center" vertical="center"/>
    </xf>
    <xf numFmtId="165" fontId="0" fillId="0" borderId="6" xfId="0" applyNumberFormat="1" applyBorder="1" applyAlignment="1">
      <alignment horizontal="center" vertical="center" wrapText="1"/>
    </xf>
    <xf numFmtId="165" fontId="0" fillId="0" borderId="9" xfId="0" applyNumberFormat="1" applyBorder="1" applyAlignment="1">
      <alignment horizontal="center" vertical="center"/>
    </xf>
    <xf numFmtId="0" fontId="3" fillId="2" borderId="7"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0" xfId="0" applyFont="1" applyFill="1" applyBorder="1" applyAlignment="1">
      <alignment horizontal="center" vertical="center"/>
    </xf>
    <xf numFmtId="0" fontId="17" fillId="0" borderId="41" xfId="0" applyFont="1" applyBorder="1"/>
    <xf numFmtId="167" fontId="27" fillId="32" borderId="5" xfId="0" applyNumberFormat="1" applyFont="1" applyFill="1" applyBorder="1"/>
    <xf numFmtId="1" fontId="16" fillId="0" borderId="0" xfId="0" applyNumberFormat="1" applyFont="1"/>
    <xf numFmtId="1" fontId="12" fillId="0" borderId="0" xfId="1" applyNumberFormat="1"/>
    <xf numFmtId="1" fontId="0" fillId="0" borderId="0" xfId="0" applyNumberFormat="1"/>
    <xf numFmtId="0" fontId="14" fillId="27" borderId="43" xfId="0" applyFont="1" applyFill="1" applyBorder="1"/>
    <xf numFmtId="0" fontId="0" fillId="31" borderId="43" xfId="0" applyFill="1" applyBorder="1"/>
    <xf numFmtId="0" fontId="0" fillId="31" borderId="42" xfId="0" applyFill="1" applyBorder="1"/>
    <xf numFmtId="0" fontId="0" fillId="31" borderId="1" xfId="0" applyFill="1" applyBorder="1"/>
    <xf numFmtId="0" fontId="0" fillId="31" borderId="43" xfId="0" applyFill="1" applyBorder="1" applyAlignment="1">
      <alignment horizontal="left"/>
    </xf>
    <xf numFmtId="164" fontId="0" fillId="31" borderId="43" xfId="0" applyNumberFormat="1" applyFill="1" applyBorder="1"/>
    <xf numFmtId="0" fontId="12" fillId="31" borderId="43" xfId="1" applyFill="1" applyBorder="1" applyAlignment="1">
      <alignment horizontal="left"/>
    </xf>
    <xf numFmtId="164" fontId="0" fillId="0" borderId="3" xfId="0" applyNumberFormat="1" applyBorder="1"/>
    <xf numFmtId="0" fontId="14" fillId="27" borderId="3" xfId="0" applyFont="1" applyFill="1" applyBorder="1"/>
    <xf numFmtId="0" fontId="12" fillId="31" borderId="1" xfId="1" applyFill="1" applyBorder="1" applyAlignment="1">
      <alignment horizontal="left"/>
    </xf>
    <xf numFmtId="0" fontId="0" fillId="31" borderId="1" xfId="0" applyFill="1" applyBorder="1" applyAlignment="1">
      <alignment horizontal="left"/>
    </xf>
    <xf numFmtId="164" fontId="0" fillId="31" borderId="1" xfId="0" applyNumberFormat="1" applyFill="1" applyBorder="1"/>
    <xf numFmtId="0" fontId="14" fillId="27" borderId="1" xfId="0" applyFont="1" applyFill="1" applyBorder="1"/>
    <xf numFmtId="164" fontId="0" fillId="0" borderId="1" xfId="0" applyNumberFormat="1" applyBorder="1"/>
    <xf numFmtId="0" fontId="0" fillId="0" borderId="4" xfId="0" applyBorder="1"/>
    <xf numFmtId="0" fontId="12" fillId="31" borderId="1" xfId="1" applyFill="1" applyBorder="1"/>
    <xf numFmtId="0" fontId="12" fillId="0" borderId="1" xfId="1" applyBorder="1" applyAlignment="1">
      <alignment horizontal="left"/>
    </xf>
    <xf numFmtId="2" fontId="12" fillId="0" borderId="0" xfId="1" applyNumberFormat="1"/>
    <xf numFmtId="0" fontId="0" fillId="0" borderId="38" xfId="0" applyBorder="1"/>
    <xf numFmtId="0" fontId="0" fillId="0" borderId="40" xfId="0" applyBorder="1"/>
    <xf numFmtId="164" fontId="0" fillId="0" borderId="38" xfId="0" applyNumberFormat="1" applyBorder="1"/>
    <xf numFmtId="164" fontId="0" fillId="0" borderId="44" xfId="0" applyNumberFormat="1" applyBorder="1"/>
    <xf numFmtId="0" fontId="12" fillId="0" borderId="4" xfId="1" applyBorder="1" applyAlignment="1">
      <alignment horizontal="left"/>
    </xf>
    <xf numFmtId="0" fontId="12" fillId="0" borderId="3" xfId="1" applyBorder="1" applyAlignment="1">
      <alignment horizontal="left"/>
    </xf>
    <xf numFmtId="0" fontId="12" fillId="0" borderId="1" xfId="1" applyBorder="1" applyAlignment="1">
      <alignment horizontal="left" vertical="center"/>
    </xf>
    <xf numFmtId="0" fontId="14" fillId="27" borderId="5" xfId="0" applyFont="1" applyFill="1" applyBorder="1"/>
    <xf numFmtId="0" fontId="17" fillId="0" borderId="1" xfId="0" applyFont="1" applyBorder="1"/>
    <xf numFmtId="0" fontId="28" fillId="0" borderId="1" xfId="0" applyFont="1" applyBorder="1"/>
    <xf numFmtId="0" fontId="0" fillId="0" borderId="7" xfId="0" applyBorder="1"/>
    <xf numFmtId="0" fontId="12" fillId="0" borderId="38" xfId="1" applyBorder="1"/>
    <xf numFmtId="0" fontId="18" fillId="19" borderId="1" xfId="0" applyFont="1" applyFill="1" applyBorder="1" applyAlignment="1">
      <alignment horizontal="center" vertical="center"/>
    </xf>
    <xf numFmtId="0" fontId="18" fillId="19" borderId="2" xfId="0" applyFont="1" applyFill="1" applyBorder="1" applyAlignment="1">
      <alignment horizontal="center" vertical="center"/>
    </xf>
    <xf numFmtId="0" fontId="10" fillId="20" borderId="10" xfId="0" applyFont="1" applyFill="1" applyBorder="1" applyAlignment="1">
      <alignment readingOrder="1"/>
    </xf>
    <xf numFmtId="0" fontId="10" fillId="20" borderId="11" xfId="0" applyFont="1" applyFill="1" applyBorder="1" applyAlignment="1">
      <alignment readingOrder="1"/>
    </xf>
    <xf numFmtId="0" fontId="10" fillId="20" borderId="12" xfId="0" applyFont="1" applyFill="1" applyBorder="1" applyAlignment="1">
      <alignment readingOrder="1"/>
    </xf>
    <xf numFmtId="0" fontId="10" fillId="20" borderId="14" xfId="0" applyFont="1" applyFill="1" applyBorder="1" applyAlignment="1">
      <alignment readingOrder="1"/>
    </xf>
    <xf numFmtId="0" fontId="10" fillId="20" borderId="22" xfId="0" applyFont="1" applyFill="1" applyBorder="1" applyAlignment="1">
      <alignment readingOrder="1"/>
    </xf>
    <xf numFmtId="0" fontId="10" fillId="20" borderId="23" xfId="0" applyFont="1" applyFill="1" applyBorder="1" applyAlignment="1">
      <alignment readingOrder="1"/>
    </xf>
    <xf numFmtId="0" fontId="10" fillId="20" borderId="24" xfId="0" applyFont="1" applyFill="1" applyBorder="1" applyAlignment="1">
      <alignment readingOrder="1"/>
    </xf>
    <xf numFmtId="0" fontId="2" fillId="0" borderId="0" xfId="0" applyFont="1" applyAlignment="1">
      <alignment horizontal="center"/>
    </xf>
    <xf numFmtId="0" fontId="0" fillId="13" borderId="2" xfId="0" applyFill="1" applyBorder="1" applyAlignment="1">
      <alignment horizontal="center" vertical="center"/>
    </xf>
    <xf numFmtId="0" fontId="0" fillId="7" borderId="2" xfId="0" applyFill="1" applyBorder="1" applyAlignment="1">
      <alignment horizontal="center" vertical="center"/>
    </xf>
    <xf numFmtId="0" fontId="0" fillId="11" borderId="2" xfId="0" applyFill="1" applyBorder="1" applyAlignment="1">
      <alignment horizontal="center" vertic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0" fontId="0" fillId="5" borderId="2" xfId="0" applyFill="1" applyBorder="1" applyAlignment="1">
      <alignment horizontal="center" vertical="center"/>
    </xf>
    <xf numFmtId="0" fontId="0" fillId="12" borderId="2" xfId="0" applyFill="1" applyBorder="1" applyAlignment="1">
      <alignment horizontal="center" vertical="center"/>
    </xf>
    <xf numFmtId="0" fontId="3" fillId="11" borderId="2" xfId="0" applyFont="1" applyFill="1" applyBorder="1" applyAlignment="1">
      <alignment horizontal="center" vertical="center"/>
    </xf>
    <xf numFmtId="0" fontId="3" fillId="11" borderId="3" xfId="0" applyFont="1" applyFill="1" applyBorder="1" applyAlignment="1">
      <alignment horizontal="center" vertical="center"/>
    </xf>
    <xf numFmtId="0" fontId="3" fillId="11" borderId="4" xfId="0" applyFont="1" applyFill="1" applyBorder="1" applyAlignment="1">
      <alignment horizontal="center" vertical="center"/>
    </xf>
    <xf numFmtId="0" fontId="3" fillId="10" borderId="2" xfId="0" applyFont="1" applyFill="1" applyBorder="1" applyAlignment="1">
      <alignment horizontal="center" vertical="center"/>
    </xf>
    <xf numFmtId="0" fontId="3" fillId="10"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4" xfId="0" applyFont="1" applyFill="1" applyBorder="1" applyAlignment="1">
      <alignment horizontal="center" vertical="center"/>
    </xf>
    <xf numFmtId="0" fontId="3" fillId="7" borderId="2" xfId="0" applyFont="1" applyFill="1" applyBorder="1" applyAlignment="1">
      <alignment horizontal="center" vertical="center"/>
    </xf>
    <xf numFmtId="0" fontId="3" fillId="7" borderId="4"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3" fillId="7" borderId="3" xfId="0" applyFont="1" applyFill="1" applyBorder="1" applyAlignment="1">
      <alignment horizontal="center" vertical="center"/>
    </xf>
    <xf numFmtId="0" fontId="0" fillId="0" borderId="0" xfId="0" applyAlignment="1"/>
    <xf numFmtId="0" fontId="7" fillId="0" borderId="3" xfId="0" applyFont="1" applyBorder="1" applyAlignment="1"/>
    <xf numFmtId="0" fontId="7" fillId="0" borderId="4" xfId="0" applyFont="1" applyBorder="1" applyAlignment="1"/>
  </cellXfs>
  <cellStyles count="2">
    <cellStyle name="Hyperlink" xfId="1" xr:uid="{00000000-000B-0000-0000-000008000000}"/>
    <cellStyle name="Normal" xfId="0" builtinId="0"/>
  </cellStyles>
  <dxfs count="59">
    <dxf>
      <font>
        <b/>
        <sz val="16"/>
      </font>
      <numFmt numFmtId="19" formatCode="dd/mm/yyyy"/>
      <alignment wrapText="0"/>
    </dxf>
    <dxf>
      <font>
        <b/>
        <sz val="16"/>
      </font>
      <numFmt numFmtId="19" formatCode="dd/mm/yyyy"/>
      <alignment horizontal="general" vertical="bottom" textRotation="0" wrapText="0" indent="0" justifyLastLine="0" shrinkToFit="0" readingOrder="0"/>
    </dxf>
    <dxf>
      <font>
        <b/>
        <sz val="16"/>
      </font>
      <alignment wrapText="0"/>
    </dxf>
    <dxf>
      <font>
        <b/>
        <sz val="16"/>
      </font>
      <alignment wrapText="0"/>
    </dxf>
    <dxf>
      <font>
        <b/>
        <sz val="16"/>
      </font>
      <alignment wrapText="0"/>
    </dxf>
    <dxf>
      <font>
        <b/>
        <sz val="16"/>
      </font>
      <alignment wrapText="0"/>
    </dxf>
    <dxf>
      <font>
        <b/>
        <sz val="16"/>
      </font>
      <alignment wrapText="0"/>
    </dxf>
    <dxf>
      <font>
        <b/>
        <sz val="16"/>
      </font>
      <alignment wrapText="0"/>
    </dxf>
    <dxf>
      <font>
        <b/>
        <sz val="16"/>
      </font>
      <alignment wrapText="0"/>
    </dxf>
    <dxf>
      <font>
        <sz val="16"/>
      </font>
      <alignment horizontal="left" wrapText="1"/>
    </dxf>
    <dxf>
      <numFmt numFmtId="165" formatCode="dd&quot;-&quot;mm&quot;-&quot;yyyy"/>
      <alignment horizontal="center" vertical="center" textRotation="0" wrapText="0"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alignment horizontal="center"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bottom style="thin">
          <color rgb="FF000000"/>
        </bottom>
        <vertical/>
        <horizontal/>
      </border>
    </dxf>
    <dxf>
      <font>
        <b/>
        <i val="0"/>
        <strike val="0"/>
        <condense val="0"/>
        <extend val="0"/>
        <outline val="0"/>
        <shadow val="0"/>
        <u val="none"/>
        <vertAlign val="baseline"/>
        <sz val="11"/>
        <color theme="1"/>
        <name val="Calibri"/>
        <scheme val="minor"/>
      </font>
      <fill>
        <patternFill patternType="solid">
          <fgColor rgb="FFFFFF00"/>
          <bgColor rgb="FFFFFF0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rder>
    </dxf>
    <dxf>
      <font>
        <b/>
        <i val="0"/>
        <strike val="0"/>
        <condense val="0"/>
        <extend val="0"/>
        <outline val="0"/>
        <shadow val="0"/>
        <u val="none"/>
        <vertAlign val="baseline"/>
        <sz val="11"/>
        <color theme="1"/>
        <name val="Calibri"/>
        <scheme val="minor"/>
      </font>
      <fill>
        <patternFill patternType="solid">
          <fgColor rgb="FFF7CAAC"/>
          <bgColor rgb="FFF7CAAC"/>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7" tint="-0.249977111117893"/>
        <name val="Calibri"/>
        <family val="2"/>
        <scheme val="minor"/>
      </font>
      <fill>
        <patternFill patternType="solid">
          <fgColor indexed="64"/>
          <bgColor theme="7" tint="0.79998168889431442"/>
        </patternFill>
      </fill>
      <border diagonalUp="0" diagonalDown="0">
        <left style="thin">
          <color rgb="FF000000"/>
        </left>
        <right style="thin">
          <color rgb="FF000000"/>
        </right>
        <top style="thin">
          <color rgb="FF000000"/>
        </top>
        <bottom/>
        <vertical/>
        <horizontal/>
      </border>
    </dxf>
    <dxf>
      <numFmt numFmtId="164" formatCode="_ &quot;$&quot;* #,##0_ ;_ &quot;$&quot;* \-#,##0_ ;_ &quot;$&quot;* &quot;-&quot;_ ;_ @_ "/>
      <border diagonalUp="0" diagonalDown="0">
        <left style="thin">
          <color rgb="FF000000"/>
        </left>
        <right style="thin">
          <color rgb="FF000000"/>
        </right>
        <top style="thin">
          <color rgb="FF000000"/>
        </top>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left"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dxf>
    <dxf>
      <numFmt numFmtId="19" formatCode="dd/mm/yyyy"/>
    </dxf>
    <dxf>
      <numFmt numFmtId="19" formatCode="dd/mm/yyyy"/>
    </dxf>
    <dxf>
      <numFmt numFmtId="170" formatCode="_ [$$-340A]* #,##0_ ;_ [$$-340A]* \-#,##0_ ;_ [$$-340A]* &quot;-&quot;??_ ;_ @_ "/>
    </dxf>
    <dxf>
      <numFmt numFmtId="19" formatCode="dd/mm/yyyy"/>
    </dxf>
    <dxf>
      <font>
        <b val="0"/>
        <i val="0"/>
        <strike val="0"/>
        <condense val="0"/>
        <extend val="0"/>
        <outline val="0"/>
        <shadow val="0"/>
        <u val="none"/>
        <vertAlign val="baseline"/>
        <sz val="11"/>
        <color rgb="FF000000"/>
        <name val="Calibri"/>
        <scheme val="none"/>
      </font>
    </dxf>
    <dxf>
      <font>
        <color rgb="FF000000"/>
      </font>
      <numFmt numFmtId="0" formatCode="General"/>
    </dxf>
    <dxf>
      <numFmt numFmtId="1" formatCode="0"/>
    </dxf>
    <dxf>
      <numFmt numFmtId="19" formatCode="dd/mm/yyyy"/>
    </dxf>
    <dxf>
      <numFmt numFmtId="0" formatCode="General"/>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169" formatCode="_ [$$-340A]* #,##0_ ;_ [$$-340A]* \-#,##0_ ;_ [$$-340A]* &quot;-&quot;_ ;_ @_ "/>
    </dxf>
    <dxf>
      <numFmt numFmtId="169" formatCode="_ [$$-340A]* #,##0_ ;_ [$$-340A]* \-#,##0_ ;_ [$$-340A]* &quot;-&quot;_ ;_ @_ "/>
    </dxf>
    <dxf>
      <numFmt numFmtId="169" formatCode="_ [$$-340A]* #,##0_ ;_ [$$-340A]* \-#,##0_ ;_ [$$-340A]* &quot;-&quot;_ ;_ @_ "/>
    </dxf>
  </dxfs>
  <tableStyles count="0" defaultTableStyle="TableStyleMedium2" defaultPivotStyle="PivotStyleLight16"/>
  <colors>
    <mruColors>
      <color rgb="FF992E2E"/>
      <color rgb="FFFF787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5" Type="http://schemas.openxmlformats.org/officeDocument/2006/relationships/customXml" Target="../customXml/item3.xml"/><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600075</xdr:colOff>
      <xdr:row>34</xdr:row>
      <xdr:rowOff>0</xdr:rowOff>
    </xdr:from>
    <xdr:to>
      <xdr:col>12</xdr:col>
      <xdr:colOff>209550</xdr:colOff>
      <xdr:row>43</xdr:row>
      <xdr:rowOff>133350</xdr:rowOff>
    </xdr:to>
    <xdr:pic>
      <xdr:nvPicPr>
        <xdr:cNvPr id="4" name="Imagen 1">
          <a:extLst>
            <a:ext uri="{FF2B5EF4-FFF2-40B4-BE49-F238E27FC236}">
              <a16:creationId xmlns:a16="http://schemas.microsoft.com/office/drawing/2014/main" id="{F4543027-242E-5662-D3B5-B16CBD038BD6}"/>
            </a:ext>
          </a:extLst>
        </xdr:cNvPr>
        <xdr:cNvPicPr>
          <a:picLocks noChangeAspect="1"/>
        </xdr:cNvPicPr>
      </xdr:nvPicPr>
      <xdr:blipFill>
        <a:blip xmlns:r="http://schemas.openxmlformats.org/officeDocument/2006/relationships" r:embed="rId1"/>
        <a:stretch>
          <a:fillRect/>
        </a:stretch>
      </xdr:blipFill>
      <xdr:spPr>
        <a:xfrm>
          <a:off x="16259175" y="6477000"/>
          <a:ext cx="2657475" cy="1847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28575</xdr:colOff>
      <xdr:row>1</xdr:row>
      <xdr:rowOff>104775</xdr:rowOff>
    </xdr:from>
    <xdr:to>
      <xdr:col>6</xdr:col>
      <xdr:colOff>504825</xdr:colOff>
      <xdr:row>8</xdr:row>
      <xdr:rowOff>38100</xdr:rowOff>
    </xdr:to>
    <mc:AlternateContent xmlns:mc="http://schemas.openxmlformats.org/markup-compatibility/2006" xmlns:a14="http://schemas.microsoft.com/office/drawing/2010/main">
      <mc:Choice Requires="a14">
        <xdr:graphicFrame macro="">
          <xdr:nvGraphicFramePr>
            <xdr:cNvPr id="2" name="AÑO">
              <a:extLst>
                <a:ext uri="{FF2B5EF4-FFF2-40B4-BE49-F238E27FC236}">
                  <a16:creationId xmlns:a16="http://schemas.microsoft.com/office/drawing/2014/main" id="{3F2DB48E-3EBF-7931-6278-2CF71D61861A}"/>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2600325" y="295275"/>
              <a:ext cx="2305050" cy="12668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219200" cy="12001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0.940152430558" createdVersion="8" refreshedVersion="8" minRefreshableVersion="3" recordCount="234" xr:uid="{35E93762-0E61-4F34-BBD5-A09522B5FE94}">
  <cacheSource type="worksheet">
    <worksheetSource name="CONTROL"/>
  </cacheSource>
  <cacheFields count="12">
    <cacheField name="AÑO" numFmtId="0">
      <sharedItems containsString="0" containsBlank="1" containsNumber="1" containsInteger="1" minValue="2025" maxValue="2026" count="3">
        <n v="2025"/>
        <m/>
        <n v="2026"/>
      </sharedItems>
    </cacheField>
    <cacheField name="proveedor" numFmtId="0">
      <sharedItems containsBlank="1"/>
    </cacheField>
    <cacheField name="COTIZACION" numFmtId="0">
      <sharedItems containsBlank="1" containsMixedTypes="1" containsNumber="1" containsInteger="1" minValue="0" maxValue="4.79589900008256E+18"/>
    </cacheField>
    <cacheField name="servicio" numFmtId="0">
      <sharedItems containsBlank="1"/>
    </cacheField>
    <cacheField name="N° orden de compra" numFmtId="0">
      <sharedItems containsBlank="1"/>
    </cacheField>
    <cacheField name="N° factura" numFmtId="0">
      <sharedItems containsBlank="1" containsMixedTypes="1" containsNumber="1" containsInteger="1" minValue="14" maxValue="6752677"/>
    </cacheField>
    <cacheField name="VALOR" numFmtId="164">
      <sharedItems containsString="0" containsBlank="1" containsNumber="1" containsInteger="1" minValue="20000" maxValue="10436856"/>
    </cacheField>
    <cacheField name="estado Pendiente/ Pagado" numFmtId="0">
      <sharedItems containsBlank="1"/>
    </cacheField>
    <cacheField name="detalle" numFmtId="0">
      <sharedItems containsBlank="1" longText="1"/>
    </cacheField>
    <cacheField name="N° Trasn" numFmtId="0">
      <sharedItems containsBlank="1"/>
    </cacheField>
    <cacheField name="Compañía" numFmtId="0">
      <sharedItems containsBlank="1"/>
    </cacheField>
    <cacheField name="UNIDAD" numFmtId="0">
      <sharedItems containsBlank="1" count="35">
        <s v="RH-3"/>
        <s v="B-5"/>
        <s v="Q-2"/>
        <s v="B-8"/>
        <s v="H-3"/>
        <s v="MX-4"/>
        <s v="BF-5"/>
        <s v="B-1"/>
        <s v="comandancia"/>
        <s v="K10"/>
        <s v="BX-7"/>
        <m/>
        <s v="M-1"/>
        <s v="BT-0"/>
        <s v="Z-6"/>
        <s v="B-3"/>
        <s v="RX-4"/>
        <s v="B-4"/>
        <s v="B-10"/>
        <s v="BR-1"/>
        <s v="B-7"/>
        <s v="J-0"/>
        <s v="S-1"/>
        <s v="X-1"/>
        <s v="K-1"/>
        <s v="RX-2"/>
        <s v="B-6"/>
        <s v="BR-2"/>
        <s v="B-6 Y RB-6"/>
        <s v="RB-6"/>
        <s v="B-4 y Z-6"/>
        <s v="BX-1"/>
        <s v="H-0"/>
        <s v="K-10"/>
        <s v="K-2"/>
      </sharedItems>
    </cacheField>
  </cacheFields>
  <extLst>
    <ext xmlns:x14="http://schemas.microsoft.com/office/spreadsheetml/2009/9/main" uri="{725AE2AE-9491-48be-B2B4-4EB974FC3084}">
      <x14:pivotCacheDefinition pivotCacheId="766412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x v="0"/>
    <s v="Cummis"/>
    <n v="21867778"/>
    <s v="Mantto preventivo"/>
    <s v="oc 001"/>
    <n v="1178900"/>
    <n v="1238006"/>
    <s v="Pagado"/>
    <s v="mantenimiento de motor anual unidad"/>
    <s v="Transferencia 87685803"/>
    <s v="Tercera"/>
    <x v="0"/>
  </r>
  <r>
    <x v="0"/>
    <s v="Raul Ramirez"/>
    <n v="1"/>
    <s v="Cambio Parabrisas "/>
    <s v="oc 003"/>
    <n v="1102"/>
    <n v="249900"/>
    <s v="Pagado"/>
    <s v="Cambio de parabrisas por piquete "/>
    <s v="Transferencia 88902757_x000d_"/>
    <s v="Quinta"/>
    <x v="1"/>
  </r>
  <r>
    <x v="0"/>
    <s v="Cummis"/>
    <n v="21868950"/>
    <s v="Mantto preventivo"/>
    <s v="oc 004"/>
    <s v="sin fact"/>
    <n v="839763"/>
    <s v="Pagado"/>
    <s v="mantenimiento de motor unidad"/>
    <s v="Transferencia 88747288_x000d_"/>
    <s v="Segunda"/>
    <x v="2"/>
  </r>
  <r>
    <x v="0"/>
    <s v="Heavy Service"/>
    <n v="652"/>
    <s v="Mantto preventivo"/>
    <s v="oc 005"/>
    <n v="547"/>
    <n v="1191033"/>
    <s v="Pagado"/>
    <s v="mantenimiento de motor unidad"/>
    <s v="Transferencia 88903451_x000d_"/>
    <s v="Octava"/>
    <x v="3"/>
  </r>
  <r>
    <x v="0"/>
    <s v="Heavy Service"/>
    <n v="656"/>
    <s v="Mantto preventivo"/>
    <s v="oc 006"/>
    <n v="549"/>
    <n v="1222287"/>
    <s v="Pagado"/>
    <s v="mantenimiento de motor unidad"/>
    <s v="Transferencia 89478667"/>
    <s v="Comandancia"/>
    <x v="4"/>
  </r>
  <r>
    <x v="0"/>
    <s v="Caren spa"/>
    <n v="753289"/>
    <s v="Compra repuesto "/>
    <s v="oc 007"/>
    <n v="769322"/>
    <n v="71273"/>
    <s v="Pagado"/>
    <s v="compra de aceite para relleno"/>
    <s v="Transferencia 88903586_x000d_"/>
    <s v="Cuarta"/>
    <x v="5"/>
  </r>
  <r>
    <x v="0"/>
    <s v="Heavy Service"/>
    <n v="658"/>
    <s v="Correctivo"/>
    <s v="oc 14"/>
    <n v="557"/>
    <n v="750124"/>
    <s v="Pagado"/>
    <s v="cambio empaquetadura tapa valvulas, tapa de llenado, instalacion luces azules laterales e iluminacion cuerpo de bomba"/>
    <s v="Transferencia 93487924_x000d_"/>
    <s v="Octava"/>
    <x v="3"/>
  </r>
  <r>
    <x v="0"/>
    <s v="Olitek"/>
    <n v="3300"/>
    <s v="Correctivo"/>
    <s v="oc 15"/>
    <s v="sin fact"/>
    <n v="3449146"/>
    <s v="Pagado"/>
    <s v="Reparaciones componentes, revision de bomba, motor y compresor. Mantenimiento de motor"/>
    <m/>
    <s v="Quinta"/>
    <x v="6"/>
  </r>
  <r>
    <x v="0"/>
    <s v="Olitek"/>
    <n v="3311"/>
    <s v="Compra repuesto "/>
    <s v="oc 22"/>
    <n v="1264"/>
    <n v="81515"/>
    <s v="Pagado"/>
    <s v="compra de acelerador de cuerpo de bomba, acutal en mal estado "/>
    <s v="Transferencia 90713181"/>
    <s v="Primera "/>
    <x v="7"/>
  </r>
  <r>
    <x v="0"/>
    <s v="Repuestos la estrellita"/>
    <s v="sin cotizacion"/>
    <s v="Compra repuesto "/>
    <s v="sin oc"/>
    <n v="912"/>
    <n v="20000"/>
    <s v="Pagado"/>
    <s v="Compra de mica para foto trasero derecho "/>
    <s v="Caja Chica"/>
    <s v="Primera "/>
    <x v="7"/>
  </r>
  <r>
    <x v="0"/>
    <s v="RODOLFO ENRIQUE OÑATE VÁSQUEZ"/>
    <n v="450"/>
    <s v="reparación"/>
    <s v="sin oc"/>
    <n v="1091"/>
    <n v="297500"/>
    <s v="Pagado"/>
    <s v="reparación de bisagra puerta (reparacion en terreno, preservar servicio)"/>
    <m/>
    <s v="Quinta"/>
    <x v="1"/>
  </r>
  <r>
    <x v="0"/>
    <s v="RODOLFO ENRIQUE OÑATE VÁSQUEZ"/>
    <n v="449"/>
    <s v="reparación"/>
    <s v="sin oc"/>
    <n v="1090"/>
    <n v="142800"/>
    <s v="Pagado"/>
    <s v="reparacion interruptor de luces (reparacion en terreno, preservar servicio)"/>
    <m/>
    <s v="Segunda"/>
    <x v="2"/>
  </r>
  <r>
    <x v="0"/>
    <s v="Aco "/>
    <s v="IPM0003071"/>
    <s v="herramientas"/>
    <s v="oc 24"/>
    <n v="1571001"/>
    <n v="460124"/>
    <s v="Pagado"/>
    <s v="Compra de llaves saca filtros "/>
    <s v="Transferencia 92670832_x000d_"/>
    <s v="Mecanico"/>
    <x v="8"/>
  </r>
  <r>
    <x v="0"/>
    <s v="Comercial V y R LTDA"/>
    <s v="COTIZACION"/>
    <s v="Compra repuesto "/>
    <s v="sin oc"/>
    <s v="sin fact"/>
    <n v="35000"/>
    <s v="Pagado"/>
    <s v="compra de foco trasero derecho nissan np300"/>
    <s v="Caja Chica"/>
    <s v="Decima"/>
    <x v="9"/>
  </r>
  <r>
    <x v="0"/>
    <s v="Comercial de insumos industriales CII SPA"/>
    <n v="7531"/>
    <s v="Compra repuesto "/>
    <s v="oc 20"/>
    <n v="7531"/>
    <n v="391403"/>
    <s v="Pagado"/>
    <s v="Compra kit de filtro para mantto "/>
    <s v="Transferencia 90979490"/>
    <s v="Quinta"/>
    <x v="1"/>
  </r>
  <r>
    <x v="0"/>
    <s v="Inversiones cs ltda"/>
    <n v="59746"/>
    <s v="compra aceite"/>
    <s v="oc 21"/>
    <n v="84434"/>
    <n v="340585"/>
    <s v="Pagado"/>
    <s v="compra de aceite para mantto "/>
    <s v="Transferencia 93488283_x000d_"/>
    <s v="Quinta"/>
    <x v="1"/>
  </r>
  <r>
    <x v="0"/>
    <s v="Importadora y exportadora la nueva spa"/>
    <n v="6242"/>
    <s v="herramientas"/>
    <s v="oc 28 "/>
    <n v="47423"/>
    <n v="386391"/>
    <s v="Pagado"/>
    <s v="compra de herramientas esenciales para trabajo de mecanico "/>
    <s v="Transferencia 92693360_x000d_"/>
    <s v="Mecanico"/>
    <x v="8"/>
  </r>
  <r>
    <x v="0"/>
    <s v="Olitek"/>
    <n v="3351"/>
    <s v="Compra repuesto "/>
    <s v="oc 25"/>
    <n v="1280"/>
    <n v="380461"/>
    <s v="Pagado"/>
    <s v="compra de piola acelerador de cuerpo bomba "/>
    <m/>
    <s v="Octava"/>
    <x v="3"/>
  </r>
  <r>
    <x v="0"/>
    <s v="Sintegracom"/>
    <n v="26022025"/>
    <s v="diagnostico"/>
    <s v="oc 26 "/>
    <s v="sin fact"/>
    <n v="95200"/>
    <s v="Pagado"/>
    <s v="diagnostico por problemas electricos en luces de unidad"/>
    <m/>
    <s v="Septima"/>
    <x v="10"/>
  </r>
  <r>
    <x v="0"/>
    <s v="Olitek"/>
    <n v="3343"/>
    <s v="Reparacion"/>
    <s v="oc 57"/>
    <s v="sin fact"/>
    <n v="173324"/>
    <s v="Pagado"/>
    <s v="compra de repuesto para reparacion de  polea motriz cb"/>
    <m/>
    <s v="Octava"/>
    <x v="3"/>
  </r>
  <r>
    <x v="1"/>
    <m/>
    <m/>
    <m/>
    <m/>
    <m/>
    <m/>
    <m/>
    <m/>
    <m/>
    <m/>
    <x v="11"/>
  </r>
  <r>
    <x v="0"/>
    <s v="Aco "/>
    <s v="IPM0003375"/>
    <s v="herramientas"/>
    <s v="oc 32"/>
    <n v="1578246"/>
    <n v="304319"/>
    <s v="Pagado"/>
    <s v="compra de herramientas para cambios de aceite"/>
    <m/>
    <s v="Mecanico"/>
    <x v="8"/>
  </r>
  <r>
    <x v="0"/>
    <s v="Importdora y exportadora la nueva spa"/>
    <s v="019-25"/>
    <s v="herramientas"/>
    <s v="oc 33"/>
    <n v="48124"/>
    <n v="72470"/>
    <s v="Pagado"/>
    <s v="compra set de alicates, caiman, llaves punta corona chicharra"/>
    <m/>
    <s v="Mecanico"/>
    <x v="8"/>
  </r>
  <r>
    <x v="0"/>
    <s v="Comercial de insumos industriales CII SPA"/>
    <n v="7616"/>
    <s v="Mantto preventivo"/>
    <s v="sin oc"/>
    <s v="sin fact"/>
    <n v="270439"/>
    <s v="Pagado"/>
    <s v="Filtros mantenimiento preventivo "/>
    <m/>
    <s v="Primera "/>
    <x v="12"/>
  </r>
  <r>
    <x v="0"/>
    <s v="Comercial de insumos industriales CII SPA"/>
    <n v="7617"/>
    <s v="Mantto preventivo"/>
    <s v="sin oc"/>
    <s v="sin fact"/>
    <n v="577194"/>
    <s v="Pagado"/>
    <s v="Filtros mantenimiento preventivo "/>
    <m/>
    <s v="Comandancia"/>
    <x v="13"/>
  </r>
  <r>
    <x v="0"/>
    <s v="Comercial de insumos industriales CII SPA"/>
    <n v="7628"/>
    <s v="Mantto preventivo"/>
    <s v="sin oc"/>
    <s v="sin fact"/>
    <n v="328376"/>
    <s v="Pagado"/>
    <s v="Filtros mantenimiento preventivo "/>
    <m/>
    <s v="Primera "/>
    <x v="7"/>
  </r>
  <r>
    <x v="0"/>
    <s v="Comercial de insumos industriales CII SPA"/>
    <n v="7626"/>
    <s v="Mantto preventivo"/>
    <s v="sin oc"/>
    <s v="sin fact"/>
    <n v="319566"/>
    <s v="Pagado"/>
    <s v="Filtros mantenimiento preventivo "/>
    <m/>
    <s v="Sexta"/>
    <x v="14"/>
  </r>
  <r>
    <x v="0"/>
    <s v="Seguridad Industrial SPA"/>
    <n v="4.79589900008256E+18"/>
    <s v="EPP"/>
    <s v="oc 31"/>
    <n v="1188329"/>
    <n v="164303"/>
    <s v="Pagado"/>
    <s v="EPP mecanico "/>
    <m/>
    <s v="Mecanico"/>
    <x v="8"/>
  </r>
  <r>
    <x v="0"/>
    <s v="Kaufmann "/>
    <n v="708098901"/>
    <s v="Compra repuesto "/>
    <s v="oc 46"/>
    <s v="sin fact"/>
    <n v="420502"/>
    <s v="Pagado"/>
    <s v="Compra de zapatas freno para servicio completo tren trasero"/>
    <m/>
    <s v="Sexta"/>
    <x v="14"/>
  </r>
  <r>
    <x v="0"/>
    <s v="Inversiones cs ltda"/>
    <n v="60735"/>
    <s v="compra aceite"/>
    <s v="oc 44"/>
    <s v="sin fact"/>
    <n v="1151623"/>
    <s v="Pagado"/>
    <s v="compra de grasa para diferentes unidades"/>
    <s v="Transferencia 95243421"/>
    <s v="Mecanico"/>
    <x v="8"/>
  </r>
  <r>
    <x v="0"/>
    <s v="Aco "/>
    <s v="IPM0003652"/>
    <s v="herramientas"/>
    <s v="oc 45"/>
    <n v="1578879"/>
    <n v="320405"/>
    <s v="Pagado"/>
    <s v="compra de kit llaves de impacto y boma manual para tambor"/>
    <m/>
    <s v="Mecanico"/>
    <x v="8"/>
  </r>
  <r>
    <x v="0"/>
    <s v="Inversiones cs ltda"/>
    <n v="60738"/>
    <s v="compra aceite"/>
    <s v="oc 47"/>
    <s v="sin fact"/>
    <n v="1627920"/>
    <s v="Pagado"/>
    <s v="compra de aceite lubricante para diferentes unidades"/>
    <s v="Transferencia 95243574"/>
    <s v="Mecanico"/>
    <x v="8"/>
  </r>
  <r>
    <x v="0"/>
    <s v="Ferexpo"/>
    <n v="11621"/>
    <s v="Reparacion"/>
    <s v="sin oc"/>
    <s v="sin fact"/>
    <n v="501704"/>
    <s v="Pagado"/>
    <s v="diagnostico problema en sirena "/>
    <m/>
    <s v="Tercera"/>
    <x v="15"/>
  </r>
  <r>
    <x v="0"/>
    <s v="Nera Chile spa"/>
    <n v="13479"/>
    <s v="Servicio grua"/>
    <s v="oc 42"/>
    <s v="sin fact"/>
    <n v="214200"/>
    <s v="Pagado"/>
    <s v="servicio grua luego de colision con rx4"/>
    <m/>
    <s v="Cuarta"/>
    <x v="16"/>
  </r>
  <r>
    <x v="0"/>
    <s v="Porsche chile"/>
    <s v="2025009415/ 1"/>
    <s v="Compra repuesto "/>
    <s v="oc 64"/>
    <s v="sin fact"/>
    <n v="118457"/>
    <s v="Pagado"/>
    <s v="tope goma suspension delantera"/>
    <m/>
    <s v="Quinta"/>
    <x v="6"/>
  </r>
  <r>
    <x v="0"/>
    <s v="Comercial de insumos industriales CII SPA"/>
    <n v="7707"/>
    <s v="Mantto preventivo"/>
    <s v="oc 65"/>
    <s v="sin fact"/>
    <n v="326297"/>
    <s v="Pagado"/>
    <s v="Filtros mantenimiento preventivo "/>
    <m/>
    <s v="Cuarta"/>
    <x v="5"/>
  </r>
  <r>
    <x v="0"/>
    <s v="Heavy Service"/>
    <n v="716"/>
    <s v="Reparacion"/>
    <s v="oc 66"/>
    <n v="575"/>
    <n v="960033"/>
    <s v="Pagado"/>
    <s v="compra valvula electro neumatico de accionamiento de bomba de alta (impotacion)"/>
    <m/>
    <s v="Cuarta"/>
    <x v="17"/>
  </r>
  <r>
    <x v="0"/>
    <s v="Salfa"/>
    <n v="23218876"/>
    <s v="Compra repuesto "/>
    <s v="oc 67"/>
    <n v="4887328"/>
    <n v="1138857"/>
    <s v="Pagado"/>
    <s v="Compra kit de embrague original "/>
    <m/>
    <s v="Octava"/>
    <x v="3"/>
  </r>
  <r>
    <x v="0"/>
    <s v="Comercial de insumos industriales CII SPA"/>
    <n v="7749"/>
    <s v="Mantto preventivo"/>
    <s v="sin oc"/>
    <n v="7808"/>
    <n v="219902"/>
    <s v="Pagado"/>
    <s v="Filtros mantenimiento preventivo "/>
    <m/>
    <s v="Decima"/>
    <x v="18"/>
  </r>
  <r>
    <x v="0"/>
    <s v="Comercial de insumos industriales CII SPA"/>
    <n v="7750"/>
    <s v="Mantto preventivo"/>
    <s v="sin oc"/>
    <n v="7807"/>
    <n v="219902"/>
    <s v="Pagado"/>
    <s v="Filtros mantenimiento preventivo "/>
    <m/>
    <s v="Comandancia"/>
    <x v="19"/>
  </r>
  <r>
    <x v="0"/>
    <s v="Inversiones cs ltda"/>
    <n v="61100"/>
    <s v="Mantto preventivo"/>
    <s v="oc 69"/>
    <s v="sin fact"/>
    <n v="155176"/>
    <s v="Pagado"/>
    <s v="Aciete motor mantenimiento preventivo"/>
    <m/>
    <s v="Cuarta"/>
    <x v="5"/>
  </r>
  <r>
    <x v="0"/>
    <s v="Ferexpo"/>
    <n v="11531"/>
    <s v="diagnostico"/>
    <s v="oc 68"/>
    <s v="sin fact"/>
    <n v="97580"/>
    <s v="Pagado"/>
    <s v="diagnostico problema en mantenedor baterias kussmaul"/>
    <m/>
    <s v="Segunda"/>
    <x v="2"/>
  </r>
  <r>
    <x v="0"/>
    <s v="HBSERVICIOS SPA"/>
    <n v="320"/>
    <s v="Reparacion"/>
    <s v="oc 70"/>
    <s v="sin fact"/>
    <n v="535500"/>
    <s v="Pagado"/>
    <s v="Mano de obra por cambio de embrague y rectificado de volante inercia"/>
    <m/>
    <s v="Octava"/>
    <x v="3"/>
  </r>
  <r>
    <x v="0"/>
    <s v="Sintegracom"/>
    <n v="22042025"/>
    <s v="Reparacion"/>
    <s v="oc 77"/>
    <n v="984"/>
    <n v="261800"/>
    <s v="Pagado"/>
    <s v="Reparacion sirena motorola por configuracion de tonos en mal estado "/>
    <m/>
    <s v="Primera "/>
    <x v="7"/>
  </r>
  <r>
    <x v="0"/>
    <s v="HBSERVICIOS SPA"/>
    <n v="319"/>
    <s v="reparación"/>
    <s v="oc 71"/>
    <n v="386"/>
    <n v="2112250"/>
    <s v="Pagado"/>
    <s v="Mano de obra reparación motor Detroit 6V92 (detalle del trabajo en documento)"/>
    <s v="pagado la MITAD"/>
    <s v="Septima"/>
    <x v="20"/>
  </r>
  <r>
    <x v="0"/>
    <s v="Ferexpo"/>
    <n v="11678"/>
    <s v="Reparacion"/>
    <s v="oc 72"/>
    <n v="3234"/>
    <n v="685083"/>
    <s v="Pagado"/>
    <s v="Compra de Sirena Whelen 295SL + mas mano de obra por instalacíon (placa quemada) "/>
    <m/>
    <s v="Tercera"/>
    <x v="15"/>
  </r>
  <r>
    <x v="0"/>
    <s v="Kaufmann "/>
    <n v="7081592268"/>
    <s v="Compra repuesto "/>
    <s v="oc 62"/>
    <s v="sin fact"/>
    <n v="254720"/>
    <s v="Pagado"/>
    <s v="Compra de pulmon de freno delantero 40/30 "/>
    <m/>
    <s v="Cuarta"/>
    <x v="16"/>
  </r>
  <r>
    <x v="0"/>
    <s v="Andrade motores"/>
    <s v="S/N"/>
    <s v="Reparacion"/>
    <s v="oc 118"/>
    <n v="196"/>
    <n v="946050"/>
    <s v="Pagado"/>
    <s v="Servicio de rectificado de culatas para B7"/>
    <m/>
    <s v="Septima"/>
    <x v="20"/>
  </r>
  <r>
    <x v="0"/>
    <s v="Servicios integrales Diesel "/>
    <n v="16563"/>
    <s v="Compra repuesto "/>
    <s v="oc 114"/>
    <n v="29245"/>
    <n v="10436856"/>
    <s v="Pagado"/>
    <s v="compra de repuestos para reparacion de motor unidad B7"/>
    <m/>
    <s v="Septima"/>
    <x v="20"/>
  </r>
  <r>
    <x v="0"/>
    <s v="Olitek"/>
    <n v="3432"/>
    <s v="Compra repuesto "/>
    <s v="sin oc"/>
    <s v="sin fact"/>
    <n v="380461"/>
    <s v="Pagado"/>
    <s v="Compra piola cuerpo de bomba "/>
    <m/>
    <s v="Comandancia"/>
    <x v="4"/>
  </r>
  <r>
    <x v="0"/>
    <s v="Servicios Natanael Andres Muñoz Rubio E.I.R.L"/>
    <n v="600"/>
    <s v="Reparacion"/>
    <s v="sin oc"/>
    <n v="511"/>
    <n v="95200"/>
    <s v="Pagado"/>
    <s v="Fabricacion de pieza de seguro hidrualico cabina MX-4"/>
    <m/>
    <s v="Cuarta"/>
    <x v="5"/>
  </r>
  <r>
    <x v="0"/>
    <s v="Ferexpo"/>
    <n v="11811"/>
    <s v="Compra repuesto "/>
    <s v="sin oc"/>
    <s v="sin fact"/>
    <n v="1676413"/>
    <m/>
    <s v="Compra repuestos para bomba, producto de filtracion, valvulas y asientos"/>
    <m/>
    <s v="Cuarta"/>
    <x v="17"/>
  </r>
  <r>
    <x v="0"/>
    <s v="Ferexpo"/>
    <n v="11747"/>
    <s v="Reparacion"/>
    <s v="oc 82"/>
    <n v="3240"/>
    <n v="693218"/>
    <s v="pendiente de pago "/>
    <s v="Servicio de reparación sistema electrico unidad "/>
    <m/>
    <s v="Segunda"/>
    <x v="2"/>
  </r>
  <r>
    <x v="0"/>
    <s v="Importadora y exportadora la nueva spa"/>
    <n v="7015"/>
    <s v="herramientas"/>
    <s v="oc 89"/>
    <s v="sin fact"/>
    <n v="87990"/>
    <s v="pendiente de pago "/>
    <s v="compra de hidrolavadora para servicios"/>
    <m/>
    <s v="Mecanico"/>
    <x v="8"/>
  </r>
  <r>
    <x v="0"/>
    <s v="ASESORIA Y FABRICACIÓN EN FIBRA DE VIDRIO ANDRES MAURICIO RICHARDS ESCANILLA E.I.R.L."/>
    <s v="COT2025_71"/>
    <s v="Reparacion"/>
    <s v="oc 90"/>
    <n v="711"/>
    <n v="714000"/>
    <s v="pendiente de pago "/>
    <s v="Reparacion estanque "/>
    <m/>
    <s v="Comandancia"/>
    <x v="4"/>
  </r>
  <r>
    <x v="0"/>
    <s v="INVERSIONES CS LTDA."/>
    <n v="61990"/>
    <s v="compra aceite"/>
    <s v="oc 91"/>
    <s v="sin fact"/>
    <n v="800870"/>
    <m/>
    <s v="compra de aceite lubricante para diferentes unidades"/>
    <m/>
    <s v="Comandancia"/>
    <x v="8"/>
  </r>
  <r>
    <x v="0"/>
    <s v="Lucas Blandford S.A"/>
    <n v="67643"/>
    <s v="Compra baterias"/>
    <s v="oc 82"/>
    <n v="1397497"/>
    <n v="803115"/>
    <s v="pendiente de pago "/>
    <s v="Baterias Q-2"/>
    <m/>
    <s v="Segunda"/>
    <x v="2"/>
  </r>
  <r>
    <x v="0"/>
    <s v="Lucas Blandford S.A"/>
    <n v="67643"/>
    <s v="Compra baterias"/>
    <s v="oc 82"/>
    <n v="1397497"/>
    <n v="444082"/>
    <s v="pendiente de pago "/>
    <s v="Baterias BT0"/>
    <m/>
    <s v="Comandancia"/>
    <x v="13"/>
  </r>
  <r>
    <x v="0"/>
    <s v="Olitek"/>
    <n v="3444"/>
    <s v="Compra repuesto "/>
    <s v="sin oc"/>
    <s v="sin fact"/>
    <n v="194783"/>
    <m/>
    <s v="Boton parador neumatico"/>
    <m/>
    <s v="Decima"/>
    <x v="18"/>
  </r>
  <r>
    <x v="0"/>
    <s v="Olitek"/>
    <m/>
    <s v="Compra repuesto "/>
    <s v="oc 93"/>
    <s v="sin fact"/>
    <n v="194783"/>
    <s v="pendiente de pago "/>
    <s v="Boton parador neumatico "/>
    <m/>
    <s v="Comandancia"/>
    <x v="19"/>
  </r>
  <r>
    <x v="0"/>
    <s v="Olitek"/>
    <n v="3443"/>
    <s v="Compra repuesto "/>
    <s v="oc 94"/>
    <s v="sin fact"/>
    <n v="392361"/>
    <s v="pendiente de pago "/>
    <s v="piola acelerador cuerpo de bomba B-10"/>
    <m/>
    <s v="Decima"/>
    <x v="18"/>
  </r>
  <r>
    <x v="0"/>
    <s v="Olitek"/>
    <n v="3443"/>
    <s v="Compra repuesto "/>
    <s v="oc 94"/>
    <s v="sin fact"/>
    <n v="392361"/>
    <s v="pendiente de pago "/>
    <s v="piola acelerador cuerpo de bomba BR-1 "/>
    <m/>
    <s v="Comandancia"/>
    <x v="19"/>
  </r>
  <r>
    <x v="0"/>
    <s v="Olitek"/>
    <n v="3446"/>
    <s v="Compra repuesto "/>
    <s v="oc 95"/>
    <s v="sin fact"/>
    <n v="714000"/>
    <s v="pendiente de pago "/>
    <s v="Compra relojes cuerpo de bomba "/>
    <m/>
    <s v="Primera "/>
    <x v="7"/>
  </r>
  <r>
    <x v="0"/>
    <s v="Olitek"/>
    <n v="3447"/>
    <s v="Compra repuesto "/>
    <s v="oc 96"/>
    <s v="sin fact"/>
    <n v="70448"/>
    <s v="pendiente de pago "/>
    <s v="compra repuestos para mantencion cebador cuerpo de bomba"/>
    <m/>
    <s v="Primera "/>
    <x v="7"/>
  </r>
  <r>
    <x v="0"/>
    <s v="Olitek"/>
    <n v="3445"/>
    <s v="Compra repuesto "/>
    <s v="oc 97"/>
    <s v="sin fact"/>
    <n v="131198"/>
    <s v="pendiente de pago "/>
    <s v="Compra luz intermitente trasero "/>
    <m/>
    <s v="Quinta"/>
    <x v="1"/>
  </r>
  <r>
    <x v="0"/>
    <s v="Skc Red SPA"/>
    <s v="MPCA01"/>
    <s v="compra aceite"/>
    <s v="oc 99"/>
    <n v="100545"/>
    <n v="404600"/>
    <s v="Pagado"/>
    <s v="Compra de tambor de refrigerante Petronas coolant 50/50 200 litros"/>
    <s v=" "/>
    <s v="Mecanico"/>
    <x v="8"/>
  </r>
  <r>
    <x v="0"/>
    <s v="EOX"/>
    <n v="13660"/>
    <s v="Materiales de aseo"/>
    <s v="oc 83"/>
    <n v="14757"/>
    <n v="523794"/>
    <s v="Pagado"/>
    <s v="materiale de aseo para cuartel general, proyectado a un año"/>
    <m/>
    <s v="Comandancia"/>
    <x v="8"/>
  </r>
  <r>
    <x v="0"/>
    <s v="Nera Chile spa"/>
    <n v="14064"/>
    <s v="Servicio grua"/>
    <s v="oc 105"/>
    <n v="9444"/>
    <n v="190400"/>
    <s v="Pagado"/>
    <s v="Servicio de flete para uinida b7, traslado desde cuartel hasta taller de alejandro Vidal "/>
    <s v="Transferencia 10267876"/>
    <s v="Septima"/>
    <x v="20"/>
  </r>
  <r>
    <x v="0"/>
    <s v="Parabrisas KAR"/>
    <n v="1001"/>
    <s v="Cambio Parabrisas "/>
    <s v="oc 106"/>
    <s v="sin fact"/>
    <n v="249900"/>
    <s v="Pagado"/>
    <s v="Servicio de cambio de parabrisas en cuartel "/>
    <m/>
    <s v="Quinta"/>
    <x v="1"/>
  </r>
  <r>
    <x v="0"/>
    <s v="Kaufmann "/>
    <n v="102372722"/>
    <s v="Reparacion"/>
    <s v="sin oc"/>
    <s v="sin fact"/>
    <n v="1920589"/>
    <s v="Pagado"/>
    <s v="desmontaje de radiador, limpieza sistema de refirgeracion "/>
    <m/>
    <s v="Tercera"/>
    <x v="15"/>
  </r>
  <r>
    <x v="0"/>
    <s v="Porsche chile"/>
    <s v="2025015515/ 1"/>
    <s v="Compra repuesto "/>
    <s v="oc 158"/>
    <s v="sin fact"/>
    <n v="604104"/>
    <s v="Pagado"/>
    <s v="compra de amortiguadores delantero"/>
    <m/>
    <s v="Quinta"/>
    <x v="6"/>
  </r>
  <r>
    <x v="0"/>
    <s v="REDFLAME"/>
    <n v="1555"/>
    <s v="Ploteo"/>
    <s v="oc 226"/>
    <n v="919"/>
    <n v="821100"/>
    <s v="pendiente de pago "/>
    <s v="ploteo unidad "/>
    <m/>
    <s v="Comandancia"/>
    <x v="21"/>
  </r>
  <r>
    <x v="0"/>
    <s v="RODOLFO ENRIQUE OÑATE VÁSQUEZ"/>
    <n v="473"/>
    <s v="reparación"/>
    <s v="oc 188"/>
    <n v="1252"/>
    <n v="749700"/>
    <s v="pendiente de pago "/>
    <s v="Reparacion sistema de inyeccion "/>
    <m/>
    <s v="Primera "/>
    <x v="7"/>
  </r>
  <r>
    <x v="0"/>
    <s v="SK Comercial "/>
    <n v="1303675867"/>
    <s v="Compra repuesto "/>
    <s v="oc 155"/>
    <n v="19467"/>
    <n v="98476"/>
    <s v="Pagado"/>
    <s v="Compra de foco derecho por roptura de Zenteno"/>
    <m/>
    <s v="Comandancia"/>
    <x v="13"/>
  </r>
  <r>
    <x v="0"/>
    <s v="AMAI graficas y estampados"/>
    <s v="COT-202506-0010"/>
    <s v="Ploteo"/>
    <s v="oc 112"/>
    <n v="117"/>
    <n v="535500"/>
    <s v="Pagado"/>
    <s v="ploteo futuro carro de la decima"/>
    <m/>
    <s v="Decima"/>
    <x v="4"/>
  </r>
  <r>
    <x v="0"/>
    <s v="Kaufmann "/>
    <n v="102382033"/>
    <s v="reparación"/>
    <s v="oc 119"/>
    <s v="sin fact"/>
    <n v="1752903"/>
    <s v="Pagado"/>
    <s v="reparacion frenos 4 puntas cambio de discos y pastillas"/>
    <m/>
    <s v="Comandancia"/>
    <x v="22"/>
  </r>
  <r>
    <x v="0"/>
    <s v="Cummins"/>
    <n v="11929198"/>
    <s v="Compra repuesto "/>
    <s v="oc 120 "/>
    <s v="sin fact"/>
    <n v="240668"/>
    <s v="Pagado"/>
    <s v="Compra de bomba de agua motor "/>
    <m/>
    <s v="Segunda"/>
    <x v="2"/>
  </r>
  <r>
    <x v="0"/>
    <s v="Improfor"/>
    <n v="172543"/>
    <s v="Compra repuesto "/>
    <s v="oc 159"/>
    <n v="39428"/>
    <n v="341530"/>
    <s v="Pagado"/>
    <s v="kit de reparación valvula entrada tradera 3&quot;"/>
    <m/>
    <s v="Cuarta"/>
    <x v="17"/>
  </r>
  <r>
    <x v="0"/>
    <s v="Kaufmann "/>
    <n v="102387923"/>
    <s v="reparación"/>
    <s v="oc 127"/>
    <n v="6418680"/>
    <n v="3245035"/>
    <s v="Pagado"/>
    <s v="servicio externo de reparacion de sistema de embrague incluido volante "/>
    <m/>
    <s v="Comandancia"/>
    <x v="22"/>
  </r>
  <r>
    <x v="0"/>
    <s v="Fourca"/>
    <n v="2250"/>
    <s v="Mantto preventivo"/>
    <s v="oc 139"/>
    <n v="80"/>
    <n v="954741"/>
    <s v="Pagado"/>
    <s v="Servicio de mantenimiento de motor y reparacion sistema de embrague"/>
    <m/>
    <s v="Comandancia"/>
    <x v="23"/>
  </r>
  <r>
    <x v="0"/>
    <s v="Fourca"/>
    <n v="2249"/>
    <s v="Mantto preventivo"/>
    <s v="oc 140"/>
    <s v="sin fact"/>
    <n v="646087"/>
    <s v="Pagado"/>
    <s v="Servicio de mantenimiento de motor y reparacion componentes motor"/>
    <m/>
    <s v="Comandancia"/>
    <x v="24"/>
  </r>
  <r>
    <x v="0"/>
    <s v="Andrade motores"/>
    <n v="1234"/>
    <s v="reparación"/>
    <s v="oc 131"/>
    <n v="198"/>
    <n v="192000"/>
    <s v="Pagado"/>
    <s v="Servicio de cambio de camisas de inyector a culatas, 8 unidades"/>
    <m/>
    <s v="Septima"/>
    <x v="20"/>
  </r>
  <r>
    <x v="0"/>
    <s v="Servicios integrales Diesel "/>
    <n v="6263"/>
    <s v="reparación"/>
    <s v="oc 130"/>
    <n v="2964"/>
    <n v="562156"/>
    <s v="Pagado"/>
    <s v="Servicio de reparacion Blower y diagnostico y estado de inyectores"/>
    <m/>
    <s v="Septima"/>
    <x v="20"/>
  </r>
  <r>
    <x v="0"/>
    <s v="Detroit"/>
    <n v="365556"/>
    <s v="Compra repuesto "/>
    <s v="caja chica "/>
    <s v="sin fact"/>
    <n v="25843"/>
    <s v="Pagado"/>
    <s v="Compra de empaquetadura PTO metalica "/>
    <m/>
    <s v="Segunda"/>
    <x v="2"/>
  </r>
  <r>
    <x v="0"/>
    <s v="Kaufmann "/>
    <n v="102394421"/>
    <s v="reparación"/>
    <s v="oc 129"/>
    <n v="6461032"/>
    <n v="2923830"/>
    <s v="Pagado"/>
    <s v="Fabricacion de radiador de motor por kaufmann"/>
    <m/>
    <s v="Tercera"/>
    <x v="15"/>
  </r>
  <r>
    <x v="0"/>
    <s v="Servicio Lucas Diesel S.A."/>
    <s v="524484-2"/>
    <s v="Compra repuesto "/>
    <s v="oc 152"/>
    <s v="sin fact"/>
    <n v="4355406"/>
    <s v="Pagado"/>
    <s v="Compra de 6 inyectores de combsutible "/>
    <m/>
    <s v="Primera "/>
    <x v="7"/>
  </r>
  <r>
    <x v="0"/>
    <s v="Andes Motor "/>
    <n v="708341417"/>
    <s v="Compra repuesto "/>
    <s v="oc 174"/>
    <s v="sin fact"/>
    <n v="571193"/>
    <s v="Pagado"/>
    <s v="Foco derecho BX7, el que se rompe por vibracion de cabina "/>
    <m/>
    <s v="Septima"/>
    <x v="10"/>
  </r>
  <r>
    <x v="0"/>
    <s v="Lucas Blandford S.A"/>
    <n v="70418"/>
    <s v="Compra baterias"/>
    <s v="oc 138"/>
    <n v="1406149"/>
    <n v="699720"/>
    <s v="Pagado"/>
    <s v="compra de baterias para unidad B10 y back up por posible falla en unidades con calendario 2022"/>
    <m/>
    <s v="Comandancia"/>
    <x v="18"/>
  </r>
  <r>
    <x v="0"/>
    <s v="Nera Chile spa"/>
    <n v="14375"/>
    <s v="Servicio grua"/>
    <s v="oc 136"/>
    <s v="sin fact"/>
    <n v="190400"/>
    <s v="Pagado"/>
    <s v="servicio grua desde cuartel septima a taller de rodolfo oñate "/>
    <m/>
    <s v="Comandancia"/>
    <x v="19"/>
  </r>
  <r>
    <x v="0"/>
    <s v="Supermercado del neumatco "/>
    <n v="597438"/>
    <s v="Compra neumaticos"/>
    <s v="oc 143"/>
    <s v="sin fact"/>
    <n v="749699"/>
    <s v="Pagado"/>
    <s v="Compra de neumaticos 275/80R22.5"/>
    <m/>
    <s v="Segunda"/>
    <x v="25"/>
  </r>
  <r>
    <x v="0"/>
    <s v="Kaufmann "/>
    <n v="708381052"/>
    <s v="Compra repuestos"/>
    <s v="oc 145"/>
    <s v="sin fact"/>
    <n v="274216"/>
    <s v="Pagado"/>
    <s v="compra de pastillas de freno "/>
    <m/>
    <s v="Segunda"/>
    <x v="25"/>
  </r>
  <r>
    <x v="0"/>
    <s v="Detroit"/>
    <n v="365851"/>
    <s v="Mantto preventivo Allison"/>
    <s v="oc 142"/>
    <n v="168754"/>
    <n v="485894"/>
    <s v="Pagado"/>
    <s v="Kit de mantenimiento transmision Allison EVS 3000 kit de filtros y aceite lubricante (20lt)"/>
    <m/>
    <s v="Segunda"/>
    <x v="2"/>
  </r>
  <r>
    <x v="0"/>
    <s v="Detroit"/>
    <n v="365852"/>
    <s v="Mantto preventivo Allison"/>
    <s v="oc 141"/>
    <n v="168755"/>
    <n v="485894"/>
    <s v="Pagado"/>
    <s v="Kit de mantenimiento transmision Allison EVS 3000 kit de filtros y aceite lubricante (20lt)"/>
    <m/>
    <s v="Cuarta"/>
    <x v="16"/>
  </r>
  <r>
    <x v="0"/>
    <s v="Lucas Blandford S.A"/>
    <n v="71211"/>
    <s v="Compra baterias"/>
    <s v="oc 153"/>
    <n v="1407908"/>
    <n v="1605544"/>
    <s v="Pagado"/>
    <s v="baterias b-3, x-1, b10 y back up "/>
    <m/>
    <s v="Comandancia"/>
    <x v="8"/>
  </r>
  <r>
    <x v="0"/>
    <s v="RODOLFO ENRIQUE OÑATE VÁSQUEZ"/>
    <n v="494"/>
    <s v="Reparacion externa"/>
    <s v="oc 161"/>
    <n v="1230"/>
    <n v="616420"/>
    <s v="Pagado"/>
    <s v="cambio de bomba de agua, fuga pto y mantto allison"/>
    <m/>
    <s v="Decima"/>
    <x v="2"/>
  </r>
  <r>
    <x v="0"/>
    <s v="RODOLFO ENRIQUE OÑATE VÁSQUEZ"/>
    <n v="495"/>
    <s v="Reparacion externa"/>
    <s v="oc 160"/>
    <n v="1229"/>
    <n v="428400"/>
    <s v="Pagado"/>
    <s v="´reparacion frenos RX-2"/>
    <m/>
    <s v="Segunda"/>
    <x v="25"/>
  </r>
  <r>
    <x v="0"/>
    <s v="Lucas Blandford S.A"/>
    <n v="71341"/>
    <s v="Compra baterias"/>
    <s v="oc 157"/>
    <n v="1408330"/>
    <n v="487900"/>
    <s v="Pagado"/>
    <s v="Compra de baterias 200amp"/>
    <m/>
    <s v="Septima"/>
    <x v="20"/>
  </r>
  <r>
    <x v="0"/>
    <s v="Fourca"/>
    <n v="2389"/>
    <s v="Reparacion externa"/>
    <s v="oc156"/>
    <n v="79"/>
    <n v="308924"/>
    <s v="Pagado"/>
    <s v="repuestos tren delantero rotula, terminales y bandejas superiores "/>
    <m/>
    <s v="Comandancia"/>
    <x v="23"/>
  </r>
  <r>
    <x v="0"/>
    <s v="Transportes Navasep"/>
    <s v="-"/>
    <s v="Servicio grua"/>
    <s v="sin oc"/>
    <n v="189"/>
    <n v="107100"/>
    <s v="Pagado"/>
    <s v="servicio de grua para unidad que queda en panne en hoscar luego de traslado de vol"/>
    <m/>
    <s v="Comandancia"/>
    <x v="22"/>
  </r>
  <r>
    <x v="0"/>
    <s v="Andes Motor "/>
    <n v="708432580"/>
    <s v="Compra repuestos"/>
    <s v="oc 172"/>
    <n v="311803"/>
    <n v="1997445"/>
    <s v="Pagado"/>
    <s v="Compra de repuestos sistema de freno, sensor desgaste, pastillas y discos. "/>
    <m/>
    <s v="Sexta"/>
    <x v="26"/>
  </r>
  <r>
    <x v="0"/>
    <s v="Salfa"/>
    <n v="23313670"/>
    <s v="Compra repuestos"/>
    <s v="oc 171"/>
    <n v="5004238"/>
    <n v="742785"/>
    <s v="Pagado"/>
    <s v="compra de terminales de direccion "/>
    <m/>
    <s v="Cuarta"/>
    <x v="17"/>
  </r>
  <r>
    <x v="0"/>
    <s v="Mis masas "/>
    <n v="1010"/>
    <s v="Servicio banqueteria"/>
    <s v="sin oc"/>
    <s v="sin fact"/>
    <n v="149940"/>
    <s v="Pagado"/>
    <s v="Servicio colaciones activida INACAP"/>
    <m/>
    <s v="Comandancia"/>
    <x v="8"/>
  </r>
  <r>
    <x v="0"/>
    <s v="Cummins"/>
    <n v="11942270"/>
    <s v="Compra repuestos"/>
    <s v="oc 177"/>
    <s v="sin fact"/>
    <n v="73470"/>
    <s v="Pagado"/>
    <s v="Kit repuesto servicio preventivo "/>
    <m/>
    <s v="Cuarta"/>
    <x v="17"/>
  </r>
  <r>
    <x v="0"/>
    <s v="Cummins"/>
    <n v="11942280"/>
    <s v="Compra repuestos"/>
    <s v="oc 175"/>
    <s v="sin fact"/>
    <n v="280792"/>
    <s v="Pagado"/>
    <s v="Kit repuesto servicio preventivo "/>
    <m/>
    <s v="Segunda"/>
    <x v="2"/>
  </r>
  <r>
    <x v="0"/>
    <s v="Cummins"/>
    <n v="11942268"/>
    <s v="Compra repuestos"/>
    <s v="oc 176"/>
    <s v="sin fact"/>
    <n v="344004"/>
    <s v="Pagado"/>
    <s v="Kit repuesto servicio preventivo "/>
    <m/>
    <s v="Cuarta"/>
    <x v="16"/>
  </r>
  <r>
    <x v="0"/>
    <s v="Detroit"/>
    <n v="366626"/>
    <s v="Mantto preventivo"/>
    <s v="oc 181"/>
    <n v="170317"/>
    <n v="486686"/>
    <s v="Pagado"/>
    <s v="Kit de mantenimiento transmision Allison EVS 3000 kit de filtros y aceite lubricante (20lt)"/>
    <m/>
    <s v="Cuarta"/>
    <x v="17"/>
  </r>
  <r>
    <x v="0"/>
    <s v="COMERCIAL DE INSUMOS INDUSTRIALES CII SPA"/>
    <n v="7974"/>
    <s v="Mantto preventivo"/>
    <s v="oc 169"/>
    <n v="8063"/>
    <n v="322422"/>
    <s v="Pagado"/>
    <s v="Filtros mantenimiento preventivo "/>
    <m/>
    <s v="Septima"/>
    <x v="10"/>
  </r>
  <r>
    <x v="0"/>
    <s v="Salfa"/>
    <n v="23313689"/>
    <s v="Mantto preventivo"/>
    <s v="oc 192"/>
    <n v="5040395"/>
    <n v="356353"/>
    <s v="Pagado"/>
    <s v="Filtros mantenimiento preventivo "/>
    <m/>
    <s v="Primera "/>
    <x v="7"/>
  </r>
  <r>
    <x v="0"/>
    <s v="Salfa"/>
    <n v="23313698"/>
    <s v="Mantto preventivo"/>
    <s v="oc 191"/>
    <n v="5040401"/>
    <n v="335717"/>
    <s v="Pagado"/>
    <s v="Filtros mantenimiento preventivo "/>
    <m/>
    <s v="Octava"/>
    <x v="3"/>
  </r>
  <r>
    <x v="0"/>
    <s v="Salfa"/>
    <n v="23313703"/>
    <s v="Mantto preventivo"/>
    <s v="oc 190"/>
    <n v="5040405"/>
    <n v="451251"/>
    <s v="Pagado"/>
    <s v="Filtros mantenimiento preventivo "/>
    <m/>
    <s v="Comandancia"/>
    <x v="19"/>
  </r>
  <r>
    <x v="0"/>
    <s v="Salfa"/>
    <n v="23313712"/>
    <s v="Mantto preventivo"/>
    <s v="oc 194"/>
    <n v="5040464"/>
    <n v="451251"/>
    <s v="Pagado"/>
    <s v="Filtros mantenimiento preventivo "/>
    <m/>
    <s v="Comandancia"/>
    <x v="27"/>
  </r>
  <r>
    <x v="0"/>
    <s v="Salfa"/>
    <n v="23311330"/>
    <s v="Mantto preventivo"/>
    <s v="oc 193"/>
    <n v="5040398"/>
    <n v="252283"/>
    <s v="Pagado"/>
    <s v="Filtros mantenimiento preventivo "/>
    <m/>
    <s v="Decima"/>
    <x v="18"/>
  </r>
  <r>
    <x v="0"/>
    <s v="COMERCIAL DE INSUMOS INDUSTRIALES CII SPA"/>
    <n v="8074"/>
    <s v="Mantto preventivo"/>
    <s v="oc 211"/>
    <n v="8139"/>
    <n v="390187"/>
    <s v="Pagado"/>
    <s v="Filtro de aire para servicios preventivos"/>
    <m/>
    <s v="Comandancia"/>
    <x v="28"/>
  </r>
  <r>
    <x v="0"/>
    <s v="HBSERVICIOS SPA"/>
    <n v="373"/>
    <s v="Mantto preventivo"/>
    <s v="oc 185"/>
    <n v="430"/>
    <n v="368900"/>
    <s v="Pagado"/>
    <s v="servicio de mantenimineento preventivo"/>
    <m/>
    <s v="Septima"/>
    <x v="10"/>
  </r>
  <r>
    <x v="0"/>
    <s v="HBSERVICIOS SPA"/>
    <n v="371"/>
    <s v="Reparacion externa"/>
    <s v="oc 216"/>
    <n v="443"/>
    <n v="654500"/>
    <s v="Pagado"/>
    <s v="Servicio de reparacion adicional de b7 enfriador y piezas adicionales necesario para la correcta reparación"/>
    <m/>
    <s v="Septima"/>
    <x v="20"/>
  </r>
  <r>
    <x v="0"/>
    <s v="Olitek"/>
    <n v="3525"/>
    <s v="Reparacion externa"/>
    <s v="oc 203"/>
    <n v="1363"/>
    <n v="493374"/>
    <s v="Pagado"/>
    <s v="Cambio de compresor de mantenedor de aire de unidad, servicio externo"/>
    <m/>
    <s v="Quinta"/>
    <x v="6"/>
  </r>
  <r>
    <x v="0"/>
    <s v="Supermercado del neumatco "/>
    <n v="20603677"/>
    <s v="Cambio neumaticos"/>
    <s v="oc 204"/>
    <s v="sin fact"/>
    <n v="4478020"/>
    <s v="Pagado"/>
    <s v="Servicio de cambio de neumaticos x4 continental HCS"/>
    <m/>
    <s v="Quinta"/>
    <x v="6"/>
  </r>
  <r>
    <x v="0"/>
    <s v="HBSERVICIOS SPA"/>
    <n v="319"/>
    <s v="reparación"/>
    <s v="oc 71"/>
    <n v="423"/>
    <n v="2112250"/>
    <s v="Pagado"/>
    <s v="Mano de obra reparación motor Detroit 6V92 (detalle del trabajo en documento)"/>
    <s v="pagado 2da MITAD"/>
    <s v="Septima"/>
    <x v="20"/>
  </r>
  <r>
    <x v="0"/>
    <s v="RODOLFO ENRIQUE OÑATE VÁSQUEZ"/>
    <n v="510"/>
    <s v="Reparacion externa"/>
    <s v="oc 197"/>
    <n v="1254"/>
    <n v="124950"/>
    <s v="Pagado"/>
    <s v="Cambio de baterias en cuartel sexta compañia"/>
    <m/>
    <s v="Sexta"/>
    <x v="29"/>
  </r>
  <r>
    <x v="0"/>
    <s v="RODOLFO ENRIQUE OÑATE VÁSQUEZ"/>
    <n v="514"/>
    <s v="Reparacion externa"/>
    <s v="oc 198"/>
    <n v="1258"/>
    <n v="194400"/>
    <s v="Pagado"/>
    <s v="Reparacion de fuga de regrigerante por regulador de flujo de calefaccion cabina sanitaria"/>
    <m/>
    <s v="Comandancia"/>
    <x v="22"/>
  </r>
  <r>
    <x v="0"/>
    <s v="RODOLFO ENRIQUE OÑATE VÁSQUEZ"/>
    <n v="522"/>
    <s v="Reparacion externa"/>
    <s v="oc 199"/>
    <n v="1261"/>
    <n v="238000"/>
    <s v="Pagado"/>
    <s v="Visita por fufga de aire, se repara y se hace cambio de valvula AD-9 (purgador de aire)"/>
    <m/>
    <s v="Sexta"/>
    <x v="14"/>
  </r>
  <r>
    <x v="0"/>
    <s v="RODOLFO ENRIQUE OÑATE VÁSQUEZ"/>
    <n v="528"/>
    <s v="Reparacion externa"/>
    <s v="oc 200"/>
    <n v="1264"/>
    <n v="333200"/>
    <s v="Pagado"/>
    <s v="Servicio de cambio de terminales de dirección de barra larga"/>
    <m/>
    <s v="Cuarta"/>
    <x v="17"/>
  </r>
  <r>
    <x v="0"/>
    <s v="RODOLFO ENRIQUE OÑATE VÁSQUEZ"/>
    <n v="539"/>
    <s v="Reparacion externa"/>
    <s v="oc 201"/>
    <n v="1268"/>
    <n v="618800"/>
    <s v="Pagado"/>
    <s v="Servicio de reparacion cambio de pastillas (4 posiciones) y discos de freno delanteros"/>
    <s v=" "/>
    <s v="Sexta"/>
    <x v="26"/>
  </r>
  <r>
    <x v="0"/>
    <s v="RODOLFO ENRIQUE OÑATE VÁSQUEZ"/>
    <n v="542"/>
    <s v="Mantto preventivo"/>
    <s v="oc 202"/>
    <n v="1271"/>
    <n v="476000"/>
    <s v="Pagado"/>
    <s v="Servicio de mantenimiento de motor y transmision "/>
    <m/>
    <s v="Cuarta"/>
    <x v="16"/>
  </r>
  <r>
    <x v="0"/>
    <s v="RODOLFO ENRIQUE OÑATE VÁSQUEZ"/>
    <n v="517"/>
    <s v="Reparacion externa"/>
    <s v="oc 212"/>
    <n v="1285"/>
    <n v="470050"/>
    <s v="Pagado"/>
    <s v="revision electrico de B-3 por descargas de baterias,  y cambio de baterias y revision de sensor ckpy cambio de dos sensores"/>
    <m/>
    <s v="Tercera"/>
    <x v="15"/>
  </r>
  <r>
    <x v="0"/>
    <s v="RODOLFO ENRIQUE OÑATE VÁSQUEZ"/>
    <n v="534"/>
    <s v="Reparacion en terreno"/>
    <s v="oc 214"/>
    <n v="1290"/>
    <n v="351050"/>
    <s v="Pagado"/>
    <s v="Reparación unidad de comandancia, montaje compresor, bomba direccion, valvulas reg presion, y 4 vias, insumos y repuestos para puesta en marcha"/>
    <m/>
    <s v="Decima"/>
    <x v="18"/>
  </r>
  <r>
    <x v="0"/>
    <s v="RODOLFO ENRIQUE OÑATE VÁSQUEZ"/>
    <n v="549"/>
    <s v="Reparacion externa"/>
    <s v="oc 213"/>
    <n v="1287"/>
    <n v="618800"/>
    <s v="Pagado"/>
    <s v="Rescate en terreno de unidad B-10 en estadio de calera, por problema en sistema de aire, instala valvula de 4 vias, por desperfectos"/>
    <m/>
    <s v="Comandancia"/>
    <x v="19"/>
  </r>
  <r>
    <x v="0"/>
    <s v="Salfa"/>
    <n v="23332952"/>
    <s v="Compra repuestos"/>
    <s v="oc 210"/>
    <n v="5035001"/>
    <n v="484642"/>
    <s v="Pagado"/>
    <s v="Compra de pulmon de suspension trasero de cabina, el que hoy se encuentra con fuga"/>
    <m/>
    <s v="Decima"/>
    <x v="18"/>
  </r>
  <r>
    <x v="0"/>
    <s v="HBSERVICIOS SPA"/>
    <n v="387"/>
    <s v="Mantto preventivo"/>
    <s v="oc 208"/>
    <n v="439"/>
    <n v="849006"/>
    <s v="Pagado"/>
    <s v="Servicio de mantenimineto preventivo, incluye repuestos y mano de obra"/>
    <m/>
    <s v="Sexta"/>
    <x v="26"/>
  </r>
  <r>
    <x v="0"/>
    <s v="HBSERVICIOS SPA"/>
    <n v="388"/>
    <s v="Mantto preventivo"/>
    <s v="oc 209"/>
    <n v="440"/>
    <n v="849006"/>
    <s v="Pagado"/>
    <s v="Servicio de mantenimineto preventivo, incluye repuestos y mano de obra"/>
    <m/>
    <s v="Sexta"/>
    <x v="29"/>
  </r>
  <r>
    <x v="0"/>
    <s v="IMPLEMENTOS"/>
    <s v="CO-0523534-1"/>
    <s v="Mantto preventivo"/>
    <s v="oc 220"/>
    <s v="sin fact"/>
    <n v="519980"/>
    <s v="Pagado"/>
    <s v="Aceite lubricante para servicio de mantnecion DElvac 1 ATF 19 litros"/>
    <m/>
    <s v="Comandancia"/>
    <x v="30"/>
  </r>
  <r>
    <x v="0"/>
    <s v="Detroit"/>
    <n v="367160"/>
    <s v="Mantto preventivo Allison"/>
    <s v="oc 218"/>
    <n v="170945"/>
    <n v="238114"/>
    <s v="Pagado"/>
    <s v="Kit filtro transmision Allison para unidad"/>
    <m/>
    <s v="Sexta"/>
    <x v="14"/>
  </r>
  <r>
    <x v="0"/>
    <s v="Porsche chile"/>
    <s v="2025027641/ 1"/>
    <s v="Compra repuestos"/>
    <s v="oc 219 "/>
    <n v="2449928"/>
    <n v="458509"/>
    <s v="Pagado"/>
    <s v="compra de repuestos manilla puerta y cremallera alzavidrio "/>
    <m/>
    <s v="Quinta"/>
    <x v="6"/>
  </r>
  <r>
    <x v="0"/>
    <s v="Kaufmann "/>
    <n v="708498621"/>
    <s v="Mantto preventivo"/>
    <s v="oc 225"/>
    <n v="6611117"/>
    <n v="258685"/>
    <s v="Pagado"/>
    <s v="Filtros mantenimiento preventivo "/>
    <m/>
    <s v="Tercera"/>
    <x v="15"/>
  </r>
  <r>
    <x v="0"/>
    <s v="Kaufmann "/>
    <n v="708498590"/>
    <s v="Mantto preventivo"/>
    <s v="oc 224"/>
    <n v="6611118"/>
    <n v="115937"/>
    <s v="Pagado"/>
    <s v="Filtros mantenimiento preventivo "/>
    <m/>
    <s v="Tercera"/>
    <x v="0"/>
  </r>
  <r>
    <x v="0"/>
    <s v="kaufmann"/>
    <n v="708577549"/>
    <s v="Compra baterias"/>
    <s v="oc 229"/>
    <n v="6570889"/>
    <n v="195631"/>
    <s v="Pagado"/>
    <s v="Compra de 2 baterias de 90 amp 12V "/>
    <m/>
    <s v="Comandancia"/>
    <x v="21"/>
  </r>
  <r>
    <x v="0"/>
    <s v="LS Servicio de Mantenimiento Industrial SPA"/>
    <s v="250808-2"/>
    <s v="Reparacion externa"/>
    <s v="oc 231"/>
    <n v="336"/>
    <n v="3749452"/>
    <s v="Pagado"/>
    <s v="Reparacion externa de sistema electrico BX7, se limpia y se genera nuevo sistema"/>
    <m/>
    <s v="Septima"/>
    <x v="10"/>
  </r>
  <r>
    <x v="0"/>
    <s v="Olitek"/>
    <n v="0"/>
    <s v="Compra repuestos"/>
    <s v="sin oc"/>
    <n v="1364"/>
    <n v="71400"/>
    <s v="Pagado"/>
    <s v="instalacion de presostato luego que se cambiara compresor auxiliar en olitek, estaba malo"/>
    <m/>
    <s v="Quinta"/>
    <x v="6"/>
  </r>
  <r>
    <x v="0"/>
    <s v="Rivecar"/>
    <n v="42999"/>
    <s v="Compra repuestos"/>
    <s v="oc 254"/>
    <n v="368493"/>
    <n v="251904"/>
    <s v="Pagado"/>
    <s v="compra de tambores traseros de 7&quot; americanos"/>
    <m/>
    <s v="Cuarta"/>
    <x v="17"/>
  </r>
  <r>
    <x v="0"/>
    <s v="Kaufmann "/>
    <n v="708610362"/>
    <s v="Mantto preventivo"/>
    <s v="oc 238"/>
    <n v="6685158"/>
    <n v="75295"/>
    <s v="Pagado"/>
    <s v="filtros mantenimiento preventivo "/>
    <m/>
    <s v="Primera "/>
    <x v="31"/>
  </r>
  <r>
    <x v="0"/>
    <s v="Detroit"/>
    <n v="368849"/>
    <s v="Mantto preventivo"/>
    <s v="oc 239"/>
    <n v="172863"/>
    <n v="198429"/>
    <s v="Pagado"/>
    <s v="Filtro mantenimiento transmision"/>
    <m/>
    <s v="Primera "/>
    <x v="31"/>
  </r>
  <r>
    <x v="0"/>
    <s v="Salfa"/>
    <n v="23367401"/>
    <s v="Compra repuestos"/>
    <s v="oc 240"/>
    <n v="5088258"/>
    <n v="61266"/>
    <s v="Pagado"/>
    <s v="compra de empaquetadura tapa de valvulas "/>
    <m/>
    <s v="Octava"/>
    <x v="3"/>
  </r>
  <r>
    <x v="0"/>
    <s v="Salfa"/>
    <n v="23367401"/>
    <s v="Compra repuestos"/>
    <s v="oc 240"/>
    <n v="5109408"/>
    <n v="106381"/>
    <s v="Pagado"/>
    <s v="compra de telecomando de viraje, el que se encuentra con problemas"/>
    <m/>
    <s v="Primera "/>
    <x v="7"/>
  </r>
  <r>
    <x v="0"/>
    <s v="Radiadores Albuerno"/>
    <n v="110"/>
    <s v="servicio reperacion"/>
    <s v="sin oc"/>
    <s v="sin fact"/>
    <n v="130900"/>
    <s v="Pagado"/>
    <s v="Limpieza radiador motor, se logro  extraer la mayor cantidad de impuresas"/>
    <m/>
    <s v="Comandancia"/>
    <x v="27"/>
  </r>
  <r>
    <x v="0"/>
    <s v="ResuceMotorS710 SPA"/>
    <n v="85"/>
    <s v="servicio reperacion"/>
    <s v="oc 247"/>
    <n v="14"/>
    <n v="214200"/>
    <s v="Pagado"/>
    <s v="Reparacion cortinas B-1"/>
    <m/>
    <s v="Primera "/>
    <x v="7"/>
  </r>
  <r>
    <x v="0"/>
    <s v="Salfa"/>
    <n v="23377655"/>
    <s v="compra repuesto"/>
    <s v="oc 250"/>
    <n v="5108583"/>
    <n v="55104"/>
    <s v="Pagado"/>
    <s v="Piola puerta"/>
    <m/>
    <s v="Decima"/>
    <x v="18"/>
  </r>
  <r>
    <x v="0"/>
    <s v="Porsche chile"/>
    <s v="2025033323/1"/>
    <s v="compra repuesto"/>
    <s v="oc 241"/>
    <n v="2456415"/>
    <n v="38446"/>
    <s v="Pagado"/>
    <s v="Compra kit reparación compresor aire"/>
    <m/>
    <s v="Quinta"/>
    <x v="1"/>
  </r>
  <r>
    <x v="0"/>
    <s v="Implementos"/>
    <s v="co-546515-1"/>
    <s v="Compra repuestos"/>
    <s v="oc 252"/>
    <n v="6130805"/>
    <n v="342980"/>
    <s v="Pagado"/>
    <s v="compra de aceite de motor para relleno b7 y aceite caja para BX1"/>
    <m/>
    <s v="Comandancia"/>
    <x v="8"/>
  </r>
  <r>
    <x v="0"/>
    <s v="Salfa"/>
    <m/>
    <s v="Mantto preventivo"/>
    <s v="oc 242"/>
    <n v="5099460"/>
    <n v="165348"/>
    <s v="Pagado"/>
    <s v="Compra repuestos mantenimiento motor"/>
    <m/>
    <s v="Comandancia"/>
    <x v="32"/>
  </r>
  <r>
    <x v="0"/>
    <s v="LS Servicio de Mantenimiento Industrial SPA"/>
    <s v="251203-1"/>
    <s v="Compra repuesto "/>
    <s v="oc 251"/>
    <n v="337"/>
    <n v="380800"/>
    <s v="Pagado"/>
    <s v="Compra de dos destellantes laterales para termino de reparacion de BX-7"/>
    <m/>
    <s v="Septima"/>
    <x v="10"/>
  </r>
  <r>
    <x v="0"/>
    <s v="ResuceMotorS710 SPA"/>
    <n v="180"/>
    <s v="servicio reperacion"/>
    <s v="sin oc"/>
    <s v="sin fact"/>
    <n v="975800"/>
    <s v="Pagado"/>
    <s v="Servicio reparacion externa por ajuste parachoque y escape"/>
    <m/>
    <s v="Tercera"/>
    <x v="15"/>
  </r>
  <r>
    <x v="0"/>
    <s v="SK Comercial "/>
    <n v="1303742826"/>
    <s v="Compra repuesto "/>
    <s v="oc 256"/>
    <s v="sin fact"/>
    <n v="98476"/>
    <s v="Pagado"/>
    <s v="Foco trasero derecho por siniestro en alarma de incendio forestal "/>
    <m/>
    <s v="Comandancia"/>
    <x v="13"/>
  </r>
  <r>
    <x v="0"/>
    <s v="HBSERVICIOS SPA"/>
    <n v="412"/>
    <s v="servicio reperacion"/>
    <s v="oc 255"/>
    <n v="478"/>
    <n v="107100"/>
    <s v="Pagado"/>
    <s v="servicio de regulacion de frenos y engrase chicharras y cardan "/>
    <m/>
    <s v="Septima"/>
    <x v="20"/>
  </r>
  <r>
    <x v="0"/>
    <s v="Lucas Blandford S.A"/>
    <n v="75056"/>
    <s v="Compra baterias"/>
    <s v="oc 249"/>
    <n v="1420136"/>
    <n v="80920"/>
    <s v="Pagado"/>
    <s v="compra de bateria por desperfecto "/>
    <m/>
    <s v="Decima"/>
    <x v="33"/>
  </r>
  <r>
    <x v="0"/>
    <s v="Car and truck"/>
    <n v="1072"/>
    <s v="Compra repuesto "/>
    <s v="oc 248"/>
    <n v="26330"/>
    <n v="593820"/>
    <s v="Pagado"/>
    <s v="Compra focos material mayor carros americanos"/>
    <m/>
    <s v="Comandancia"/>
    <x v="8"/>
  </r>
  <r>
    <x v="0"/>
    <s v="Transportes Navasep"/>
    <s v="sin"/>
    <s v="Servicio grua"/>
    <s v="oc "/>
    <n v="227"/>
    <n v="452200"/>
    <s v="Pagado"/>
    <s v="Servicio fgrua desde tunel chacabuco hasta 5ta san bernardo "/>
    <m/>
    <s v="Quinta"/>
    <x v="1"/>
  </r>
  <r>
    <x v="2"/>
    <s v="SKC RED"/>
    <s v="MPCA01"/>
    <s v="compra refrigerante"/>
    <s v="oc 262"/>
    <s v="sin fact"/>
    <n v="404600"/>
    <s v="Pagado"/>
    <s v="compra tambor de refrigerante motor"/>
    <m/>
    <s v="Comandancia"/>
    <x v="8"/>
  </r>
  <r>
    <x v="2"/>
    <s v="Kaufmann "/>
    <n v="708698490"/>
    <s v="compra lubricante"/>
    <s v="oc 263"/>
    <n v="6752677"/>
    <n v="817629"/>
    <s v="Pagado"/>
    <s v="compra tambor aceite motor"/>
    <m/>
    <s v="Comandancia"/>
    <x v="8"/>
  </r>
  <r>
    <x v="2"/>
    <s v="Porsche chile"/>
    <s v="2026001069/ 1"/>
    <s v="compra repuesto"/>
    <s v="sin oc"/>
    <s v="sin fact"/>
    <n v="327990"/>
    <s v="Pagado"/>
    <s v="compra cremallera puerta trasera derecha"/>
    <m/>
    <s v="Quinta"/>
    <x v="6"/>
  </r>
  <r>
    <x v="2"/>
    <s v="Tomycar"/>
    <s v="OT K-2"/>
    <s v="Mantto preventivo"/>
    <s v="oc 06"/>
    <n v="30"/>
    <n v="412505"/>
    <s v="Pagado"/>
    <s v="Servicio externo de mantenimiento de motor y transmision"/>
    <m/>
    <s v="Comandancia"/>
    <x v="34"/>
  </r>
  <r>
    <x v="2"/>
    <s v="Tomycar"/>
    <s v="OT K-10"/>
    <s v="Mantto preventivo"/>
    <s v="oc 07"/>
    <n v="31"/>
    <n v="295885"/>
    <s v="Pagado"/>
    <s v="Servicio externo de mantenimiento de motor"/>
    <m/>
    <s v="Decima"/>
    <x v="22"/>
  </r>
  <r>
    <x v="2"/>
    <s v="Tomycar"/>
    <s v="OT S-1"/>
    <s v="Mantto preventivo"/>
    <s v="oc 08"/>
    <n v="32"/>
    <n v="401866"/>
    <s v="Pagado"/>
    <s v="Servicio externo de mantenimiento de motor"/>
    <m/>
    <s v="Comandancia"/>
    <x v="33"/>
  </r>
  <r>
    <x v="2"/>
    <s v="Supermercado del neumatico"/>
    <n v="20620849"/>
    <s v="Cambio neumaticos"/>
    <s v="oc 04"/>
    <m/>
    <n v="753713"/>
    <s v="Pagado"/>
    <s v="Servicio de cambio de neumatico a rueda de repuesto"/>
    <m/>
    <s v="Tercera"/>
    <x v="0"/>
  </r>
  <r>
    <x v="2"/>
    <s v="Supermercado del neumatico"/>
    <n v="20621489"/>
    <s v="Servicio alineación"/>
    <s v="oc 18"/>
    <s v="sin fact"/>
    <n v="52999"/>
    <s v="Pagado"/>
    <s v="Servicio externo de alineacion "/>
    <m/>
    <s v="Octava"/>
    <x v="3"/>
  </r>
  <r>
    <x v="2"/>
    <s v="HBSERVICIOS SPA"/>
    <n v="426"/>
    <s v="servicio reperacion"/>
    <s v="oc 16"/>
    <n v="484"/>
    <n v="428400"/>
    <s v="Pagado"/>
    <s v="servicio de reparacion externa de motor primer "/>
    <m/>
    <s v="Septima"/>
    <x v="20"/>
  </r>
  <r>
    <x v="2"/>
    <s v="RODOLFO ENRIQUE OÑATE VÁSQUEZ"/>
    <n v="552"/>
    <s v="servicio reperacion"/>
    <s v="oc 25"/>
    <n v="1355"/>
    <n v="83300"/>
    <s v="Pagado"/>
    <s v="Servicio de assitencia a domicilio de unidad B-5 por problemas en perdida de aire tecalan transmision"/>
    <m/>
    <s v="Quinta"/>
    <x v="1"/>
  </r>
  <r>
    <x v="2"/>
    <s v="RODOLFO ENRIQUE OÑATE VÁSQUEZ"/>
    <n v="554"/>
    <s v="servicio reperacion"/>
    <s v="oc 26"/>
    <n v="1356"/>
    <n v="95200"/>
    <s v="Pagado"/>
    <s v="Cambio amortiguadores delanteros "/>
    <m/>
    <s v="Quinta"/>
    <x v="1"/>
  </r>
  <r>
    <x v="2"/>
    <s v="RODOLFO ENRIQUE OÑATE VÁSQUEZ"/>
    <n v="556"/>
    <s v="servicio reperacion"/>
    <s v="oc 27"/>
    <n v="1360"/>
    <n v="142800"/>
    <s v="Pagado"/>
    <s v="Servicio de cambio de pulmones de cabina en taller"/>
    <m/>
    <s v="Decima"/>
    <x v="18"/>
  </r>
  <r>
    <x v="2"/>
    <s v="RODOLFO ENRIQUE OÑATE VÁSQUEZ"/>
    <n v="559"/>
    <s v="servicio reperacion"/>
    <s v="oc 28"/>
    <n v="1369"/>
    <n v="630700"/>
    <s v="Pagado"/>
    <s v="Servicio de asistencia en terreno por alza de temperatura, desmontaje y montaje radiador, y servicios de limpieza circuito y cambio de cañeria"/>
    <m/>
    <s v="Comandancia"/>
    <x v="27"/>
  </r>
  <r>
    <x v="2"/>
    <s v="RODOLFO ENRIQUE OÑATE VÁSQUEZ"/>
    <n v="561"/>
    <s v="Mantto preventivo"/>
    <s v="oc 24"/>
    <n v="1352"/>
    <n v="249900"/>
    <s v="Pagado"/>
    <s v="Servicio de mantencion motor y transmision, engrase, lavado motor, inspeccion niveles, estado suspension y frenos."/>
    <m/>
    <s v="Segunda"/>
    <x v="2"/>
  </r>
  <r>
    <x v="2"/>
    <s v="RODOLFO ENRIQUE OÑATE VÁSQUEZ"/>
    <n v="564"/>
    <s v="Mantto preventivo"/>
    <s v="oc 29"/>
    <n v="1372"/>
    <n v="821100"/>
    <s v="Pagado"/>
    <s v="Servicio de mantencion motor y transmision, engrase, lavado motor, inspeccion niveles, estado suspension y reparacion sistema de frenos"/>
    <m/>
    <s v="Cuarta"/>
    <x v="17"/>
  </r>
  <r>
    <x v="2"/>
    <s v="RODOLFO ENRIQUE OÑATE VÁSQUEZ"/>
    <n v="566"/>
    <s v="servicio reperacion"/>
    <s v="oc 30"/>
    <n v="1375"/>
    <n v="95200"/>
    <s v="Pagado"/>
    <s v="Servicio en cuartel general por cambio de baterias"/>
    <m/>
    <s v="Comandancia"/>
    <x v="21"/>
  </r>
  <r>
    <x v="2"/>
    <s v="RODOLFO ENRIQUE OÑATE VÁSQUEZ"/>
    <n v="567"/>
    <s v="Mantto preventivo"/>
    <s v="oc 31"/>
    <n v="1379"/>
    <n v="249900"/>
    <s v="Pagado"/>
    <s v="Servicio de mantencion motor y transmision, engrase, lavado motor, inspeccion niveles, estado suspension, frenos y servicio de scanner caja y motor."/>
    <m/>
    <s v="Tercera"/>
    <x v="15"/>
  </r>
  <r>
    <x v="2"/>
    <s v="RODOLFO ENRIQUE OÑATE VÁSQUEZ"/>
    <n v="569"/>
    <s v="Mantto preventivo"/>
    <s v="oc 32"/>
    <n v="1381"/>
    <n v="618800"/>
    <s v="Pagado"/>
    <s v="Servicio de mantencion motor y transmision, engrase, lavado motor, inspeccion niveles, estado suspension, frenos y servicio de scanner caja y motor. Reparacion carter caja transferencia e inspeccion de fisura. reparacion de soporte cerradura"/>
    <m/>
    <s v="Tercera"/>
    <x v="0"/>
  </r>
  <r>
    <x v="2"/>
    <s v="RODOLFO ENRIQUE OÑATE VÁSQUEZ"/>
    <n v="572"/>
    <s v="servicio reperacion"/>
    <s v="oc 33"/>
    <n v="1383"/>
    <n v="654500"/>
    <s v="Pagado"/>
    <s v="Servicio de inspeccion en cuartel por alza temperatura, servicio reparacion culatin compresor y reparacion soporte pisaderas."/>
    <m/>
    <s v="Quinta"/>
    <x v="1"/>
  </r>
  <r>
    <x v="2"/>
    <s v="RODOLFO ENRIQUE OÑATE VÁSQUEZ"/>
    <n v="573"/>
    <s v="Mantto preventivo"/>
    <s v="oc 46"/>
    <s v="sin fact"/>
    <n v="505750"/>
    <s v="Pagado"/>
    <s v="Mantenimiento de motor, reparacion pisadera trasera derecha y cambio llave entrada directa estanque"/>
    <m/>
    <s v="Primera "/>
    <x v="7"/>
  </r>
  <r>
    <x v="2"/>
    <s v="RODOLFO ENRIQUE OÑATE VÁSQUEZ"/>
    <n v="576"/>
    <s v="servicio reperacion"/>
    <s v="oc 47"/>
    <s v="sin fact"/>
    <n v="83300"/>
    <s v="Pagado"/>
    <s v="servicio a cuartel por reparacion de encendido de luces exteriores"/>
    <m/>
    <s v="Comandancia"/>
    <x v="19"/>
  </r>
  <r>
    <x v="2"/>
    <s v="RODOLFO ENRIQUE OÑATE VÁSQUEZ"/>
    <n v="579"/>
    <s v="Reparacion externa"/>
    <s v="oc 48"/>
    <s v="sin fact"/>
    <n v="214200"/>
    <s v="Pagado"/>
    <s v="reparacion motor de arranque, mano de obra por montaje y desmontaje, y gestion."/>
    <m/>
    <s v="Primera "/>
    <x v="7"/>
  </r>
  <r>
    <x v="2"/>
    <s v="RODOLFO ENRIQUE OÑATE VÁSQUEZ"/>
    <n v="582"/>
    <s v="servicio reperacion"/>
    <s v="oc 49"/>
    <s v="sin fact"/>
    <n v="47600"/>
    <s v="Pagado"/>
    <s v="servicio visita cuartel general por rellno de aceite motor"/>
    <m/>
    <s v="Comandancia"/>
    <x v="13"/>
  </r>
  <r>
    <x v="2"/>
    <s v="RODOLFO ENRIQUE OÑATE VÁSQUEZ"/>
    <n v="586"/>
    <s v="servicio reperacion"/>
    <s v="oc 50"/>
    <s v="sin fact"/>
    <n v="345100"/>
    <s v="Pagado"/>
    <s v="servicio de reparacion termostato cuerpo de bomba, se fabrica nueva pieza para instalacion"/>
    <m/>
    <s v="Quinta"/>
    <x v="6"/>
  </r>
  <r>
    <x v="2"/>
    <s v="RODOLFO ENRIQUE OÑATE VÁSQUEZ"/>
    <n v="589"/>
    <s v="servicio reperacion"/>
    <s v="oc 51"/>
    <s v="sin fact"/>
    <n v="95200"/>
    <s v="Pagado"/>
    <s v="servicio de cambio de baterias en cuartel "/>
    <m/>
    <s v="Quinta"/>
    <x v="1"/>
  </r>
  <r>
    <x v="2"/>
    <s v="RODOLFO ENRIQUE OÑATE VÁSQUEZ"/>
    <n v="592"/>
    <s v="servicio reperacion"/>
    <s v="oc 52"/>
    <s v="sin fact"/>
    <n v="476000"/>
    <s v="Pagado"/>
    <s v="servicio re cambio focos principales, cambio de balatas x4 meritor"/>
    <m/>
    <s v="Cuarta"/>
    <x v="17"/>
  </r>
  <r>
    <x v="2"/>
    <s v="RODOLFO ENRIQUE OÑATE VÁSQUEZ"/>
    <n v="595"/>
    <s v="servicio reperacion"/>
    <s v="oc 53"/>
    <s v="sin fact"/>
    <n v="71400"/>
    <s v="Pagado"/>
    <s v="Servicio de cambio de focos principales"/>
    <m/>
    <s v="Segunda "/>
    <x v="2"/>
  </r>
  <r>
    <x v="2"/>
    <s v="RODOLFO ENRIQUE OÑATE VÁSQUEZ"/>
    <n v="597"/>
    <s v="servicio reperacion"/>
    <s v="oc 54"/>
    <s v="sin fact"/>
    <n v="71400"/>
    <s v="Pagado"/>
    <s v="Servicio de cambio de focos principales"/>
    <m/>
    <s v="Cuarta"/>
    <x v="16"/>
  </r>
  <r>
    <x v="2"/>
    <s v="RODOLFO ENRIQUE OÑATE VÁSQUEZ"/>
    <n v="600"/>
    <s v="servicio reperacion"/>
    <s v="oc 55"/>
    <s v="sin fact"/>
    <n v="71400"/>
    <s v="Pagado"/>
    <s v="Servicio de cambio de focos principales"/>
    <m/>
    <s v="Tercera"/>
    <x v="15"/>
  </r>
  <r>
    <x v="2"/>
    <s v="Supermercado del neumatico"/>
    <n v="20624006"/>
    <s v="Cambio neumaticos"/>
    <s v="sin oc"/>
    <s v="sin fact"/>
    <n v="342921"/>
    <s v="Pagado"/>
    <s v="Compra de neumatico para roptura de uno de ellos, se cambian ambas unidades"/>
    <m/>
    <s v="Comandancia"/>
    <x v="24"/>
  </r>
  <r>
    <x v="2"/>
    <s v="Supermercado del neumatico"/>
    <n v="20624147"/>
    <s v="Servicio alineación"/>
    <s v="sin oc"/>
    <s v="sin fact"/>
    <n v="25000"/>
    <s v="Pagado"/>
    <s v="Servicio de alineacion "/>
    <m/>
    <s v="Comandancia"/>
    <x v="24"/>
  </r>
  <r>
    <x v="2"/>
    <s v="Supermercado del neumatico"/>
    <n v="20626045"/>
    <s v="Cambio neumaticos"/>
    <s v="oc 57"/>
    <s v="sin fact"/>
    <n v="795154"/>
    <s v="Pagado"/>
    <s v="cambio de neumaticos delanteros, mas camara y funda interior neuma"/>
    <m/>
    <s v="Octava"/>
    <x v="3"/>
  </r>
  <r>
    <x v="2"/>
    <s v="Kaufmann "/>
    <n v="708799309"/>
    <s v="compra lubricante"/>
    <s v="sin oc"/>
    <s v="sin fact"/>
    <n v="203517"/>
    <s v="Pagado"/>
    <s v="compra de lubricante de tranmision para cambio"/>
    <m/>
    <s v="Segunda"/>
    <x v="25"/>
  </r>
  <r>
    <x v="2"/>
    <s v="Sociedad Emergency132 spa"/>
    <n v="1798"/>
    <s v="Reparacion externa"/>
    <s v="sin oc"/>
    <s v="sin fact"/>
    <n v="428400"/>
    <s v="Pagado"/>
    <s v="Servicio de reparacion de cortinas "/>
    <m/>
    <s v="Comandancia"/>
    <x v="19"/>
  </r>
  <r>
    <x v="2"/>
    <s v="RODOLFO ENRIQUE OÑATE VÁSQUEZ"/>
    <n v="605"/>
    <s v="servicio reperacion"/>
    <s v="sin oc"/>
    <s v="sin fact"/>
    <n v="1856400"/>
    <s v="Pagado"/>
    <s v="Reparacion de alternador, mantenimiento motor, transmision y engrase, inspeccion sistemas"/>
    <m/>
    <s v="Primera "/>
    <x v="31"/>
  </r>
  <r>
    <x v="2"/>
    <s v="RODOLFO ENRIQUE OÑATE VÁSQUEZ"/>
    <n v="608"/>
    <s v="servicio reperacion"/>
    <s v="sin oc"/>
    <s v="sin fact"/>
    <n v="95200"/>
    <s v="Pagado"/>
    <s v="Servico cambio de baterias unidad B-5"/>
    <m/>
    <s v="Qiuinta"/>
    <x v="1"/>
  </r>
  <r>
    <x v="2"/>
    <s v="RODOLFO ENRIQUE OÑATE VÁSQUEZ"/>
    <n v="610"/>
    <s v="servicio reperacion"/>
    <s v="sin oc"/>
    <s v="sin fact"/>
    <n v="47600"/>
    <s v="Pagado"/>
    <s v="engrase chasis, puntos moviles y cuerpo bomba"/>
    <m/>
    <s v="Comandancia"/>
    <x v="27"/>
  </r>
  <r>
    <x v="2"/>
    <s v="RODOLFO ENRIQUE OÑATE VÁSQUEZ"/>
    <n v="611"/>
    <s v="servicio reperacion"/>
    <s v="sin oc"/>
    <s v="sin fact"/>
    <n v="47600"/>
    <s v="Pagado"/>
    <s v="engrase chasis, puntos moviles y cuerpo bomba"/>
    <m/>
    <s v="Comandancia"/>
    <x v="19"/>
  </r>
  <r>
    <x v="2"/>
    <s v="RODOLFO ENRIQUE OÑATE VÁSQUEZ"/>
    <n v="612"/>
    <s v="servicio reperacion"/>
    <s v="sin oc"/>
    <s v="sin fact"/>
    <n v="47600"/>
    <s v="Pagado"/>
    <s v="engrase chasis, puntos moviles y cuerpo bomba"/>
    <m/>
    <s v="Octava"/>
    <x v="3"/>
  </r>
  <r>
    <x v="2"/>
    <s v="RODOLFO ENRIQUE OÑATE VÁSQUEZ"/>
    <n v="613"/>
    <s v="servicio reperacion"/>
    <s v="sin oc"/>
    <s v="sin fact"/>
    <n v="47600"/>
    <s v="Pagado"/>
    <s v="engrase chasis, puntos moviles y cuerpo bomba"/>
    <m/>
    <s v="Primera "/>
    <x v="7"/>
  </r>
  <r>
    <x v="2"/>
    <s v="RODOLFO ENRIQUE OÑATE VÁSQUEZ"/>
    <n v="614"/>
    <s v="Mantencion motor"/>
    <s v="sin oc"/>
    <s v="sin fact"/>
    <n v="249900"/>
    <s v="Pagado"/>
    <s v="mantencion motor, revision niveles, engrase, lavado motor, sistema refri, inspeccion visual suspension y frenos"/>
    <m/>
    <s v="Octava"/>
    <x v="3"/>
  </r>
  <r>
    <x v="2"/>
    <s v="RODOLFO ENRIQUE OÑATE VÁSQUEZ"/>
    <n v="617"/>
    <s v="servicio reperacion"/>
    <s v="sin oc"/>
    <s v="sin fact"/>
    <n v="297500"/>
    <s v="Pagado"/>
    <s v="limpieza cuerpo de bomba y estanque de agua por exceso de residuos de goma en interior"/>
    <m/>
    <s v="Segunda "/>
    <x v="25"/>
  </r>
  <r>
    <x v="2"/>
    <s v="RODOLFO ENRIQUE OÑATE VÁSQUEZ"/>
    <n v="620"/>
    <s v="servicio reperacion"/>
    <s v="sin oc"/>
    <s v="sin fact"/>
    <n v="761600"/>
    <s v="Pagado"/>
    <s v="cambio empaquetadura y mangueras por alza temperatura motor, desmontaje, limpieza y montaje radiador"/>
    <m/>
    <s v="Primera "/>
    <x v="7"/>
  </r>
  <r>
    <x v="2"/>
    <s v="RODOLFO ENRIQUE OÑATE VÁSQUEZ"/>
    <n v="623"/>
    <s v="servicio reperacion"/>
    <s v="sin oc"/>
    <s v="sin fact"/>
    <n v="718760"/>
    <s v="Pagado"/>
    <s v="cmabio correa ventilador, pulmon de freno 30/30, cambio soporte motor delanteros, servicios con repuestos incluidos."/>
    <m/>
    <s v="Sexta"/>
    <x v="14"/>
  </r>
  <r>
    <x v="2"/>
    <s v="RODOLFO ENRIQUE OÑATE VÁSQUEZ"/>
    <n v="625"/>
    <s v="servicio reperacion"/>
    <s v="sin oc"/>
    <s v="sin fact"/>
    <n v="374850"/>
    <s v="Pagado"/>
    <s v="cambio de reten en toma fuerza por perdida de fluido de transmisión (repuesto incluido)"/>
    <m/>
    <s v="Segunda"/>
    <x v="25"/>
  </r>
  <r>
    <x v="2"/>
    <s v="RODOLFO ENRIQUE OÑATE VÁSQUEZ"/>
    <n v="627"/>
    <s v="servicio reperacion"/>
    <s v="sin oc"/>
    <s v="sin fact"/>
    <n v="414120"/>
    <s v="Pagado"/>
    <s v="cambio de reten en diferencial por perdida de fluido (repuesto incluido) y reparacion perdida de aire"/>
    <m/>
    <s v="Segunda "/>
    <x v="2"/>
  </r>
  <r>
    <x v="2"/>
    <s v="RODOLFO ENRIQUE OÑATE VÁSQUEZ"/>
    <n v="629"/>
    <s v="servicio reperacion"/>
    <s v="sin oc"/>
    <s v="sin fact"/>
    <n v="178500"/>
    <s v="Pagado"/>
    <s v="cambio de manguera de retorno de combustible por roptura"/>
    <m/>
    <s v="Sexta"/>
    <x v="29"/>
  </r>
  <r>
    <x v="2"/>
    <s v="Gruas Neron"/>
    <s v="sin"/>
    <s v="Servicio grua"/>
    <s v="oc"/>
    <n v="101"/>
    <n v="202300"/>
    <s v="Pagado"/>
    <s v="Traslado de BX-1 desde San martin a c1"/>
    <m/>
    <s v="Primera "/>
    <x v="31"/>
  </r>
  <r>
    <x v="2"/>
    <s v="Supermercado del neumatico"/>
    <n v="20637363"/>
    <s v="Cambio neumaticos"/>
    <s v="oc 108"/>
    <s v="sin fact"/>
    <n v="2169876"/>
    <s v="Pagado"/>
    <s v="Cambio de neumaticos  direccioin y tracción, servicio balanceo y alineacion "/>
    <m/>
    <s v="Segunda "/>
    <x v="2"/>
  </r>
  <r>
    <x v="2"/>
    <s v="Sociedad Himelco ltda"/>
    <s v="PR2604-8004"/>
    <s v="compra repuesto"/>
    <s v="sin oc"/>
    <s v="sin fact"/>
    <n v="111529"/>
    <s v="pendiente de oc"/>
    <s v="compra cargador de bateria estacionario para unidades de 12v 10A "/>
    <m/>
    <s v="Decima"/>
    <x v="33"/>
  </r>
  <r>
    <x v="2"/>
    <s v="Porsche inter auto chile spa"/>
    <s v="2026009640/ 1"/>
    <s v="Mantto preventivo"/>
    <s v="oc 106"/>
    <s v="sin fact"/>
    <n v="1188777"/>
    <s v="pendiente de pago "/>
    <s v="kit de mantenimiento motor y transmision + fltros correspondientes "/>
    <m/>
    <s v="Quinta"/>
    <x v="1"/>
  </r>
  <r>
    <x v="2"/>
    <s v="Porsche inter auto chile spa"/>
    <s v="2026009641/1"/>
    <s v="Mantto preventivo"/>
    <s v="oc 107"/>
    <s v="sin fact"/>
    <n v="1169632"/>
    <s v="pendiente de pago "/>
    <s v="kit de mantenimiento motor y transmision + fltros correspondientes "/>
    <m/>
    <s v="Quinta"/>
    <x v="6"/>
  </r>
  <r>
    <x v="2"/>
    <s v="Heavy Service"/>
    <n v="955"/>
    <s v="servicio reperacion"/>
    <s v="oc 97"/>
    <n v="726"/>
    <n v="2659495"/>
    <s v="Pagado"/>
    <s v="reparacion cuerpo de bomba camiva cb90, overhaull completo "/>
    <m/>
    <s v="Decima"/>
    <x v="18"/>
  </r>
  <r>
    <x v="2"/>
    <s v="REDFLAME"/>
    <n v="1764"/>
    <s v="Ploteo"/>
    <s v="sin oc"/>
    <s v="sin fact"/>
    <n v="714000"/>
    <s v="pendiente de oc"/>
    <s v="ploteo unidad completo, eliminacion de ploteo viejo"/>
    <m/>
    <s v="Comandancia"/>
    <x v="24"/>
  </r>
  <r>
    <x v="2"/>
    <s v="Salfa"/>
    <n v="23456070"/>
    <s v="Compra repuestos"/>
    <s v="oc 105"/>
    <s v="sin fact"/>
    <n v="2738189"/>
    <s v="pendiente de pago "/>
    <s v="compra de repuestos soporte cardan, kit reparación muñones, rotulas y masa delantera"/>
    <m/>
    <s v="Octava"/>
    <x v="3"/>
  </r>
  <r>
    <x v="2"/>
    <s v="Supermercado del neumatico"/>
    <n v="20633298"/>
    <s v="Cambio neumaticos"/>
    <s v="oc 81"/>
    <n v="620861"/>
    <n v="1614797"/>
    <s v="Pagado"/>
    <s v="cambio de neumaticos delanteros por pinchazo en lado derecho + balanceo y alineacion"/>
    <m/>
    <s v="Primera"/>
    <x v="31"/>
  </r>
  <r>
    <x v="2"/>
    <s v="RODOLFO ENRIQUE OÑATE VÁSQUEZ"/>
    <n v="631"/>
    <s v="servicio reperacion"/>
    <s v="oc 116"/>
    <n v="1499"/>
    <n v="2023000"/>
    <s v="pendiente de oc"/>
    <s v="cambio carcasa caja de transferencia waterous"/>
    <m/>
    <s v="Tercera"/>
    <x v="0"/>
  </r>
  <r>
    <x v="2"/>
    <s v="RODOLFO ENRIQUE OÑATE VÁSQUEZ"/>
    <n v="633"/>
    <s v="servicio reperacion"/>
    <s v="oc 115"/>
    <n v="1498"/>
    <n v="464100"/>
    <s v="pendiente de oc"/>
    <s v="cambio de aceite y filtro motor, reparacion electrica a a/c y balizas que no encendian"/>
    <m/>
    <s v="Comandancia"/>
    <x v="22"/>
  </r>
  <r>
    <x v="2"/>
    <s v="RODOLFO ENRIQUE OÑATE VÁSQUEZ"/>
    <n v="636"/>
    <s v="servicio reperacion"/>
    <s v="oc 115"/>
    <n v="1498"/>
    <n v="214200"/>
    <s v="pendiente de oc"/>
    <s v="reparacion tubo de escape luego de siniestro con cable baja tension en iioo mateo y toro"/>
    <m/>
    <s v="Primera"/>
    <x v="7"/>
  </r>
  <r>
    <x v="2"/>
    <s v="RODOLFO ENRIQUE OÑATE VÁSQUEZ"/>
    <n v="638"/>
    <s v="Mantencion motor"/>
    <s v="oc 115"/>
    <n v="1498"/>
    <n v="119000"/>
    <s v="pendiente de oc"/>
    <s v="cmabio de valvulas de purga acumuladores de aire en curtel decima (BR-2)"/>
    <m/>
    <s v="Comandandia "/>
    <x v="27"/>
  </r>
  <r>
    <x v="2"/>
    <s v="RODOLFO ENRIQUE OÑATE VÁSQUEZ"/>
    <n v="639"/>
    <s v="servicio reperacion"/>
    <s v="oc 117"/>
    <n v="1500"/>
    <n v="452200"/>
    <s v="pendiente de oc"/>
    <s v="reparacion pisadera fibra de vidrio, pintura, instalacioón, insumos. (siniestro)"/>
    <m/>
    <s v="Segunda"/>
    <x v="25"/>
  </r>
  <r>
    <x v="2"/>
    <s v="RODOLFO ENRIQUE OÑATE VÁSQUEZ"/>
    <n v="640"/>
    <s v="servicio reperacion"/>
    <s v="oc 115"/>
    <n v="1498"/>
    <n v="71400"/>
    <s v="pendiente de oc"/>
    <s v="reparacion fuga de agua por manguera de retorno estanque-cuerpo de bomba (BR-1)"/>
    <m/>
    <s v="Comandancia"/>
    <x v="19"/>
  </r>
  <r>
    <x v="2"/>
    <s v="RODOLFO ENRIQUE OÑATE VÁSQUEZ"/>
    <n v="641"/>
    <s v="servicio reperacion"/>
    <s v="oc 117"/>
    <n v="1500"/>
    <n v="71400"/>
    <s v="pendiente de oc"/>
    <s v="reparacion fuga de aire por asiento conductor"/>
    <m/>
    <s v="Tercera"/>
    <x v="15"/>
  </r>
  <r>
    <x v="2"/>
    <s v="RODOLFO ENRIQUE OÑATE VÁSQUEZ"/>
    <n v="644"/>
    <s v="servicio reperacion"/>
    <s v="oc 117"/>
    <n v="1500"/>
    <n v="279650"/>
    <s v="pendiente de oc"/>
    <s v="desmontaje y montaje neumatico dirección en cuartel, montaje eje palier y llenado de aceite diferencial"/>
    <m/>
    <s v="Primera "/>
    <x v="31"/>
  </r>
  <r>
    <x v="2"/>
    <s v="Lucas Blandford S.A"/>
    <n v="80342"/>
    <s v="Compra baterias"/>
    <s v="oc 101"/>
    <s v="sin fact"/>
    <n v="440300"/>
    <s v="pendiente de pago "/>
    <s v="compra de baterias "/>
    <m/>
    <s v="Primera"/>
    <x v="7"/>
  </r>
  <r>
    <x v="2"/>
    <s v="Lucas Blandford S.A"/>
    <n v="80340"/>
    <s v="Compra baterias"/>
    <s v="oc 102"/>
    <s v="sin fact"/>
    <n v="366520"/>
    <s v="pendiente de pago "/>
    <s v="compra de baterias "/>
    <m/>
    <s v="Septima"/>
    <x v="10"/>
  </r>
  <r>
    <x v="2"/>
    <s v="Lucas Blandford S.A"/>
    <n v="80338"/>
    <s v="Compra baterias"/>
    <s v="oc 103"/>
    <s v="sin fact"/>
    <n v="85179"/>
    <s v="pendiente de pago "/>
    <s v="baterias de 75amp "/>
    <m/>
    <s v="Decima"/>
    <x v="18"/>
  </r>
  <r>
    <x v="2"/>
    <s v="Heavy Service"/>
    <n v="958"/>
    <s v="servicio reparación"/>
    <s v="oc 110"/>
    <s v="sin fact"/>
    <n v="5029298"/>
    <s v="pendiente de pago "/>
    <s v="servicio de montaje CB90 en unidad, modificacion de manifold, cambio de llaves"/>
    <m/>
    <s v="Primera"/>
    <x v="7"/>
  </r>
  <r>
    <x v="2"/>
    <s v="Heavy Service"/>
    <n v="957"/>
    <s v="servicio reparación"/>
    <s v="oc 109"/>
    <s v="sin fact"/>
    <n v="3724700"/>
    <s v="pendiente de pago "/>
    <s v="reparacion varias, entre ellas estructural, desmontaje de cuerpo de bomba para  inspeccion y mantencion torreta iluminacion"/>
    <m/>
    <s v="Decima"/>
    <x v="18"/>
  </r>
  <r>
    <x v="2"/>
    <s v="FPS Chile SPA"/>
    <s v="027-2026"/>
    <s v="servicio reparación"/>
    <s v="sin oc"/>
    <s v="sin fact"/>
    <n v="1483335"/>
    <s v="pendiente de oc"/>
    <s v="reparacion de unidad B-7, cambio de luces, reparaciones electricas varias, fabricacion soportes, reparacion motor vol/pres"/>
    <m/>
    <s v="Septima"/>
    <x v="20"/>
  </r>
  <r>
    <x v="2"/>
    <s v="Heavy Service"/>
    <n v="964"/>
    <s v="servicio reparación"/>
    <s v="oc 121"/>
    <s v="sin fact"/>
    <n v="3394915"/>
    <s v="pendiente de pago "/>
    <s v="reparacion bomba, fabricacion eje impulsor, cambio anillo desgaste, anillos macho impulsor, cambio polea bomba cebado, incluye kit reparacion cb180 sello mecanico, rodamientos, retenes, oring, kit reparacion bomba cebado, rodamientos, membranas, reten, eje. "/>
    <m/>
    <s v="Primera "/>
    <x v="7"/>
  </r>
  <r>
    <x v="2"/>
    <s v="Caren"/>
    <n v="1271154"/>
    <s v="Cambio neumaticos"/>
    <s v="oc 122"/>
    <s v="sin fact"/>
    <n v="993733"/>
    <s v="Pagado"/>
    <s v="cambio neumaticos direccionales mixto continental crosstrac HS3 315/80R22.5"/>
    <m/>
    <s v="Tercera"/>
    <x v="15"/>
  </r>
  <r>
    <x v="2"/>
    <s v="motores de los andes"/>
    <n v="708977801"/>
    <s v="compra repuesto"/>
    <s v="oc 120"/>
    <s v="sin fact"/>
    <n v="233377"/>
    <s v="pendiente de pago "/>
    <s v="compra de dos sensores desgaste pastillas frenos traseros"/>
    <m/>
    <s v="Sexta "/>
    <x v="26"/>
  </r>
  <r>
    <x v="2"/>
    <s v="Lucas Blandford S.A"/>
    <n v="81256"/>
    <s v="Compra baterias"/>
    <s v="oc124"/>
    <n v="1438467"/>
    <n v="566240"/>
    <s v="Pagado"/>
    <s v="compra de baterias para unidad H-0"/>
    <m/>
    <s v="Comandancia"/>
    <x v="32"/>
  </r>
  <r>
    <x v="2"/>
    <s v="Angela Soledad Muñoz Ibanez"/>
    <n v="7073"/>
    <s v="servicio reparación"/>
    <s v="sin oc"/>
    <n v="5580"/>
    <n v="392700"/>
    <s v="pendiente de oc"/>
    <s v="reparación de pisadera derecha por choque, reparación fijaciones de parachoque trasera luego de siniestro"/>
    <m/>
    <s v="Tercera"/>
    <x v="0"/>
  </r>
  <r>
    <x v="2"/>
    <m/>
    <m/>
    <m/>
    <m/>
    <s v="sin fact"/>
    <m/>
    <m/>
    <m/>
    <m/>
    <m/>
    <x v="11"/>
  </r>
  <r>
    <x v="2"/>
    <m/>
    <m/>
    <m/>
    <m/>
    <s v="sin fact"/>
    <m/>
    <m/>
    <m/>
    <m/>
    <m/>
    <x v="11"/>
  </r>
  <r>
    <x v="2"/>
    <m/>
    <m/>
    <m/>
    <m/>
    <s v="sin fact"/>
    <m/>
    <m/>
    <m/>
    <m/>
    <m/>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DA884A-EECB-4D56-B30D-BBBECF61845D}" name="TablaDinámica1" cacheId="19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B31" firstHeaderRow="1" firstDataRow="1" firstDataCol="1"/>
  <pivotFields count="12">
    <pivotField compact="0" outline="0" showAll="0">
      <items count="4">
        <item h="1" x="0"/>
        <item x="2"/>
        <item h="1"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36">
        <item x="7"/>
        <item x="18"/>
        <item x="15"/>
        <item x="17"/>
        <item x="30"/>
        <item x="1"/>
        <item x="26"/>
        <item x="28"/>
        <item x="20"/>
        <item x="3"/>
        <item x="6"/>
        <item x="19"/>
        <item x="27"/>
        <item x="13"/>
        <item x="31"/>
        <item x="10"/>
        <item x="8"/>
        <item x="32"/>
        <item x="4"/>
        <item x="21"/>
        <item x="24"/>
        <item x="9"/>
        <item x="33"/>
        <item x="34"/>
        <item x="12"/>
        <item x="5"/>
        <item x="2"/>
        <item x="29"/>
        <item x="0"/>
        <item x="25"/>
        <item x="16"/>
        <item x="22"/>
        <item x="23"/>
        <item x="14"/>
        <item x="11"/>
        <item t="default"/>
      </items>
    </pivotField>
  </pivotFields>
  <rowFields count="1">
    <field x="11"/>
  </rowFields>
  <rowItems count="29">
    <i>
      <x/>
    </i>
    <i>
      <x v="1"/>
    </i>
    <i>
      <x v="2"/>
    </i>
    <i>
      <x v="3"/>
    </i>
    <i>
      <x v="5"/>
    </i>
    <i>
      <x v="6"/>
    </i>
    <i>
      <x v="8"/>
    </i>
    <i>
      <x v="9"/>
    </i>
    <i>
      <x v="10"/>
    </i>
    <i>
      <x v="11"/>
    </i>
    <i>
      <x v="12"/>
    </i>
    <i>
      <x v="13"/>
    </i>
    <i>
      <x v="14"/>
    </i>
    <i>
      <x v="15"/>
    </i>
    <i>
      <x v="16"/>
    </i>
    <i>
      <x v="17"/>
    </i>
    <i>
      <x v="19"/>
    </i>
    <i>
      <x v="20"/>
    </i>
    <i>
      <x v="22"/>
    </i>
    <i>
      <x v="23"/>
    </i>
    <i>
      <x v="26"/>
    </i>
    <i>
      <x v="27"/>
    </i>
    <i>
      <x v="28"/>
    </i>
    <i>
      <x v="29"/>
    </i>
    <i>
      <x v="30"/>
    </i>
    <i>
      <x v="31"/>
    </i>
    <i>
      <x v="33"/>
    </i>
    <i>
      <x v="34"/>
    </i>
    <i t="grand">
      <x/>
    </i>
  </rowItems>
  <colItems count="1">
    <i/>
  </colItems>
  <dataFields count="1">
    <dataField name="Suma de VALOR" fld="6" baseField="0" baseItem="0" numFmtId="169"/>
  </dataFields>
  <formats count="3">
    <format dxfId="56">
      <pivotArea outline="0" fieldPosition="0">
        <references count="1">
          <reference field="11" count="1" selected="0">
            <x v="0"/>
          </reference>
        </references>
      </pivotArea>
    </format>
    <format dxfId="57">
      <pivotArea outline="0" collapsedLevelsAreSubtotals="1" fieldPosition="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B12302DD-1E97-4584-BA6D-32956EA09FE1}" sourceName="AÑO">
  <pivotTables>
    <pivotTable tabId="16" name="TablaDinámica1"/>
  </pivotTables>
  <data>
    <tabular pivotCacheId="766412156">
      <items count="3">
        <i x="0"/>
        <i x="2"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CD124BB8-D56F-483D-9D5E-A3D2184F3DAA}" cache="SegmentaciónDeDatos_AÑO" caption="AÑO"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51CD71-EE64-4ECB-8AD0-5BC7724EF20A}" name="MAESTRO" displayName="MAESTRO" ref="A1:J33" totalsRowShown="0" headerRowDxfId="52">
  <autoFilter ref="A1:J33" xr:uid="{FE51CD71-EE64-4ECB-8AD0-5BC7724EF20A}"/>
  <tableColumns count="10">
    <tableColumn id="1" xr3:uid="{0BB6421E-F086-4D7D-9F35-E210F7F3B80D}" name="COMPAÑÍA" dataDxfId="51"/>
    <tableColumn id="2" xr3:uid="{A20D4334-FF20-4D32-A5A4-482DEF31C975}" name="UNIDAD" dataDxfId="50"/>
    <tableColumn id="3" xr3:uid="{8D663A1E-D72D-4F0E-BBFA-C8FBEC6439C9}" name="TIPO" dataDxfId="49"/>
    <tableColumn id="4" xr3:uid="{E434C599-F2A9-469F-A330-A4964AE145E7}" name="ESTADO" dataDxfId="48">
      <calculatedColumnFormula>IFERROR(
_xlfn.XLOOKUP(MAESTRO[[#This Row],[UNIDAD]],BITACORA[UNIDAD],BITACORA[ESTADO RESULTANTE],"",0,-1),
"")</calculatedColumnFormula>
    </tableColumn>
    <tableColumn id="5" xr3:uid="{E2014F88-245D-47C4-A077-E8668D2A504E}" name="FECHA SALIDA SERVICIO" dataDxfId="47">
      <calculatedColumnFormula>IFERROR(_xlfn.MAXIFS(BITACORA[FECHA],BITACORA[UNIDAD],MAESTRO[[#This Row],[UNIDAD]],BITACORA[ESTADO RESULTANTE],"FUERA_SERVICIO"),"")</calculatedColumnFormula>
    </tableColumn>
    <tableColumn id="6" xr3:uid="{14EF3D37-7F27-4534-B0DD-B40F75746699}" name="DIAS FUERA" dataDxfId="46">
      <calculatedColumnFormula>IF(D2="OPERATIVA",0,IFERROR(TODAY()-E2,0))</calculatedColumnFormula>
    </tableColumn>
    <tableColumn id="12" xr3:uid="{180A2E90-E31C-4BAE-BEB0-E39562E29393}" name="MOTIVO" dataDxfId="45">
      <calculatedColumnFormula array="1">IF(OR(MAESTRO[[#This Row],[ESTADO]]="TALLER",MAESTRO[[#This Row],[ESTADO]]="FUERA_SERVICIO"), IFERROR( _xlfn.XLOOKUP( 1, (BITACORA[UNIDAD]=MAESTRO[[#This Row],[UNIDAD]])* ((BITACORA[ESTADO RESULTANTE]="TALLER")+(BITACORA[ESTADO RESULTANTE]="FUERA_SERVICIO")), BITACORA[Servicio Realizado], "", 0, -1 ), ""), "")</calculatedColumnFormula>
    </tableColumn>
    <tableColumn id="13" xr3:uid="{7C4584F4-1CFB-455E-A957-E09D1D060419}" name="CONTROL PREVENTIVO" dataDxfId="44"/>
    <tableColumn id="7" xr3:uid="{78A4B53F-8E57-4DA3-98E9-2C96112D1752}" name="ULT_PREV" dataDxfId="43">
      <calculatedColumnFormula>IFERROR(_xlfn.MAXIFS(PREVENTIVOS_DB[FECHA],PREVENTIVOS_DB[UNIDAD],MAESTRO[[#This Row],[UNIDAD]]),"")</calculatedColumnFormula>
    </tableColumn>
    <tableColumn id="10" xr3:uid="{2D7B4CB0-2AC0-4CDB-B2EE-D05990CCDAC6}" name="COSTO 2025" dataDxfId="42">
      <calculatedColumnFormula>IFERROR(SUMIF(CONTROL[UNIDAD],MAESTRO[[#This Row],[UNIDAD]],CONTROL[VALOR]),0)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97C6FA-F60A-40D5-9F64-75EE2F158D63}" name="BITACORA" displayName="BITACORA" ref="A1:H354" totalsRowShown="0">
  <autoFilter ref="A1:H354" xr:uid="{4897C6FA-F60A-40D5-9F64-75EE2F158D63}"/>
  <tableColumns count="8">
    <tableColumn id="1" xr3:uid="{531119AC-DEC3-42E6-B6A5-9EB9C9F87BB4}" name="FECHA" dataDxfId="41"/>
    <tableColumn id="12" xr3:uid="{63E05E3C-0754-432E-8860-DF1D4B919162}" name="UNIDAD" dataDxfId="40"/>
    <tableColumn id="2" xr3:uid="{C409D130-FBBC-464C-A048-C44B1C5398C3}" name="TIPO EVENTO"/>
    <tableColumn id="3" xr3:uid="{9656286D-95A5-4519-BAE8-17ADB0F4776A}" name="ESTADO RESULTANTE"/>
    <tableColumn id="4" xr3:uid="{E13AB2BC-68D5-4F3D-969E-25A857A78B57}" name="Servicio Realizado"/>
    <tableColumn id="6" xr3:uid="{1DAB3762-1193-4172-AFFA-02FC7DD8A96B}" name="TALLER"/>
    <tableColumn id="7" xr3:uid="{1D0AD2FB-8E76-4024-9E85-15566023DFF5}" name="estatus"/>
    <tableColumn id="8" xr3:uid="{71D3A673-E225-4F5B-8EC1-FD89A4D91425}" name="CONCEPTO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769A1A9-3233-4DEE-9AF7-3A2DC9CE0626}" name="CONTROL" displayName="CONTROL" ref="A1:L365" totalsRowShown="0" headerRowDxfId="39" tableBorderDxfId="38">
  <autoFilter ref="A1:L365" xr:uid="{5769A1A9-3233-4DEE-9AF7-3A2DC9CE0626}"/>
  <tableColumns count="12">
    <tableColumn id="1" xr3:uid="{1854BB3D-1769-49B9-984D-2B8C227686BD}" name="AÑO" dataDxfId="37"/>
    <tableColumn id="2" xr3:uid="{F5659A83-8FF9-4C49-82BA-4E38F6DC002D}" name="proveedor" dataDxfId="36"/>
    <tableColumn id="3" xr3:uid="{02EDC727-0C8E-42A8-988B-E2EE0C98789A}" name="COTIZACION" dataDxfId="35"/>
    <tableColumn id="4" xr3:uid="{842D420A-BBC5-4750-94E6-EA2CFC361E2F}" name="servicio" dataDxfId="34"/>
    <tableColumn id="5" xr3:uid="{321E5804-AEB2-4ECF-AFBF-DE8DD921FC70}" name="N° orden de compra" dataDxfId="33"/>
    <tableColumn id="6" xr3:uid="{429AB821-8C06-41C2-B1E5-C15D4523C2F5}" name="N° factura" dataDxfId="32"/>
    <tableColumn id="7" xr3:uid="{32D4A956-1EF5-4B29-B39E-E76A5D4C28DC}" name="VALOR" dataDxfId="31"/>
    <tableColumn id="8" xr3:uid="{0452F055-26C7-4F7E-9402-9AFA38C342CB}" name="estado Pendiente/ Pagado" dataDxfId="30"/>
    <tableColumn id="9" xr3:uid="{CF243AE3-D000-48FF-B57A-D470F33B9955}" name="detalle" dataDxfId="29"/>
    <tableColumn id="10" xr3:uid="{C3225F8F-11CB-436E-A4E1-039C0209843C}" name="N° Trasn" dataDxfId="28"/>
    <tableColumn id="11" xr3:uid="{8A70C1DF-2BD0-464F-80AE-DF5006471FB0}" name="Compañía" dataDxfId="27"/>
    <tableColumn id="12" xr3:uid="{E4E6D123-2A03-4BC4-8868-D5690FCE3C60}" name="UNIDAD"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64E33C-DC24-4F78-B698-BBC9BEC29E8B}" name="PREVENTIVOS_DB" displayName="PREVENTIVOS_DB" ref="A1:H37" totalsRowShown="0">
  <autoFilter ref="A1:H37" xr:uid="{E864E33C-DC24-4F78-B698-BBC9BEC29E8B}"/>
  <tableColumns count="8">
    <tableColumn id="1" xr3:uid="{18ADC459-8C41-4880-8553-8CD2B491A940}" name="UNIDAD"/>
    <tableColumn id="2" xr3:uid="{A9FE3A52-38AB-477C-A4DA-C20D1EA1A8EF}" name="FECHA"/>
    <tableColumn id="3" xr3:uid="{98CF0E72-31D2-4C9C-A11B-4309A35D3459}" name="TIPO"/>
    <tableColumn id="4" xr3:uid="{B81B9BE8-5E52-4E56-A401-21CAE643A360}" name="CONTROL"/>
    <tableColumn id="5" xr3:uid="{62C7A045-1FAA-4F31-97CC-549AE77F46ED}" name="HM"/>
    <tableColumn id="6" xr3:uid="{615B0BC1-55C0-46B7-B64B-49383DE60271}" name="KM"/>
    <tableColumn id="7" xr3:uid="{700D6BFF-54A5-44B5-B349-998AD1A7192D}" name="OBS"/>
    <tableColumn id="8" xr3:uid="{7337A081-4885-4784-8C00-3A4C9034E4A3}" name="PROX SERVICIO" dataDxfId="25">
      <calculatedColumnFormula>+PREVENTIVOS_DB[[#This Row],[HM]]+400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6C5089-4FCD-40D0-B7E1-FBA87A3E832D}" name="RT_MATERIALMAYOR" displayName="RT_MATERIALMAYOR" ref="A8:I42" totalsRowShown="0" headerRowDxfId="21" headerRowBorderDxfId="19" tableBorderDxfId="20">
  <autoFilter ref="A8:I42" xr:uid="{00000000-0009-0000-0000-000000000000}"/>
  <tableColumns count="9">
    <tableColumn id="1" xr3:uid="{98F02084-E792-49EE-B851-BE7374B6D172}" name="COMPAÑÍA" dataDxfId="18"/>
    <tableColumn id="2" xr3:uid="{11BEC6C3-B3DB-4448-A5BF-48C0CEFB891F}" name="CARRO" dataDxfId="17"/>
    <tableColumn id="3" xr3:uid="{E011C47F-2B36-423E-A3AF-7AF4A3546A28}" name="MARCA" dataDxfId="16"/>
    <tableColumn id="4" xr3:uid="{07CA88A2-4992-424C-8BD7-5AE1D5D45944}" name="MODELO" dataDxfId="15"/>
    <tableColumn id="5" xr3:uid="{F6FA9A7E-FA25-4958-BB50-2C1F293404F4}" name="AÑO" dataDxfId="14"/>
    <tableColumn id="6" xr3:uid="{B52E87AC-2E2E-4118-944A-C8FD8466BB28}" name="N° MOTOR" dataDxfId="13"/>
    <tableColumn id="7" xr3:uid="{61840A23-C736-4451-BF38-FE64B77D71E9}" name="N° VIN" dataDxfId="12"/>
    <tableColumn id="8" xr3:uid="{C275A7B7-07D0-42FD-B811-A78595BFC061}" name="PATENTE" dataDxfId="11"/>
    <tableColumn id="9" xr3:uid="{5801B733-1124-4D4A-91E5-B69E5C751E89}" name="REV TEC"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BFA7C5-FD7B-414E-ACC5-758BD17E1719}" name="Tabla3" displayName="Tabla3" ref="A1:H30" totalsRowShown="0" headerRowDxfId="9" dataDxfId="8">
  <autoFilter ref="A1:H30" xr:uid="{20BFA7C5-FD7B-414E-ACC5-758BD17E1719}"/>
  <tableColumns count="8">
    <tableColumn id="1" xr3:uid="{B8609A06-9274-44BB-BA8A-4AC8F16F950F}" name="Unidad" dataDxfId="7"/>
    <tableColumn id="2" xr3:uid="{649ACB96-B8E2-4B0D-822A-610A1921751A}" name="Modelo" dataDxfId="6"/>
    <tableColumn id="3" xr3:uid="{9984E0FA-B753-46BA-820A-20663A7A6258}" name="Direccionales" dataDxfId="5"/>
    <tableColumn id="4" xr3:uid="{EA05A4A8-E547-4DF2-8688-2B9A57FAA4FC}" name="Marca" dataDxfId="4"/>
    <tableColumn id="5" xr3:uid="{3DC2BA7B-995A-4C7C-8DA1-353595B0C87C}" name="Traccionales" dataDxfId="3"/>
    <tableColumn id="6" xr3:uid="{F6BC9BCF-D759-4D03-AEDB-888B3F37BDC5}" name="Marca2" dataDxfId="2"/>
    <tableColumn id="7" xr3:uid="{120C589E-0649-41F8-99C4-0B76BC8748D7}" name="Fecha de intalacion " dataDxfId="1"/>
    <tableColumn id="8" xr3:uid="{C89C5E76-01CA-4C34-B349-86DBB5EF550A}" name="Fecha de vencimiento" dataDxfId="0"/>
  </tableColumns>
  <tableStyleInfo name="TableStyleMedium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SI([@ESTADO]=%22OPERATIVA%22,0,SI.ERROR(HOY()-[@[FECHA%20SALIDA%20SERVICIO]],0))" TargetMode="External"/><Relationship Id="rId1" Type="http://schemas.openxmlformats.org/officeDocument/2006/relationships/hyperlink" Target="mailto:=SI([@ESTADO]=%22OPERATIVA%22,0,SI.ERROR(HOY()-[@[FECHA%20SALIDA%20SERVICIO]],0))"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cuerpodebomberos.sharepoint.com/:b:/r/sites/MaterialMayor/Documentos%20compartidos/Material%20Mayor%202025/Cotizaciones%202025/Presupuesto%20607-25%20K-10.pdf?csf=1&amp;web=1&amp;e=l0e5p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cuerpodebomberos.sharepoint.com/:b:/r/sites/MaterialMayor/Documentos%20compartidos/Material%20Mayor%202025/Cotizaciones%202025/cotizaci%C3%B3n%2011811%20valvulas%20akron%20brass%20de%202%20y%203%20pulgadas%20unidad%20b4.pdf?csf=1&amp;web=1&amp;e=KK8xav" TargetMode="External"/><Relationship Id="rId21" Type="http://schemas.openxmlformats.org/officeDocument/2006/relationships/hyperlink" Target="https://cuerpodebomberos.sharepoint.com/:b:/r/sites/MaterialMayor/Documentos%20compartidos/Material%20Mayor%202025/OC%202025/OLITEK%20N%C2%B015.pdf?csf=1&amp;web=1&amp;e=bG54YP" TargetMode="External"/><Relationship Id="rId324" Type="http://schemas.openxmlformats.org/officeDocument/2006/relationships/hyperlink" Target="https://cuerpodebomberos.sharepoint.com/:b:/r/sites/MaterialMayor/Documentos%20compartidos/Material%20Mayor%202025/Facturas%202025/FACTURA%20N%C2%B0%201364%20SAN%20BERNARDO%20%20PRESOSTATO%20220%20VOLT.%20CON%20MANO%20DE%20OBRA.pdf?csf=1&amp;web=1&amp;e=gmiMlQ" TargetMode="External"/><Relationship Id="rId531" Type="http://schemas.openxmlformats.org/officeDocument/2006/relationships/hyperlink" Target="https://cuerpodebomberos.sharepoint.com/:b:/r/sites/MaterialMayor/Documentos%20compartidos/Material%20Mayor%202026/Facturas/FACTURA%201553%20OC%20166%20COT%20682.pdf?d=wb47a7596e13b4290bb16ef9c468f287d&amp;csf=1&amp;web=1&amp;e=OeUiV6" TargetMode="External"/><Relationship Id="rId170" Type="http://schemas.openxmlformats.org/officeDocument/2006/relationships/hyperlink" Target="https://cuerpodebomberos.sharepoint.com/:b:/r/sites/MaterialMayor/Documentos%20compartidos/Material%20Mayor%202025/OC%202025/KAUFMANN%20N%C2%B0129.pdf?csf=1&amp;web=1&amp;e=qjCqdv" TargetMode="External"/><Relationship Id="rId268" Type="http://schemas.openxmlformats.org/officeDocument/2006/relationships/hyperlink" Target="https://cuerpodebomberos.sharepoint.com/:b:/r/sites/MaterialMayor/Documentos%20compartidos/Material%20Mayor%202025/Facturas%202025/FACTURA%201261%20OC%20199-2025%20Z-6%20COT%20522.pdf?csf=1&amp;web=1&amp;e=N6nttZ" TargetMode="External"/><Relationship Id="rId475" Type="http://schemas.openxmlformats.org/officeDocument/2006/relationships/hyperlink" Target="https://cuerpodebomberos.sharepoint.com/:b:/r/sites/MaterialMayor/Documentos%20compartidos/Material%20Mayor%202026/OC/RODOLFO%20O%C3%91ATE%20N%C2%B0115.pdf?csf=1&amp;web=1&amp;e=IF2IcG" TargetMode="External"/><Relationship Id="rId32" Type="http://schemas.openxmlformats.org/officeDocument/2006/relationships/hyperlink" Target="https://cuerpodebomberos.sharepoint.com/:b:/r/sites/MaterialMayor/Documentos%20compartidos/Material%20Mayor%202025/OC%202025/COMERCIAL%20DE%20INSUMOS%20N%C2%B020.pdf?csf=1&amp;web=1&amp;e=OTcOzK" TargetMode="External"/><Relationship Id="rId128" Type="http://schemas.openxmlformats.org/officeDocument/2006/relationships/hyperlink" Target="https://cuerpodebomberos.sharepoint.com/:b:/r/sites/MaterialMayor/Documentos%20compartidos/Material%20Mayor%202025/OC%202025/OLITEK%20N%C2%B094.pdf?csf=1&amp;web=1&amp;e=78n7yY" TargetMode="External"/><Relationship Id="rId335" Type="http://schemas.openxmlformats.org/officeDocument/2006/relationships/hyperlink" Target="https://cuerpodebomberos.sharepoint.com/:b:/r/sites/MaterialMayor/Documentos%20compartidos/Material%20Mayor%202025/Cotizaciones%202025/5035001%20OC%20210.pdf?csf=1&amp;web=1&amp;e=aKdzDm" TargetMode="External"/><Relationship Id="rId542" Type="http://schemas.openxmlformats.org/officeDocument/2006/relationships/hyperlink" Target="https://cuerpodebomberos.sharepoint.com/:b:/r/sites/MaterialMayor/Documentos%20compartidos/Material%20Mayor%202026/OC/RODOLFO%20O%C3%91ATE%20N%C2%B0179.pdf?d=w2c73d565a29f46f9b7dae8fefb453035&amp;csf=1&amp;web=1&amp;e=Unw9vf" TargetMode="External"/><Relationship Id="rId181" Type="http://schemas.openxmlformats.org/officeDocument/2006/relationships/hyperlink" Target="https://cuerpodebomberos.sharepoint.com/:b:/r/sites/MaterialMayor/Documentos%20compartidos/Material%20Mayor%202025/OC%202025/DETROIT%20S.A%20N%C2%B0141%20(1).pdf?csf=1&amp;web=1&amp;e=3llwlf" TargetMode="External"/><Relationship Id="rId402" Type="http://schemas.openxmlformats.org/officeDocument/2006/relationships/hyperlink" Target="https://cuerpodebomberos.sharepoint.com/:b:/r/sites/MaterialMayor/Documentos%20compartidos/Material%20Mayor%202026/Facturas%202025/FACTURA%20OC%2032%20COT%20569.pdf?csf=1&amp;web=1&amp;e=c8t1Qh" TargetMode="External"/><Relationship Id="rId279" Type="http://schemas.openxmlformats.org/officeDocument/2006/relationships/hyperlink" Target="https://cuerpodebomberos.sharepoint.com/:b:/r/sites/MaterialMayor/Documentos%20compartidos/Material%20Mayor%202025/OC%202025/RODOLFO%20O%C3%91ATE%20N%C2%B0214.pdf?csf=1&amp;web=1&amp;e=ZFtedb" TargetMode="External"/><Relationship Id="rId486" Type="http://schemas.openxmlformats.org/officeDocument/2006/relationships/hyperlink" Target="https://cuerpodebomberos.sharepoint.com/:b:/r/sites/MaterialMayor/Documentos%20compartidos/Material%20Mayor%202026/Facturas/FACTURA%201498%20OC%20115%20COT%20633-635-638-640.pdf?csf=1&amp;web=1&amp;e=GzeqCI" TargetMode="External"/><Relationship Id="rId43" Type="http://schemas.openxmlformats.org/officeDocument/2006/relationships/hyperlink" Target="https://cuerpodebomberos.sharepoint.com/:b:/r/sites/MaterialMayor/Documentos%20compartidos/Material%20Mayor%202025/OC%202025/ORDEN%20DE%20COMPRA%20N%C2%B028%20LA%20NUEVA%20spa.pdf?csf=1&amp;web=1&amp;e=TbtP05" TargetMode="External"/><Relationship Id="rId139" Type="http://schemas.openxmlformats.org/officeDocument/2006/relationships/hyperlink" Target="https://cuerpodebomberos.sharepoint.com/:b:/r/sites/MaterialMayor/Documentos%20compartidos/Material%20Mayor%202025/Facturas%202025/F%209444%201%20CUERPO%20DE%20BOMBEROS%20DE%20SAN%20BERNARDO%20%20OT%2030798.pdf?csf=1&amp;web=1&amp;e=29pKvD" TargetMode="External"/><Relationship Id="rId346" Type="http://schemas.openxmlformats.org/officeDocument/2006/relationships/hyperlink" Target="https://cuerpodebomberos.sharepoint.com/:b:/r/sites/MaterialMayor/Documentos%20compartidos/Material%20Mayor%202025/OC%202025/HB%20SERVICIOS%20N%C2%B0255.pdf?csf=1&amp;web=1&amp;e=VvBLs6" TargetMode="External"/><Relationship Id="rId192" Type="http://schemas.openxmlformats.org/officeDocument/2006/relationships/hyperlink" Target="https://cuerpodebomberos.sharepoint.com/:b:/r/sites/MaterialMayor/Documentos%20compartidos/Material%20Mayor%202025/OC%202025/IMPROFOR%20N%C2%B0159.pdf?csf=1&amp;web=1&amp;e=7Llz5f" TargetMode="External"/><Relationship Id="rId206" Type="http://schemas.openxmlformats.org/officeDocument/2006/relationships/hyperlink" Target="https://cuerpodebomberos.sharepoint.com/:b:/r/sites/MaterialMayor/Documentos%20compartidos/Material%20Mayor%202025/Facturas%202025/DOC_33_1406149.pdf?csf=1&amp;web=1&amp;e=46pqZE" TargetMode="External"/><Relationship Id="rId413" Type="http://schemas.openxmlformats.org/officeDocument/2006/relationships/hyperlink" Target="https://cuerpodebomberos.sharepoint.com/:b:/r/sites/MaterialMayor/Documentos%20compartidos/Material%20Mayor%202026/Cotizaciones%202025/CBSB%20589.pdf?csf=1&amp;web=1&amp;e=N21P1Z" TargetMode="External"/><Relationship Id="rId497" Type="http://schemas.openxmlformats.org/officeDocument/2006/relationships/hyperlink" Target="https://cuerpodebomberos.sharepoint.com/:b:/r/sites/MaterialMayor/Documentos%20compartidos/Material%20Mayor%202026/Cotizaciones/CBSB%20655.pdf?csf=1&amp;web=1&amp;e=yuYl3Q" TargetMode="External"/><Relationship Id="rId12" Type="http://schemas.openxmlformats.org/officeDocument/2006/relationships/hyperlink" Target="https://cuerpodebomberos.sharepoint.com/:b:/r/sites/MaterialMayor/Documentos%20compartidos/Material%20Mayor%202025/OC%202025/ML%20HEAVY%20SERVICE%20N%C2%B06.pdf?csf=1&amp;web=1&amp;e=BxwtL4" TargetMode="External"/><Relationship Id="rId108" Type="http://schemas.openxmlformats.org/officeDocument/2006/relationships/hyperlink" Target="https://cuerpodebomberos.sharepoint.com/:b:/r/sites/MaterialMayor/Documentos%20compartidos/Material%20Mayor%202025/OC%202025/FEREXPO%20N%C2%B082.pdf?csf=1&amp;web=1&amp;e=7aVYch" TargetMode="External"/><Relationship Id="rId315" Type="http://schemas.openxmlformats.org/officeDocument/2006/relationships/hyperlink" Target="https://cuerpodebomberos.sharepoint.com/:b:/r/sites/MaterialMayor/Documentos%20compartidos/Material%20Mayor%202025/OC%202025/KAUFMANN%20N%C2%B0225.pdf?csf=1&amp;web=1&amp;e=cAAZNs" TargetMode="External"/><Relationship Id="rId357" Type="http://schemas.openxmlformats.org/officeDocument/2006/relationships/hyperlink" Target="https://cuerpodebomberos.sharepoint.com/:b:/r/sites/MaterialMayor/Documentos%20compartidos/Material%20Mayor%202025/Facturas%202025/5108583%20-%20Piola%20B-10.pdf?csf=1&amp;web=1&amp;e=ez4HBz" TargetMode="External"/><Relationship Id="rId522" Type="http://schemas.openxmlformats.org/officeDocument/2006/relationships/hyperlink" Target="https://cuerpodebomberos.sharepoint.com/:b:/r/sites/MaterialMayor/Documentos%20compartidos/Material%20Mayor%202026/OC/RODOLFO%20O%C3%91ATE%20N%C2%B0168.pdf?d=w566b94600e2b4cd49e5935b1ef97a138&amp;csf=1&amp;web=1&amp;e=Et2kK4" TargetMode="External"/><Relationship Id="rId54" Type="http://schemas.openxmlformats.org/officeDocument/2006/relationships/hyperlink" Target="https://cuerpodebomberos.sharepoint.com/:b:/r/sites/MaterialMayor/Documentos%20compartidos/Material%20Mayor%202025/Facturas%202025/INVERSIONES%20CS%20N%C2%B084434.pdf?csf=1&amp;web=1&amp;e=5xfVaH" TargetMode="External"/><Relationship Id="rId96" Type="http://schemas.openxmlformats.org/officeDocument/2006/relationships/hyperlink" Target="https://cuerpodebomberos.sharepoint.com/:b:/r/sites/MaterialMayor/Documentos%20compartidos/Material%20Mayor%202025/OC%202025/KAUFMANN%20N%C2%B062.pdf?csf=1&amp;web=1&amp;e=uJ7Zaf" TargetMode="External"/><Relationship Id="rId161" Type="http://schemas.openxmlformats.org/officeDocument/2006/relationships/hyperlink" Target="https://cuerpodebomberos.sharepoint.com/:b:/r/sites/MaterialMayor/Documentos%20compartidos/Material%20Mayor%202025/Facturas%202025/factura%20No%20196%20-%20Oc%20118%20Andrade.pdf?csf=1&amp;web=1&amp;e=dAb5Jr" TargetMode="External"/><Relationship Id="rId217" Type="http://schemas.openxmlformats.org/officeDocument/2006/relationships/hyperlink" Target="https://cuerpodebomberos.sharepoint.com/:b:/r/sites/MaterialMayor/Documentos%20compartidos/Material%20Mayor%202025/OC%202025/INSUMOS%20INDUSTRIALES%20CII%20SPA%20N%C2%B0169.pdf?csf=1&amp;web=1&amp;e=lzSXAW" TargetMode="External"/><Relationship Id="rId399" Type="http://schemas.openxmlformats.org/officeDocument/2006/relationships/hyperlink" Target="https://cuerpodebomberos.sharepoint.com/:b:/r/sites/MaterialMayor/Documentos%20compartidos/Material%20Mayor%202026/Facturas%202025/FACTURA%20OC%2033%20COT%20572.pdf?csf=1&amp;web=1&amp;e=vudZhc" TargetMode="External"/><Relationship Id="rId259" Type="http://schemas.openxmlformats.org/officeDocument/2006/relationships/hyperlink" Target="https://cuerpodebomberos.sharepoint.com/:b:/r/sites/MaterialMayor/Documentos%20compartidos/Material%20Mayor%202025/OC%202025/RODOLFO%20O%C3%91ATE%20N%C2%B0200.pdf?csf=1&amp;web=1&amp;e=Mskpa1" TargetMode="External"/><Relationship Id="rId424" Type="http://schemas.openxmlformats.org/officeDocument/2006/relationships/hyperlink" Target="https://cuerpodebomberos.sharepoint.com/:b:/r/sites/MaterialMayor/Documentos%20compartidos/Material%20Mayor%202026/OC/RODOLFO%20O%C3%91ATE%20N%C2%B047.pdf?csf=1&amp;web=1&amp;e=ckS5Nn" TargetMode="External"/><Relationship Id="rId466" Type="http://schemas.openxmlformats.org/officeDocument/2006/relationships/hyperlink" Target="https://cuerpodebomberos.sharepoint.com/:b:/r/sites/MaterialMayor/Documentos%20compartidos/Material%20Mayor%202026/Cotizaciones/COTIZACION%200708977801%20CBSB%20B-6.pdf?csf=1&amp;web=1&amp;e=dADZe0" TargetMode="External"/><Relationship Id="rId23" Type="http://schemas.openxmlformats.org/officeDocument/2006/relationships/hyperlink" Target="https://cuerpodebomberos.sharepoint.com/:i:/r/sites/MaterialMayor/Documentos%20compartidos/Material%20Mayor%202025/Facturas%202025/WhatsApp%20Image%202025-02-12%20at%2009.53.15.jpeg?csf=1&amp;web=1&amp;e=i1evrz" TargetMode="External"/><Relationship Id="rId119" Type="http://schemas.openxmlformats.org/officeDocument/2006/relationships/hyperlink" Target="https://cuerpodebomberos.sharepoint.com/:b:/r/sites/MaterialMayor/Documentos%20compartidos/Material%20Mayor%202025/OC%202025/LA%20NUEVA%20SPA%20N%C2%B089.pdf?csf=1&amp;web=1&amp;e=3gXg4k" TargetMode="External"/><Relationship Id="rId270" Type="http://schemas.openxmlformats.org/officeDocument/2006/relationships/hyperlink" Target="https://cuerpodebomberos.sharepoint.com/:b:/r/sites/MaterialMayor/Documentos%20compartidos/Material%20Mayor%202025/Facturas%202025/FACTURA%201254%20OC%20197-2025%20RB-6%20COT%20510.pdf?csf=1&amp;web=1&amp;e=Ic9896" TargetMode="External"/><Relationship Id="rId326" Type="http://schemas.openxmlformats.org/officeDocument/2006/relationships/hyperlink" Target="https://cuerpodebomberos.sharepoint.com/:b:/r/sites/MaterialMayor/Documentos%20compartidos/Material%20Mayor%202025/Facturas%202025/6611118%20Kaufmann%20RH-3.pdf?csf=1&amp;web=1&amp;e=jRjIt4" TargetMode="External"/><Relationship Id="rId533" Type="http://schemas.openxmlformats.org/officeDocument/2006/relationships/hyperlink" Target="https://cuerpodebomberos.sharepoint.com/:b:/r/sites/MaterialMayor/Documentos%20compartidos/Material%20Mayor%202026/Facturas/FACTURA%201559%20OC%20168%20COT%20670.pdf?d=w35cfc32997bc44a2a905568bb9b25c2b&amp;csf=1&amp;web=1&amp;e=duGXyl" TargetMode="External"/><Relationship Id="rId65" Type="http://schemas.openxmlformats.org/officeDocument/2006/relationships/hyperlink" Target="https://cuerpodebomberos.sharepoint.com/:b:/r/sites/MaterialMayor/Documentos%20compartidos/Material%20Mayor%202025/OC%202025/FILTER.CL%20N%C2%B047.pdf?csf=1&amp;web=1&amp;e=EeT4LH" TargetMode="External"/><Relationship Id="rId130" Type="http://schemas.openxmlformats.org/officeDocument/2006/relationships/hyperlink" Target="https://cuerpodebomberos.sharepoint.com/:b:/r/sites/MaterialMayor/Documentos%20compartidos/Material%20Mayor%202025/OC%202025/OLITEK%20N%C2%B095.pdf?csf=1&amp;web=1&amp;e=XgLgeS" TargetMode="External"/><Relationship Id="rId368" Type="http://schemas.openxmlformats.org/officeDocument/2006/relationships/hyperlink" Target="https://cuerpodebomberos.sharepoint.com/:b:/r/sites/MaterialMayor/Documentos%20compartidos/Material%20Mayor%202025/Facturas%202025/Factura%20n%C2%B032%20CBSB.pdf?csf=1&amp;web=1&amp;e=0oKsaL" TargetMode="External"/><Relationship Id="rId172" Type="http://schemas.openxmlformats.org/officeDocument/2006/relationships/hyperlink" Target="https://cuerpodebomberos.sharepoint.com/:b:/r/sites/MaterialMayor/Documentos%20compartidos/Material%20Mayor%202025/Cotizaciones%202025/Cotizacion-70418.pdf?csf=1&amp;web=1&amp;e=wXOERz" TargetMode="External"/><Relationship Id="rId228" Type="http://schemas.openxmlformats.org/officeDocument/2006/relationships/hyperlink" Target="https://cuerpodebomberos.sharepoint.com/:b:/r/sites/MaterialMayor/Documentos%20compartidos/Material%20Mayor%202025/Cotizaciones%202025/CARRO%20B-1.pdf?csf=1&amp;web=1&amp;e=GhCl0n" TargetMode="External"/><Relationship Id="rId435" Type="http://schemas.openxmlformats.org/officeDocument/2006/relationships/hyperlink" Target="https://cuerpodebomberos.sharepoint.com/:b:/r/sites/MaterialMayor/Documentos%20compartidos/Material%20Mayor%202026/Cotizaciones/PRESUPUESTO%20955.pdf?csf=1&amp;web=1&amp;e=YaLByD" TargetMode="External"/><Relationship Id="rId477" Type="http://schemas.openxmlformats.org/officeDocument/2006/relationships/hyperlink" Target="https://cuerpodebomberos.sharepoint.com/:b:/r/sites/MaterialMayor/Documentos%20compartidos/Material%20Mayor%202026/OC/RODOLFO%20O%C3%91ATE%20N%C2%B0117.pdf?csf=1&amp;web=1&amp;e=04OK2f" TargetMode="External"/><Relationship Id="rId281" Type="http://schemas.openxmlformats.org/officeDocument/2006/relationships/hyperlink" Target="https://cuerpodebomberos.sharepoint.com/:b:/r/sites/MaterialMayor/Documentos%20compartidos/Material%20Mayor%202025/Cotizaciones%202025/BOMBEROS%20SAN%20BERNARDO-367160.pdf?csf=1&amp;web=1&amp;e=hs6JS1" TargetMode="External"/><Relationship Id="rId337" Type="http://schemas.openxmlformats.org/officeDocument/2006/relationships/hyperlink" Target="https://cuerpodebomberos.sharepoint.com/:b:/r/sites/MaterialMayor/Documentos%20compartidos/Material%20Mayor%202025/Facturas%202025/6685158.pdf?csf=1&amp;web=1&amp;e=1o0rf3" TargetMode="External"/><Relationship Id="rId502" Type="http://schemas.openxmlformats.org/officeDocument/2006/relationships/hyperlink" Target="https://cuerpodebomberos.sharepoint.com/:b:/r/sites/MaterialMayor/Documentos%20compartidos/Material%20Mayor%202026/Cotizaciones/CUERPO%20DE%20BOMBEROS%20DE%20SAN%20BERNARDO%20COT%20107640.pdf?csf=1&amp;web=1&amp;e=w7Eo7a" TargetMode="External"/><Relationship Id="rId34" Type="http://schemas.openxmlformats.org/officeDocument/2006/relationships/hyperlink" Target="https://cuerpodebomberos.sharepoint.com/:b:/r/sites/MaterialMayor/Documentos%20compartidos/Material%20Mayor%202025/Cotizaciones%202025/COT59746%20CUERPO%20DE%20BOMBEROS.pdf?csf=1&amp;web=1&amp;e=FBpKy4" TargetMode="External"/><Relationship Id="rId76" Type="http://schemas.openxmlformats.org/officeDocument/2006/relationships/hyperlink" Target="https://cuerpodebomberos.sharepoint.com/:b:/r/sites/MaterialMayor/Documentos%20compartidos/Material%20Mayor%202025/Cotizaciones%202025/COTIZACION%20N%C2%B0319%20BOMBEROS%20DE%20SAN%20BERNARDO.pdf?csf=1&amp;web=1&amp;e=5ic1qT" TargetMode="External"/><Relationship Id="rId141" Type="http://schemas.openxmlformats.org/officeDocument/2006/relationships/hyperlink" Target="https://cuerpodebomberos.sharepoint.com/:b:/r/sites/MaterialMayor/Documentos%20compartidos/Material%20Mayor%202025/Cotizaciones%202025/auftrag_2025015515_C.B.S.Bern.pdf?csf=1&amp;web=1&amp;e=z6tDCU" TargetMode="External"/><Relationship Id="rId379" Type="http://schemas.openxmlformats.org/officeDocument/2006/relationships/hyperlink" Target="https://cuerpodebomberos.sharepoint.com/:b:/r/sites/MaterialMayor/Documentos%20compartidos/Material%20Mayor%202025/OC%202025/PORSHE%20N%C2%B0241.pdf?csf=1&amp;web=1&amp;e=tGWfo5" TargetMode="External"/><Relationship Id="rId544" Type="http://schemas.openxmlformats.org/officeDocument/2006/relationships/hyperlink" Target="https://cuerpodebomberos.sharepoint.com/:b:/r/sites/MaterialMayor/Documentos%20compartidos/Material%20Mayor%202026/OC/RODOLFO%20O%C3%91ATE%20N%C2%B0176.pdf?d=weae96675b1074eb09a992e37693a88f9&amp;csf=1&amp;web=1&amp;e=qBSDo9" TargetMode="External"/><Relationship Id="rId7" Type="http://schemas.openxmlformats.org/officeDocument/2006/relationships/hyperlink" Target="https://cuerpodebomberos.sharepoint.com/:b:/r/sites/MaterialMayor/Documentos%20compartidos/Material%20Mayor%202025/OC%202025/CUMMINS%20N%C2%B04.pdf?csf=1&amp;web=1&amp;e=mXUR07" TargetMode="External"/><Relationship Id="rId183" Type="http://schemas.openxmlformats.org/officeDocument/2006/relationships/hyperlink" Target="https://cuerpodebomberos.sharepoint.com/:b:/r/sites/MaterialMayor/Documentos%20compartidos/Material%20Mayor%202025/OC%202025/NERA%20CHILE%20N%C2%B0136.pdf?csf=1&amp;web=1&amp;e=IykC6v" TargetMode="External"/><Relationship Id="rId239" Type="http://schemas.openxmlformats.org/officeDocument/2006/relationships/hyperlink" Target="https://cuerpodebomberos.sharepoint.com/:b:/r/sites/MaterialMayor/Documentos%20compartidos/Material%20Mayor%202025/Cotizaciones%202025/COTIZACION%20N%C2%B0319%20BOMBEROS%20DE%20SAN%20BERNARDO.pdf?csf=1&amp;web=1&amp;e=5ic1qT" TargetMode="External"/><Relationship Id="rId390" Type="http://schemas.openxmlformats.org/officeDocument/2006/relationships/hyperlink" Target="https://cuerpodebomberos.sharepoint.com/:b:/r/sites/MaterialMayor/Documentos%20compartidos/Material%20Mayor%202025/Cotizaciones%202025/CBSB%20564.pdf?csf=1&amp;web=1&amp;e=oSCUhE" TargetMode="External"/><Relationship Id="rId404" Type="http://schemas.openxmlformats.org/officeDocument/2006/relationships/hyperlink" Target="https://cuerpodebomberos.sharepoint.com/:b:/r/sites/MaterialMayor/Documentos%20compartidos/Material%20Mayor%202026/Facturas%202025/FACTURA%20OC%2027%20COT%20556.pdf?csf=1&amp;web=1&amp;e=fcDoCa" TargetMode="External"/><Relationship Id="rId446" Type="http://schemas.openxmlformats.org/officeDocument/2006/relationships/hyperlink" Target="https://cuerpodebomberos.sharepoint.com/:b:/r/sites/MaterialMayor/Documentos%20compartidos/Material%20Mayor%202026/Cotizaciones/CBSB%20641.pdf?csf=1&amp;web=1&amp;e=oVi0ic" TargetMode="External"/><Relationship Id="rId250" Type="http://schemas.openxmlformats.org/officeDocument/2006/relationships/hyperlink" Target="https://cuerpodebomberos.sharepoint.com/:b:/r/sites/MaterialMayor/Documentos%20compartidos/Material%20Mayor%202025/Facturas%202025/Documento_33_170317.pdf?csf=1&amp;web=1&amp;e=cERpmM" TargetMode="External"/><Relationship Id="rId292" Type="http://schemas.openxmlformats.org/officeDocument/2006/relationships/hyperlink" Target="https://cuerpodebomberos.sharepoint.com/:b:/r/sites/MaterialMayor/Documentos%20compartidos/Material%20Mayor%202025/Facturas%202025/Factura%208139%20(1).pdf?csf=1&amp;web=1&amp;e=UFx4mr" TargetMode="External"/><Relationship Id="rId306" Type="http://schemas.openxmlformats.org/officeDocument/2006/relationships/hyperlink" Target="https://cuerpodebomberos.sharepoint.com/:b:/r/sites/MaterialMayor/Documentos%20compartidos/Material%20Mayor%202025/Facturas%202025/DOC_33_170945.pdf?csf=1&amp;web=1&amp;e=e3TLpX" TargetMode="External"/><Relationship Id="rId488" Type="http://schemas.openxmlformats.org/officeDocument/2006/relationships/hyperlink" Target="https://cuerpodebomberos.sharepoint.com/:b:/r/sites/MaterialMayor/Documentos%20compartidos/Material%20Mayor%202026/Cotizaciones/0709104552%20-%20CUERPO%20DE%20BOMBEROS%20DE%20SAN%20BERNARDO%20CUERPO%20DE%20BOMBEROS%20DE%20SAN%20BERNARDO.pdf?csf=1&amp;web=1&amp;e=Ntg1vE" TargetMode="External"/><Relationship Id="rId45" Type="http://schemas.openxmlformats.org/officeDocument/2006/relationships/hyperlink" Target="https://cuerpodebomberos.sharepoint.com/:b:/r/sites/MaterialMayor/Documentos%20compartidos/Material%20Mayor%202025/Facturas%202025/FACTURA%20N%C2%B0%201280%20SAN%20BERNARDO%20%20PIOLA%20ACELERADOR%20DE%20CUERPO%20BOMBA%20B-8.pdf?csf=1&amp;web=1&amp;e=PhiH86" TargetMode="External"/><Relationship Id="rId87" Type="http://schemas.openxmlformats.org/officeDocument/2006/relationships/hyperlink" Target="https://cuerpodebomberos.sharepoint.com/:b:/r/sites/MaterialMayor/Documentos%20compartidos/Material%20Mayor%202025/OC%202025/SALFA%20N%C2%B067.pdf?csf=1&amp;web=1&amp;e=lIbJeN" TargetMode="External"/><Relationship Id="rId110" Type="http://schemas.openxmlformats.org/officeDocument/2006/relationships/hyperlink" Target="https://cuerpodebomberos.sharepoint.com/:b:/r/sites/MaterialMayor/Documentos%20compartidos/Material%20Mayor%202025/Cotizaciones%202025/COT901_3444%20%20%20SAN%20BERNARDO%20%20%20BOTON%20PARADOR%20DE%20MOTOR.pdf?csf=1&amp;web=1&amp;e=eKAZwR" TargetMode="External"/><Relationship Id="rId348" Type="http://schemas.openxmlformats.org/officeDocument/2006/relationships/hyperlink" Target="https://cuerpodebomberos.sharepoint.com/:b:/r/sites/MaterialMayor/Documentos%20compartidos/Material%20Mayor%202025/Facturas%202025/LUCAS%20BLANDFORD%20N%C2%B01420136.pdf?csf=1&amp;web=1&amp;e=kH9Pau" TargetMode="External"/><Relationship Id="rId513" Type="http://schemas.openxmlformats.org/officeDocument/2006/relationships/hyperlink" Target="https://cuerpodebomberos.sharepoint.com/:b:/r/sites/MaterialMayor/Documentos%20compartidos/Material%20Mayor%202026/Cotizaciones/0709182676%20-%20CUERPO%20DE%20BOMBEROS%20DE%20SAN%20BERNARDO%20CUERPO%20DE%20BOMBEROS%20DE%20SAN%20BERNARDO%20B-6.pdf?d=w9a60c634a9ce416e94369697e50144c0&amp;csf=1&amp;web=1&amp;e=eRaqin" TargetMode="External"/><Relationship Id="rId152" Type="http://schemas.openxmlformats.org/officeDocument/2006/relationships/hyperlink" Target="https://cuerpodebomberos.sharepoint.com/:b:/r/sites/MaterialMayor/Documentos%20compartidos/Material%20Mayor%202025/Cotizaciones%202025/Cotizacion%20(1).PDF?csf=1&amp;web=1&amp;e=arpXTT" TargetMode="External"/><Relationship Id="rId194" Type="http://schemas.openxmlformats.org/officeDocument/2006/relationships/hyperlink" Target="https://cuerpodebomberos.sharepoint.com/:b:/r/sites/MaterialMayor/Documentos%20compartidos/Material%20Mayor%202025/OC%202025/LUCAS%20BLANDFORD%20N%C2%B0157.pdf?csf=1&amp;web=1&amp;e=iqFbIh" TargetMode="External"/><Relationship Id="rId208" Type="http://schemas.openxmlformats.org/officeDocument/2006/relationships/hyperlink" Target="https://cuerpodebomberos.sharepoint.com/:b:/r/sites/MaterialMayor/Documentos%20compartidos/Material%20Mayor%202025/Facturas%202025/6f2bbf68-a30e-46d5-8d49-d15e28fd8b40%20RX-4.pdf?csf=1&amp;web=1&amp;e=FxHd2Y" TargetMode="External"/><Relationship Id="rId415" Type="http://schemas.openxmlformats.org/officeDocument/2006/relationships/hyperlink" Target="https://cuerpodebomberos.sharepoint.com/:b:/r/sites/MaterialMayor/Documentos%20compartidos/Material%20Mayor%202026/Cotizaciones/COTIZ%20CBSB%20215%2070R16.pdf?csf=1&amp;web=1&amp;e=65Rq0s" TargetMode="External"/><Relationship Id="rId457" Type="http://schemas.openxmlformats.org/officeDocument/2006/relationships/hyperlink" Target="https://cuerpodebomberos.sharepoint.com/:b:/r/sites/MaterialMayor/Documentos%20compartidos/Material%20Mayor%202026/OC/LUCAS%20BLANDFORD%20N%C2%B0103.pdf?csf=1&amp;web=1&amp;e=swECK7" TargetMode="External"/><Relationship Id="rId261" Type="http://schemas.openxmlformats.org/officeDocument/2006/relationships/hyperlink" Target="https://cuerpodebomberos.sharepoint.com/:b:/r/sites/MaterialMayor/Documentos%20compartidos/Material%20Mayor%202025/OC%202025/RODOLFO%20O%C3%91ATE%20N%C2%B0197.pdf?csf=1&amp;web=1&amp;e=DmgMJ3" TargetMode="External"/><Relationship Id="rId499" Type="http://schemas.openxmlformats.org/officeDocument/2006/relationships/hyperlink" Target="https://cuerpodebomberos.sharepoint.com/:b:/r/sites/MaterialMayor/Documentos%20compartidos/Material%20Mayor%202026/Cotizaciones/CBSB%20661.pdf?csf=1&amp;web=1&amp;e=p7ZAtF" TargetMode="External"/><Relationship Id="rId14" Type="http://schemas.openxmlformats.org/officeDocument/2006/relationships/hyperlink" Target="https://cuerpodebomberos.sharepoint.com/:b:/r/sites/MaterialMayor/Documentos%20compartidos/Material%20Mayor%202025/Cotizaciones%202025/COT%20658%20B8%20CBSB%20ILUMINACION%20EMPAQUE.pdf?csf=1&amp;web=1&amp;e=IrOwDL" TargetMode="External"/><Relationship Id="rId56" Type="http://schemas.openxmlformats.org/officeDocument/2006/relationships/hyperlink" Target="https://cuerpodebomberos.sharepoint.com/:b:/r/sites/MaterialMayor/Documentos%20compartidos/Material%20Mayor%202025/Cotizaciones%202025/QT_COTIZACION%20-%202025-03-26T153134.315%20(1).pdf?csf=1&amp;web=1&amp;e=ibza4l" TargetMode="External"/><Relationship Id="rId317" Type="http://schemas.openxmlformats.org/officeDocument/2006/relationships/hyperlink" Target="https://cuerpodebomberos.sharepoint.com/:b:/r/sites/MaterialMayor/Documentos%20compartidos/Material%20Mayor%202025/Cotizaciones%202025/Cotizaci%C3%B3n_0708610362%20(1).pdf?csf=1&amp;web=1&amp;e=G8piCA" TargetMode="External"/><Relationship Id="rId359" Type="http://schemas.openxmlformats.org/officeDocument/2006/relationships/hyperlink" Target="https://cuerpodebomberos.sharepoint.com/:b:/r/sites/MaterialMayor/Documentos%20compartidos/Material%20Mayor%202025/Cotizaciones%202025/COTIZACI%C3%93N%201072%20(1).pdf?csf=1&amp;web=1&amp;e=s4V8ss" TargetMode="External"/><Relationship Id="rId524" Type="http://schemas.openxmlformats.org/officeDocument/2006/relationships/hyperlink" Target="https://cuerpodebomberos.sharepoint.com/:b:/r/sites/MaterialMayor/Documentos%20compartidos/Material%20Mayor%202026/OC/RODOLFO%20O%C3%91ATE%20N%C2%B0169.pdf?d=w41008000ed054a4b9aa45c66916ea6d2&amp;csf=1&amp;web=1&amp;e=w1zMEM" TargetMode="External"/><Relationship Id="rId98" Type="http://schemas.openxmlformats.org/officeDocument/2006/relationships/hyperlink" Target="https://cuerpodebomberos.sharepoint.com/:b:/r/sites/MaterialMayor/Documentos%20compartidos/Material%20Mayor%202025/Facturas%202025/FAC%20575%20B4%20CBSB%20VALVULA%20COT%20716.pdf?csf=1&amp;web=1&amp;e=xLIztf" TargetMode="External"/><Relationship Id="rId121" Type="http://schemas.openxmlformats.org/officeDocument/2006/relationships/hyperlink" Target="https://cuerpodebomberos.sharepoint.com/:b:/r/sites/MaterialMayor/Documentos%20compartidos/Material%20Mayor%202025/OC%202025/LUCAS%20BLANDFORD%20N%C2%B092.pdf?csf=1&amp;web=1&amp;e=yrxpNc" TargetMode="External"/><Relationship Id="rId163" Type="http://schemas.openxmlformats.org/officeDocument/2006/relationships/hyperlink" Target="https://cuerpodebomberos.sharepoint.com/:b:/r/sites/MaterialMayor/Documentos%20compartidos/Material%20Mayor%202025/Cotizaciones%202025/365556%20EMPAQ%20PTO%20S3000%20BOMBEROS%20SAN%20BERNARDO.pdf?csf=1&amp;web=1&amp;e=UDNcfV" TargetMode="External"/><Relationship Id="rId219" Type="http://schemas.openxmlformats.org/officeDocument/2006/relationships/hyperlink" Target="https://cuerpodebomberos.sharepoint.com/:b:/r/sites/MaterialMayor/Documentos%20compartidos/Material%20Mayor%202025/OC%202025/CUMMINS%20N%C2%B0175.pdf?csf=1&amp;web=1&amp;e=zAk4Dp" TargetMode="External"/><Relationship Id="rId370" Type="http://schemas.openxmlformats.org/officeDocument/2006/relationships/hyperlink" Target="https://cuerpodebomberos.sharepoint.com/:b:/r/sites/MaterialMayor/Documentos%20compartidos/Material%20Mayor%202025/Cotizaciones%202025/OT%20K10%20CBSB.pdf?csf=1&amp;web=1&amp;e=BA8Cph" TargetMode="External"/><Relationship Id="rId426" Type="http://schemas.openxmlformats.org/officeDocument/2006/relationships/hyperlink" Target="https://cuerpodebomberos.sharepoint.com/:b:/r/sites/MaterialMayor/Documentos%20compartidos/Material%20Mayor%202026/OC/RODOLFO%20O%C3%91ATE%20N%C2%B049.pdf?csf=1&amp;web=1&amp;e=fscnLC" TargetMode="External"/><Relationship Id="rId230" Type="http://schemas.openxmlformats.org/officeDocument/2006/relationships/hyperlink" Target="https://cuerpodebomberos.sharepoint.com/:b:/r/sites/MaterialMayor/Documentos%20compartidos/Material%20Mayor%202025/Cotizaciones%202025/CARRO%20BR-1.pdf?csf=1&amp;web=1&amp;e=plh6RD" TargetMode="External"/><Relationship Id="rId468" Type="http://schemas.openxmlformats.org/officeDocument/2006/relationships/hyperlink" Target="https://cuerpodebomberos.sharepoint.com/:b:/r/sites/MaterialMayor/Documentos%20compartidos/Material%20Mayor%202026/Cotizaciones/COTIZACI%C3%93N%20N%C2%B01271154%20CBSB%20B3.pdf?csf=1&amp;web=1&amp;e=pDv5Z6" TargetMode="External"/><Relationship Id="rId25" Type="http://schemas.openxmlformats.org/officeDocument/2006/relationships/hyperlink" Target="https://cuerpodebomberos.sharepoint.com/:b:/r/sites/MaterialMayor/Documentos%20compartidos/Material%20Mayor%202025/Facturas%202025/FACTURA%20N%C2%B0%201264%20SAN%20BERNARDO%20%20%20SWITCH%20ACELERADOR%20CUERPO%20DE%20BOMBA.pdf?csf=1&amp;web=1&amp;e=uy9HMW" TargetMode="External"/><Relationship Id="rId67" Type="http://schemas.openxmlformats.org/officeDocument/2006/relationships/hyperlink" Target="https://cuerpodebomberos.sharepoint.com/:b:/r/sites/MaterialMayor/Documentos%20compartidos/Material%20Mayor%202025/OC%202025/KAUFMANN%20N%C2%B046.pdf?csf=1&amp;web=1&amp;e=AHOKTS" TargetMode="External"/><Relationship Id="rId272" Type="http://schemas.openxmlformats.org/officeDocument/2006/relationships/hyperlink" Target="https://cuerpodebomberos.sharepoint.com/:b:/r/sites/MaterialMayor/Documentos%20compartidos/Material%20Mayor%202025/Cotizaciones%202025/COTIZACI%C3%93N%20534%20CBSB%20%20B-10-10%2004-09-25.pdf?csf=1&amp;web=1&amp;e=cuZDkx" TargetMode="External"/><Relationship Id="rId328" Type="http://schemas.openxmlformats.org/officeDocument/2006/relationships/hyperlink" Target="https://cuerpodebomberos.sharepoint.com/:b:/r/sites/MaterialMayor/Documentos%20compartidos/Material%20Mayor%202025/OC%202025/KAUFMANN%20N%C2%B0238.pdf?csf=1&amp;web=1&amp;e=3tnwVC" TargetMode="External"/><Relationship Id="rId535" Type="http://schemas.openxmlformats.org/officeDocument/2006/relationships/hyperlink" Target="https://cuerpodebomberos.sharepoint.com/:b:/r/sites/MaterialMayor/Documentos%20compartidos/Material%20Mayor%202026/Facturas/FACTURA%201563%20OC%20169%20COT%20669.pdf?d=w87d68843df54413c8594b5e2b40fc993&amp;csf=1&amp;web=1&amp;e=rbtSuo" TargetMode="External"/><Relationship Id="rId132" Type="http://schemas.openxmlformats.org/officeDocument/2006/relationships/hyperlink" Target="https://cuerpodebomberos.sharepoint.com/:b:/r/sites/MaterialMayor/Documentos%20compartidos/Material%20Mayor%202025/OC%202025/EOX%20N%C2%B083.pdf?csf=1&amp;web=1&amp;e=Xbs1MA" TargetMode="External"/><Relationship Id="rId174" Type="http://schemas.openxmlformats.org/officeDocument/2006/relationships/hyperlink" Target="https://cuerpodebomberos.sharepoint.com/:b:/r/sites/MaterialMayor/Documentos%20compartidos/Material%20Mayor%202025/Facturas%202025/6418680.PDF.pdf?csf=1&amp;web=1&amp;e=zPcNyx" TargetMode="External"/><Relationship Id="rId381" Type="http://schemas.openxmlformats.org/officeDocument/2006/relationships/hyperlink" Target="https://cuerpodebomberos.sharepoint.com/:b:/r/sites/MaterialMayor/Documentos%20compartidos/Material%20Mayor%202025/OC%202025/SUPERMERCADO%20DEL%20NEUMATICO%20N%C2%B004.pdf?csf=1&amp;web=1&amp;e=g83vwu" TargetMode="External"/><Relationship Id="rId241" Type="http://schemas.openxmlformats.org/officeDocument/2006/relationships/hyperlink" Target="https://cuerpodebomberos.sharepoint.com/:b:/r/sites/MaterialMayor/Documentos%20compartidos/Material%20Mayor%202025/Facturas%202025/FACTURA%20N%C2%B0430%20BOMBEROS%20DE%20SAN%20BERNARDO.pdf?csf=1&amp;web=1&amp;e=d9SlEM" TargetMode="External"/><Relationship Id="rId437" Type="http://schemas.openxmlformats.org/officeDocument/2006/relationships/hyperlink" Target="https://cuerpodebomberos.sharepoint.com/:b:/r/sites/MaterialMayor/Documentos%20compartidos/Material%20Mayor%202026/Facturas/FAC%20726%20B10%20CBSB%20CUERPO%20BOMBA%20COT%20955.pdf?csf=1&amp;web=1&amp;e=HTLHtT" TargetMode="External"/><Relationship Id="rId479" Type="http://schemas.openxmlformats.org/officeDocument/2006/relationships/hyperlink" Target="https://cuerpodebomberos.sharepoint.com/:b:/r/sites/MaterialMayor/Documentos%20compartidos/Material%20Mayor%202026/OC/RODOLFO%20O%C3%91ATE%20N%C2%B0116.pdf?csf=1&amp;web=1&amp;e=h1ayuJ" TargetMode="External"/><Relationship Id="rId36" Type="http://schemas.openxmlformats.org/officeDocument/2006/relationships/hyperlink" Target="https://cuerpodebomberos.sharepoint.com/:b:/r/sites/MaterialMayor/Documentos%20compartidos/Material%20Mayor%202025/Cotizaciones%202025/COT901_3351%20%20SAN%20BERNARDO%20%20%20PIOLA%20ACELERADOR%20CUERPO%20DE%20BOMBA%20B-8.pdf?csf=1&amp;web=1&amp;e=2snd2k" TargetMode="External"/><Relationship Id="rId283" Type="http://schemas.openxmlformats.org/officeDocument/2006/relationships/hyperlink" Target="https://cuerpodebomberos.sharepoint.com/:b:/r/sites/MaterialMayor/Documentos%20compartidos/Material%20Mayor%202025/OC%202025/DETROIT%20S.A%20N%C2%B0218.pdf?csf=1&amp;web=1&amp;e=ScBCKI" TargetMode="External"/><Relationship Id="rId339" Type="http://schemas.openxmlformats.org/officeDocument/2006/relationships/hyperlink" Target="https://cuerpodebomberos.sharepoint.com/:b:/r/sites/MaterialMayor/Documentos%20compartidos/Material%20Mayor%202025/Facturas%202025/SKC%20N%C2%B0256.pdf?csf=1&amp;web=1&amp;e=u17gN6" TargetMode="External"/><Relationship Id="rId490" Type="http://schemas.openxmlformats.org/officeDocument/2006/relationships/hyperlink" Target="https://cuerpodebomberos.sharepoint.com/:b:/r/sites/MaterialMayor/Documentos%20compartidos/Material%20Mayor%202026/Cotizaciones/0708744943%20-%20CUERPO%20DE%20BOMBEROS%20DE%20SAN%20BERNARDO%20CUERPO%20DE%20BOMBEROS%20DE%20SAN%20BERNARDO.pdf?csf=1&amp;web=1&amp;e=GYNprD" TargetMode="External"/><Relationship Id="rId504" Type="http://schemas.openxmlformats.org/officeDocument/2006/relationships/hyperlink" Target="https://cuerpodebomberos.sharepoint.com/:b:/r/sites/MaterialMayor/Documentos%20compartidos/Material%20Mayor%202026/Cotizaciones/CUERPO%20DE%20BOMBEROS%20DE%20SAN%20BERNARDO%20COT%20107637.pdf?csf=1&amp;web=1&amp;e=aRjoXn" TargetMode="External"/><Relationship Id="rId546" Type="http://schemas.openxmlformats.org/officeDocument/2006/relationships/hyperlink" Target="https://cuerpodebomberos.sharepoint.com/:b:/r/sites/MaterialMayor/Documentos%20compartidos/Material%20Mayor%202026/Cotizaciones/CBSB%20679.pdf?d=w7ef174caaa09467aac07779974414f4a&amp;csf=1&amp;web=1&amp;e=9IPqvg" TargetMode="External"/><Relationship Id="rId78" Type="http://schemas.openxmlformats.org/officeDocument/2006/relationships/hyperlink" Target="https://cuerpodebomberos.sharepoint.com/:b:/r/sites/MaterialMayor/Documentos%20compartidos/Material%20Mayor%202025/OC%202025/OLITEK%20N%C2%B057.pdf?csf=1&amp;web=1&amp;e=9K1ff7" TargetMode="External"/><Relationship Id="rId101" Type="http://schemas.openxmlformats.org/officeDocument/2006/relationships/hyperlink" Target="https://cuerpodebomberos.sharepoint.com/:b:/r/sites/MaterialMayor/Documentos%20compartidos/Material%20Mayor%202025/Cotizaciones%202025/COT61990%20-%20Lubricante.pdf?csf=1&amp;web=1&amp;e=cWbWOv" TargetMode="External"/><Relationship Id="rId143" Type="http://schemas.openxmlformats.org/officeDocument/2006/relationships/hyperlink" Target="https://cuerpodebomberos.sharepoint.com/:b:/r/sites/MaterialMayor/Documentos%20compartidos/Material%20Mayor%202025/Cotizaciones%202025/Presupuesto%20parabrisas%20man%20patente%20LZRK58.pdf?csf=1&amp;web=1&amp;e=SNVamo" TargetMode="External"/><Relationship Id="rId185" Type="http://schemas.openxmlformats.org/officeDocument/2006/relationships/hyperlink" Target="https://cuerpodebomberos.sharepoint.com/:b:/r/sites/MaterialMayor/Documentos%20compartidos/Material%20Mayor%202025/Cotizaciones%202025/BOMBEROS%20SAN%20BERNARDO-365852%20RX-4.pdf?csf=1&amp;web=1&amp;e=dWcB8r" TargetMode="External"/><Relationship Id="rId350" Type="http://schemas.openxmlformats.org/officeDocument/2006/relationships/hyperlink" Target="https://cuerpodebomberos.sharepoint.com/:b:/r/sites/MaterialMayor/Documentos%20compartidos/Material%20Mayor%202025/Facturas%202025/F%20%C2%B0%2026330%20Luces.pdf?csf=1&amp;web=1&amp;e=YxzBEb" TargetMode="External"/><Relationship Id="rId406" Type="http://schemas.openxmlformats.org/officeDocument/2006/relationships/hyperlink" Target="https://cuerpodebomberos.sharepoint.com/:b:/r/sites/MaterialMayor/Documentos%20compartidos/Material%20Mayor%202026/Cotizaciones%202025/CBSB%20597.pdf?csf=1&amp;web=1&amp;e=yqHIOI" TargetMode="External"/><Relationship Id="rId9" Type="http://schemas.openxmlformats.org/officeDocument/2006/relationships/hyperlink" Target="https://cuerpodebomberos.sharepoint.com/:b:/r/sites/MaterialMayor/Documentos%20compartidos/Material%20Mayor%202025/Cotizaciones%202025/COT%20656%20H3%20CBSB%20MANTENIMIENTO.pdf?csf=1&amp;web=1&amp;e=GAINL9" TargetMode="External"/><Relationship Id="rId210" Type="http://schemas.openxmlformats.org/officeDocument/2006/relationships/hyperlink" Target="https://cuerpodebomberos.sharepoint.com/:b:/r/sites/MaterialMayor/Documentos%20compartidos/Material%20Mayor%202025/Facturas%202025/DOC_33_1407908.pdf?csf=1&amp;web=1&amp;e=XUwUPa" TargetMode="External"/><Relationship Id="rId392" Type="http://schemas.openxmlformats.org/officeDocument/2006/relationships/hyperlink" Target="https://cuerpodebomberos.sharepoint.com/:b:/r/sites/MaterialMayor/Documentos%20compartidos/Material%20Mayor%202025/Cotizaciones%202025/CBSB%20567.pdf?csf=1&amp;web=1&amp;e=ibBlO8" TargetMode="External"/><Relationship Id="rId448" Type="http://schemas.openxmlformats.org/officeDocument/2006/relationships/hyperlink" Target="https://cuerpodebomberos.sharepoint.com/:b:/r/sites/MaterialMayor/Documentos%20compartidos/Material%20Mayor%202026/Cotizaciones/CBSB%20639.pdf?csf=1&amp;web=1&amp;e=ulprsR" TargetMode="External"/><Relationship Id="rId252" Type="http://schemas.openxmlformats.org/officeDocument/2006/relationships/hyperlink" Target="https://cuerpodebomberos.sharepoint.com/:b:/r/sites/MaterialMayor/Documentos%20compartidos/Material%20Mayor%202025/Cotizaciones%202025/COTIZACI%C3%93N%20510%20CBSB%20RB-6%2020-08-25.pdf?csf=1&amp;web=1&amp;e=AgRl67" TargetMode="External"/><Relationship Id="rId294" Type="http://schemas.openxmlformats.org/officeDocument/2006/relationships/hyperlink" Target="https://cuerpodebomberos.sharepoint.com/:b:/r/sites/MaterialMayor/Documentos%20compartidos/Material%20Mayor%202025/Facturas%202025/FACTURA%20N%C2%B0440%20BOMBEROS%20DE%20SAN%20BERNARDO.pdf?csf=1&amp;web=1&amp;e=fhqRVC" TargetMode="External"/><Relationship Id="rId308" Type="http://schemas.openxmlformats.org/officeDocument/2006/relationships/hyperlink" Target="https://cuerpodebomberos.sharepoint.com/:b:/r/sites/MaterialMayor/Documentos%20compartidos/Material%20Mayor%202025/Facturas%202025/FAC%20919%20CB%20SAN%20BERNARDO,%20J-0.pdf?csf=1&amp;web=1&amp;e=meyxik" TargetMode="External"/><Relationship Id="rId515" Type="http://schemas.openxmlformats.org/officeDocument/2006/relationships/hyperlink" Target="https://cuerpodebomberos.sharepoint.com/:b:/r/sites/MaterialMayor/Documentos%20compartidos/Material%20Mayor%202026/Cotizaciones/0709183048%20-%20CUERPO%20DE%20BOMBEROS%20DE%20SAN%20BERNARDO%20CUERPO%20DE%20BOMBEROS%20DE%20SAN%20BERNARDO%20BT-0.pdf?d=w975f3c3fc9a9449cb32cca82d48ca5da&amp;csf=1&amp;web=1&amp;e=asRMz2" TargetMode="External"/><Relationship Id="rId47" Type="http://schemas.openxmlformats.org/officeDocument/2006/relationships/hyperlink" Target="https://cuerpodebomberos.sharepoint.com/:b:/r/sites/MaterialMayor/Documentos%20compartidos/Material%20Mayor%202025/Cotizaciones%202025/coti%20019-025%20CBSB.%20(1).pdf?csf=1&amp;web=1&amp;e=cnL6LB" TargetMode="External"/><Relationship Id="rId89" Type="http://schemas.openxmlformats.org/officeDocument/2006/relationships/hyperlink" Target="https://cuerpodebomberos.sharepoint.com/:b:/r/sites/MaterialMayor/Documentos%20compartidos/Material%20Mayor%202025/OC%202025/FEREXPO%20N%C2%B068.pdf?csf=1&amp;web=1&amp;e=dsmzKz" TargetMode="External"/><Relationship Id="rId112" Type="http://schemas.openxmlformats.org/officeDocument/2006/relationships/hyperlink" Target="https://cuerpodebomberos.sharepoint.com/:b:/r/sites/MaterialMayor/Documentos%20compartidos/Material%20Mayor%202025/Cotizaciones%202025/COT901_3447%20%20%20SAN%20BERNARDO%20%20%20REPUESTOS%20PARA%20BOMBA%20CEBADO,%20Y%20MEMBRANAS.pdf?csf=1&amp;web=1&amp;e=N841ax" TargetMode="External"/><Relationship Id="rId154" Type="http://schemas.openxmlformats.org/officeDocument/2006/relationships/hyperlink" Target="https://cuerpodebomberos.sharepoint.com/:b:/r/sites/MaterialMayor/Documentos%20compartidos/Material%20Mayor%202025/Cotizaciones%202025/Cotizaci%C3%B3n%20172543.PDF?csf=1&amp;web=1&amp;e=hBxfNo" TargetMode="External"/><Relationship Id="rId361" Type="http://schemas.openxmlformats.org/officeDocument/2006/relationships/hyperlink" Target="https://cuerpodebomberos.sharepoint.com/:b:/r/sites/MaterialMayor/Documentos%20compartidos/Material%20Mayor%202025/Cotizaciones%202025/Coti%20aceite%20motor%20CBSB%20708698490.pdf?csf=1&amp;web=1&amp;e=ao8Isd" TargetMode="External"/><Relationship Id="rId196" Type="http://schemas.openxmlformats.org/officeDocument/2006/relationships/hyperlink" Target="https://cuerpodebomberos.sharepoint.com/:b:/r/sites/MaterialMayor/Documentos%20compartidos/Material%20Mayor%202025/Cotizaciones%202025/COTIZACI%C3%93N%20495%20CBSB.pdf?csf=1&amp;web=1&amp;e=DZ1XNO" TargetMode="External"/><Relationship Id="rId417" Type="http://schemas.openxmlformats.org/officeDocument/2006/relationships/hyperlink" Target="https://cuerpodebomberos.sharepoint.com/:b:/r/sites/MaterialMayor/Documentos%20compartidos/Material%20Mayor%202026/Cotizaciones/DOC-20260205-WA0027..pdf?csf=1&amp;web=1&amp;e=N8iCt1" TargetMode="External"/><Relationship Id="rId459" Type="http://schemas.openxmlformats.org/officeDocument/2006/relationships/hyperlink" Target="https://cuerpodebomberos.sharepoint.com/:b:/r/sites/MaterialMayor/Documentos%20compartidos/Material%20Mayor%202026/OC/LUCAS%20BLANDFORD%20N%C2%B0101.pdf?csf=1&amp;web=1&amp;e=jCV60l" TargetMode="External"/><Relationship Id="rId16" Type="http://schemas.openxmlformats.org/officeDocument/2006/relationships/hyperlink" Target="https://cuerpodebomberos.sharepoint.com/:b:/r/sites/MaterialMayor/Documentos%20compartidos/Material%20Mayor%202025/OC%202025/CAREN%20N%C2%B07.pdf?csf=1&amp;web=1&amp;e=F3DneN" TargetMode="External"/><Relationship Id="rId221" Type="http://schemas.openxmlformats.org/officeDocument/2006/relationships/hyperlink" Target="https://cuerpodebomberos.sharepoint.com/:b:/r/sites/MaterialMayor/Documentos%20compartidos/Material%20Mayor%202025/OC%202025/CUMMINS%20N%C2%B0177.pdf?csf=1&amp;web=1&amp;e=4kd4ee" TargetMode="External"/><Relationship Id="rId263" Type="http://schemas.openxmlformats.org/officeDocument/2006/relationships/hyperlink" Target="https://cuerpodebomberos.sharepoint.com/:b:/r/sites/MaterialMayor/Documentos%20compartidos/Material%20Mayor%202025/OC%202025/RODOLFO%20O%C3%91ATE%20N%C2%B0202.pdf?csf=1&amp;web=1&amp;e=qSdaMl" TargetMode="External"/><Relationship Id="rId319" Type="http://schemas.openxmlformats.org/officeDocument/2006/relationships/hyperlink" Target="https://cuerpodebomberos.sharepoint.com/:b:/r/sites/MaterialMayor/Documentos%20compartidos/Material%20Mayor%202025/Cotizaciones%202025/23367401%20actualizado%20SALFA%20B8%20B1.pdf?csf=1&amp;web=1&amp;e=bMB22J" TargetMode="External"/><Relationship Id="rId470" Type="http://schemas.openxmlformats.org/officeDocument/2006/relationships/hyperlink" Target="https://cuerpodebomberos.sharepoint.com/:b:/r/sites/MaterialMayor/Documentos%20compartidos/Material%20Mayor%202026/OC/ML%20HEAVY%20SERVICE%20N%C2%B0121.pdf?csf=1&amp;web=1&amp;e=V3yMJt" TargetMode="External"/><Relationship Id="rId526" Type="http://schemas.openxmlformats.org/officeDocument/2006/relationships/hyperlink" Target="https://cuerpodebomberos.sharepoint.com/:b:/r/sites/MaterialMayor/Documentos%20compartidos/Material%20Mayor%202026/Cotizaciones/CBSB%20670.pdf?d=w6330b0453fa74c38b61e6c320c629608&amp;csf=1&amp;web=1&amp;e=HVwtze" TargetMode="External"/><Relationship Id="rId58" Type="http://schemas.openxmlformats.org/officeDocument/2006/relationships/hyperlink" Target="https://cuerpodebomberos.sharepoint.com/:b:/r/sites/MaterialMayor/Documentos%20compartidos/Material%20Mayor%202025/Facturas%202025/33_1188329_20250327_101755.pdf?csf=1&amp;web=1&amp;e=r0SrC2" TargetMode="External"/><Relationship Id="rId123" Type="http://schemas.openxmlformats.org/officeDocument/2006/relationships/hyperlink" Target="https://cuerpodebomberos.sharepoint.com/:b:/r/sites/MaterialMayor/Documentos%20compartidos/Material%20Mayor%202025/OC%202025/OLITEK%20N%C2%B093.pdf?csf=1&amp;web=1&amp;e=HUWmf3" TargetMode="External"/><Relationship Id="rId330" Type="http://schemas.openxmlformats.org/officeDocument/2006/relationships/hyperlink" Target="https://cuerpodebomberos.sharepoint.com/:b:/r/sites/MaterialMayor/Documentos%20compartidos/Material%20Mayor%202025/OC%202025/SALFA%20N%C2%B0240.pdf?csf=1&amp;web=1&amp;e=rFss59" TargetMode="External"/><Relationship Id="rId165" Type="http://schemas.openxmlformats.org/officeDocument/2006/relationships/hyperlink" Target="https://cuerpodebomberos.sharepoint.com/:b:/r/sites/MaterialMayor/Documentos%20compartidos/Material%20Mayor%202025/Cotizaciones%202025/PPTO-12507403-524484%20B-1.pdf?csf=1&amp;web=1&amp;e=1jeicx" TargetMode="External"/><Relationship Id="rId372" Type="http://schemas.openxmlformats.org/officeDocument/2006/relationships/hyperlink" Target="https://cuerpodebomberos.sharepoint.com/:b:/r/sites/MaterialMayor/Documentos%20compartidos/Material%20Mayor%202025/OC%202025/TOMYCAR%20N%C2%B008.pdf?csf=1&amp;web=1&amp;e=da5C01" TargetMode="External"/><Relationship Id="rId428" Type="http://schemas.openxmlformats.org/officeDocument/2006/relationships/hyperlink" Target="https://cuerpodebomberos.sharepoint.com/:b:/r/sites/MaterialMayor/Documentos%20compartidos/Material%20Mayor%202026/OC/RODOLFO%20O%C3%91ATE%20N%C2%B051.pdf?csf=1&amp;web=1&amp;e=PYvXG1" TargetMode="External"/><Relationship Id="rId232" Type="http://schemas.openxmlformats.org/officeDocument/2006/relationships/hyperlink" Target="https://cuerpodebomberos.sharepoint.com/:b:/r/sites/MaterialMayor/Documentos%20compartidos/Material%20Mayor%202025/Cotizaciones%202025/23311330%20CARRO%20B-10.pdf?csf=1&amp;web=1&amp;e=h1UAxB" TargetMode="External"/><Relationship Id="rId274" Type="http://schemas.openxmlformats.org/officeDocument/2006/relationships/hyperlink" Target="https://cuerpodebomberos.sharepoint.com/:b:/r/sites/MaterialMayor/Documentos%20compartidos/Material%20Mayor%202025/Cotizaciones%202025/documento+0023332952%20(1).pdf?csf=1&amp;web=1&amp;e=WUdi2q" TargetMode="External"/><Relationship Id="rId481" Type="http://schemas.openxmlformats.org/officeDocument/2006/relationships/hyperlink" Target="https://cuerpodebomberos.sharepoint.com/:b:/r/sites/MaterialMayor/Documentos%20compartidos/Material%20Mayor%202026/Facturas/FACTURA%201500%20OC%20117%20COT%20639-641-644.pdf?csf=1&amp;web=1&amp;e=lDUvys" TargetMode="External"/><Relationship Id="rId27" Type="http://schemas.openxmlformats.org/officeDocument/2006/relationships/hyperlink" Target="https://cuerpodebomberos.sharepoint.com/:b:/r/sites/MaterialMayor/Documentos%20compartidos/Material%20Mayor%202025/Cotizaciones%202025/COTIZACI%C3%93N%20450%20CBSB.pdf?csf=1&amp;web=1&amp;e=BXcgIA" TargetMode="External"/><Relationship Id="rId69" Type="http://schemas.openxmlformats.org/officeDocument/2006/relationships/hyperlink" Target="https://cuerpodebomberos.sharepoint.com/:b:/r/sites/MaterialMayor/Documentos%20compartidos/Material%20Mayor%202025/Cotizaciones%202025/auftrag_2025009415_C.B.SB..pdf?csf=1&amp;web=1&amp;e=2gvFG3" TargetMode="External"/><Relationship Id="rId134" Type="http://schemas.openxmlformats.org/officeDocument/2006/relationships/hyperlink" Target="https://cuerpodebomberos.sharepoint.com/:b:/r/sites/MaterialMayor/Documentos%20compartidos/Material%20Mayor%202025/OC%202025/ASESORIA%20Y%20FABRICACI%C3%93N%20EN%20FIBRA%20N%C2%B090.pdf?csf=1&amp;web=1&amp;e=L12afl" TargetMode="External"/><Relationship Id="rId537" Type="http://schemas.openxmlformats.org/officeDocument/2006/relationships/hyperlink" Target="https://cuerpodebomberos.sharepoint.com/:b:/r/sites/MaterialMayor/Documentos%20compartidos/Material%20Mayor%202026/Cotizaciones/CBSB%20688.pdf?d=w4a740fa05a854ff9951604493bf7d018&amp;csf=1&amp;web=1&amp;e=aEd0PH" TargetMode="External"/><Relationship Id="rId80" Type="http://schemas.openxmlformats.org/officeDocument/2006/relationships/hyperlink" Target="https://cuerpodebomberos.sharepoint.com/:b:/r/sites/MaterialMayor/Documentos%20compartidos/Material%20Mayor%202025/OC%202025/IMPORTADORA%20Y%20EXPORTADORA%20LA%20NUEVA%20N%C2%B033.pdf?csf=1&amp;web=1&amp;e=2Rnw2V" TargetMode="External"/><Relationship Id="rId176" Type="http://schemas.openxmlformats.org/officeDocument/2006/relationships/hyperlink" Target="https://cuerpodebomberos.sharepoint.com/:b:/r/sites/MaterialMayor/Documentos%20compartidos/Material%20Mayor%202025/Cotizaciones%202025/COTIZ%20CBSB%20275%2080DIR.pdf?csf=1&amp;web=1&amp;e=VJzyx4" TargetMode="External"/><Relationship Id="rId341" Type="http://schemas.openxmlformats.org/officeDocument/2006/relationships/hyperlink" Target="https://cuerpodebomberos.sharepoint.com/:b:/r/sites/MaterialMayor/Documentos%20compartidos/Material%20Mayor%202025/Cotizaciones%202025/Cot.%201303742826%20-%20Foco%20BT_0.pdf?csf=1&amp;web=1&amp;e=hFQfBt" TargetMode="External"/><Relationship Id="rId383" Type="http://schemas.openxmlformats.org/officeDocument/2006/relationships/hyperlink" Target="https://cuerpodebomberos.sharepoint.com/:b:/r/sites/MaterialMayor/Documentos%20compartidos/Material%20Mayor%202025/Cotizaciones%202025/COTIZ%20CBSB%20SERV.pdf?csf=1&amp;web=1&amp;e=XQJ1gp" TargetMode="External"/><Relationship Id="rId439" Type="http://schemas.openxmlformats.org/officeDocument/2006/relationships/hyperlink" Target="https://cuerpodebomberos.sharepoint.com/:b:/r/sites/MaterialMayor/Documentos%20compartidos/Material%20Mayor%202026/Cotizaciones/PPTO-12603364-529823.pdf?csf=1&amp;web=1&amp;e=xlj1VE" TargetMode="External"/><Relationship Id="rId201" Type="http://schemas.openxmlformats.org/officeDocument/2006/relationships/hyperlink" Target="https://cuerpodebomberos.sharepoint.com/:b:/r/sites/MaterialMayor/Documentos%20compartidos/Material%20Mayor%202025/Cotizaciones%202025/Q-2%200011942280.pdf?csf=1&amp;web=1&amp;e=gqUB0P" TargetMode="External"/><Relationship Id="rId243" Type="http://schemas.openxmlformats.org/officeDocument/2006/relationships/hyperlink" Target="https://cuerpodebomberos.sharepoint.com/:b:/r/sites/MaterialMayor/Documentos%20compartidos/Material%20Mayor%202025/Facturas%202025/FACTURA%201252%20OC%20188-2025%20B-1%20COT%20473.pdf?csf=1&amp;web=1&amp;e=WQCPCR" TargetMode="External"/><Relationship Id="rId285" Type="http://schemas.openxmlformats.org/officeDocument/2006/relationships/hyperlink" Target="https://cuerpodebomberos.sharepoint.com/:b:/r/sites/MaterialMayor/Documentos%20compartidos/Material%20Mayor%202025/OC%202025/PORSHE%20N%C2%B0219.pdf?csf=1&amp;web=1&amp;e=uPPFZu" TargetMode="External"/><Relationship Id="rId450" Type="http://schemas.openxmlformats.org/officeDocument/2006/relationships/hyperlink" Target="https://cuerpodebomberos.sharepoint.com/:b:/r/sites/MaterialMayor/Documentos%20compartidos/Material%20Mayor%202026/Cotizaciones/CBSB%20644.pdf?csf=1&amp;web=1&amp;e=FbnfY1" TargetMode="External"/><Relationship Id="rId506" Type="http://schemas.openxmlformats.org/officeDocument/2006/relationships/hyperlink" Target="https://cuerpodebomberos.sharepoint.com/:b:/r/sites/MaterialMayor/Documentos%20compartidos/Material%20Mayor%202026/Cotizaciones/CUERPO%20DE%20BOMBEROS%20DE%20SAN%20BERNARDO%20COT%20107635.pdf?csf=1&amp;web=1&amp;e=d3dimr" TargetMode="External"/><Relationship Id="rId38" Type="http://schemas.openxmlformats.org/officeDocument/2006/relationships/hyperlink" Target="https://cuerpodebomberos.sharepoint.com/:b:/r/sites/MaterialMayor/Documentos%20compartidos/Material%20Mayor%202025/Cotizaciones%202025/COVIPM0003071.pdf?csf=1&amp;web=1&amp;e=JcZ8BX" TargetMode="External"/><Relationship Id="rId103" Type="http://schemas.openxmlformats.org/officeDocument/2006/relationships/hyperlink" Target="https://cuerpodebomberos.sharepoint.com/:b:/r/sites/MaterialMayor/Documentos%20compartidos/Material%20Mayor%202025/Cotizaciones%202025/COTIZACION%20N%C2%B0%2016563%20(3).pdf?csf=1&amp;web=1&amp;e=N7dIQ2" TargetMode="External"/><Relationship Id="rId310" Type="http://schemas.openxmlformats.org/officeDocument/2006/relationships/hyperlink" Target="https://cuerpodebomberos.sharepoint.com/:b:/r/sites/MaterialMayor/Documentos%20compartidos/Material%20Mayor%202025/Cotizaciones%202025/Cotizacion%20de%20convercion%20electrica%20carro%20Bx7.pdf?csf=1&amp;web=1&amp;e=76rcl4" TargetMode="External"/><Relationship Id="rId492" Type="http://schemas.openxmlformats.org/officeDocument/2006/relationships/hyperlink" Target="https://cuerpodebomberos.sharepoint.com/:b:/r/sites/MaterialMayor/Documentos%20compartidos/Material%20Mayor%202026/OC/STARCLUTCH%20N%C2%B0146.pdf?csf=1&amp;web=1&amp;e=W5kh37" TargetMode="External"/><Relationship Id="rId548" Type="http://schemas.openxmlformats.org/officeDocument/2006/relationships/hyperlink" Target="https://cuerpodebomberos.sharepoint.com/:b:/r/sites/MaterialMayor/Documentos%20compartidos/Material%20Mayor%202026/Cotizaciones/BOMBEROS%20SAN%20BERNARDO%2023510810%20B-1.pdf?d=wb64fc5d9f7364c3dbcc417faca85f3ab&amp;csf=1&amp;web=1&amp;e=KFOiUU" TargetMode="External"/><Relationship Id="rId91" Type="http://schemas.openxmlformats.org/officeDocument/2006/relationships/hyperlink" Target="https://cuerpodebomberos.sharepoint.com/:b:/r/sites/MaterialMayor/Documentos%20compartidos/Material%20Mayor%202025/OC%202025/HB%20SERVICIOS%20N%C2%B071.pdf?csf=1&amp;web=1&amp;e=T0wcoI" TargetMode="External"/><Relationship Id="rId145" Type="http://schemas.openxmlformats.org/officeDocument/2006/relationships/hyperlink" Target="https://cuerpodebomberos.sharepoint.com/:b:/r/sites/MaterialMayor/Documentos%20compartidos/Material%20Mayor%202025/Cotizaciones%202025/COTIZACI%C3%93N%20473%20CBSB.pdf?csf=1&amp;web=1&amp;e=p37SK9" TargetMode="External"/><Relationship Id="rId187" Type="http://schemas.openxmlformats.org/officeDocument/2006/relationships/hyperlink" Target="https://cuerpodebomberos.sharepoint.com/:b:/r/sites/MaterialMayor/Documentos%20compartidos/Material%20Mayor%202025/Cotizaciones%202025/Cotizacion-71211.pdf?csf=1&amp;web=1&amp;e=W1qEoB" TargetMode="External"/><Relationship Id="rId352" Type="http://schemas.openxmlformats.org/officeDocument/2006/relationships/hyperlink" Target="https://cuerpodebomberos.sharepoint.com/:b:/r/sites/MaterialMayor/Documentos%20compartidos/Material%20Mayor%202025/Facturas%202025/FC%20227%20LZRK58%20(1).pdf?csf=1&amp;web=1&amp;e=FeZrUu" TargetMode="External"/><Relationship Id="rId394" Type="http://schemas.openxmlformats.org/officeDocument/2006/relationships/hyperlink" Target="https://cuerpodebomberos.sharepoint.com/:b:/r/sites/MaterialMayor/Documentos%20compartidos/Material%20Mayor%202025/Cotizaciones%202025/CBSB%20572.pdf?csf=1&amp;web=1&amp;e=pvgYde" TargetMode="External"/><Relationship Id="rId408" Type="http://schemas.openxmlformats.org/officeDocument/2006/relationships/hyperlink" Target="https://cuerpodebomberos.sharepoint.com/:b:/r/sites/MaterialMayor/Documentos%20compartidos/Material%20Mayor%202026/Cotizaciones%202025/CBSB%20573.pdf?csf=1&amp;web=1&amp;e=r5fsQ1" TargetMode="External"/><Relationship Id="rId212" Type="http://schemas.openxmlformats.org/officeDocument/2006/relationships/hyperlink" Target="https://cuerpodebomberos.sharepoint.com/:b:/r/sites/MaterialMayor/Documentos%20compartidos/Material%20Mayor%202025/OC%202025/ANDES%20MOTOR%20N%C2%B0172%20(1).pdf?csf=1&amp;web=1&amp;e=P3uvVz" TargetMode="External"/><Relationship Id="rId254" Type="http://schemas.openxmlformats.org/officeDocument/2006/relationships/hyperlink" Target="https://cuerpodebomberos.sharepoint.com/:b:/r/sites/MaterialMayor/Documentos%20compartidos/Material%20Mayor%202025/Cotizaciones%202025/COTIZACI%C3%93N%20522%20CBSB%20%20Z-6%2002-09-25.pdf?csf=1&amp;web=1&amp;e=1wl3NM" TargetMode="External"/><Relationship Id="rId49" Type="http://schemas.openxmlformats.org/officeDocument/2006/relationships/hyperlink" Target="https://cuerpodebomberos.sharepoint.com/:b:/r/sites/MaterialMayor/Documentos%20compartidos/Material%20Mayor%202025/Cotizaciones%202025/Cotizacion%207617%20CBSB%20BT-0.pdf?csf=1&amp;web=1&amp;e=Pwixox" TargetMode="External"/><Relationship Id="rId114" Type="http://schemas.openxmlformats.org/officeDocument/2006/relationships/hyperlink" Target="https://cuerpodebomberos.sharepoint.com/:b:/r/sites/MaterialMayor/Documentos%20compartidos/Material%20Mayor%202025/Cotizaciones%202025/COT901_3445%20%20SAN%20BERNARDO%20%20%20FOCO%20TRASERO%20INTERMITENTE.pdf?csf=1&amp;web=1&amp;e=Tkw3fa" TargetMode="External"/><Relationship Id="rId296" Type="http://schemas.openxmlformats.org/officeDocument/2006/relationships/hyperlink" Target="https://cuerpodebomberos.sharepoint.com/:b:/r/sites/MaterialMayor/Documentos%20compartidos/Material%20Mayor%202025/Facturas%202025/FACTURA%201285%20OC%20212-2025%20B-3%20COT%20517.pdf?csf=1&amp;web=1&amp;e=LYueZY" TargetMode="External"/><Relationship Id="rId461" Type="http://schemas.openxmlformats.org/officeDocument/2006/relationships/hyperlink" Target="https://cuerpodebomberos.sharepoint.com/:b:/r/sites/MaterialMayor/Documentos%20compartidos/Material%20Mayor%202026/OC/SUPERMERCADO%20DEL%20NEUMATICO%20N%C2%B0108.pdf?csf=1&amp;web=1&amp;e=iUHDQL" TargetMode="External"/><Relationship Id="rId517" Type="http://schemas.openxmlformats.org/officeDocument/2006/relationships/hyperlink" Target="https://cuerpodebomberos.sharepoint.com/:b:/r/sites/MaterialMayor/Documentos%20compartidos/Material%20Mayor%202026/OC/STARCLUTCH%20N%C2%B0164.pdf?d=wdab6ee5397894e72883dbd5804a5622c&amp;csf=1&amp;web=1&amp;e=jSvi8U" TargetMode="External"/><Relationship Id="rId60" Type="http://schemas.openxmlformats.org/officeDocument/2006/relationships/hyperlink" Target="https://cuerpodebomberos.sharepoint.com/:b:/r/sites/MaterialMayor/Documentos%20compartidos/Material%20Mayor%202025/Cotizaciones%202025/COT60735.pdf?csf=1&amp;web=1&amp;e=DpgJXG" TargetMode="External"/><Relationship Id="rId156" Type="http://schemas.openxmlformats.org/officeDocument/2006/relationships/hyperlink" Target="https://cuerpodebomberos.sharepoint.com/:b:/r/sites/MaterialMayor/Documentos%20compartidos/Material%20Mayor%202025/Cotizaciones%202025/24660_250719_221549.pdf?csf=1&amp;web=1&amp;e=7IcQkk" TargetMode="External"/><Relationship Id="rId198" Type="http://schemas.openxmlformats.org/officeDocument/2006/relationships/hyperlink" Target="https://cuerpodebomberos.sharepoint.com/:b:/r/sites/MaterialMayor/Documentos%20compartidos/Material%20Mayor%202025/Facturas%202025/FACTURA%201229%20OC%20160-2025%20RX-2%20COT%20495.pdf?csf=1&amp;web=1&amp;e=s3O2gF" TargetMode="External"/><Relationship Id="rId321" Type="http://schemas.openxmlformats.org/officeDocument/2006/relationships/hyperlink" Target="https://cuerpodebomberos.sharepoint.com/:b:/r/sites/MaterialMayor/Documentos%20compartidos/Material%20Mayor%202025/Cotizaciones%202025/COT.%20CUERPO%20DE%20BOMBEROS%20DE%20SAN%20BERNARDO%20-%20110%20Albuerno.pdf?csf=1&amp;web=1&amp;e=sdNOxD" TargetMode="External"/><Relationship Id="rId363" Type="http://schemas.openxmlformats.org/officeDocument/2006/relationships/hyperlink" Target="https://cuerpodebomberos.sharepoint.com/:b:/r/sites/MaterialMayor/Documentos%20compartidos/Material%20Mayor%202025/OC%202025/SKC%20N%C2%B0262.pdf?csf=1&amp;web=1&amp;e=3RBKOK" TargetMode="External"/><Relationship Id="rId419" Type="http://schemas.openxmlformats.org/officeDocument/2006/relationships/hyperlink" Target="https://cuerpodebomberos.sharepoint.com/:b:/r/sites/MaterialMayor/Documentos%20compartidos/Material%20Mayor%202026/Cotizaciones/bomberos%20sa%20bernardo%20%20reparacion%20de%20cortinas.pdf?csf=1&amp;web=1&amp;e=hMko3x" TargetMode="External"/><Relationship Id="rId223" Type="http://schemas.openxmlformats.org/officeDocument/2006/relationships/hyperlink" Target="https://cuerpodebomberos.sharepoint.com/:b:/r/sites/MaterialMayor/Documentos%20compartidos/Material%20Mayor%202025/Facturas%202025/DOC_33_1408330%20BATERIAS%20B-7.pdf?csf=1&amp;web=1&amp;e=rY6nM0" TargetMode="External"/><Relationship Id="rId430" Type="http://schemas.openxmlformats.org/officeDocument/2006/relationships/hyperlink" Target="https://cuerpodebomberos.sharepoint.com/:b:/r/sites/MaterialMayor/Documentos%20compartidos/Material%20Mayor%202026/OC/RODOLFO%20O%C3%91ATE%20N%C2%B052.pdf?csf=1&amp;web=1&amp;e=2sm6M5" TargetMode="External"/><Relationship Id="rId18" Type="http://schemas.openxmlformats.org/officeDocument/2006/relationships/hyperlink" Target="https://cuerpodebomberos.sharepoint.com/:b:/r/sites/MaterialMayor/Documentos%20compartidos/Material%20Mayor%202025/Facturas%202025/FAC%20549%20H3%20CBSB%20MANTENCION%20COT%20656%20(1).pdf?csf=1&amp;web=1&amp;e=JowqRU" TargetMode="External"/><Relationship Id="rId265" Type="http://schemas.openxmlformats.org/officeDocument/2006/relationships/hyperlink" Target="https://cuerpodebomberos.sharepoint.com/:b:/r/sites/MaterialMayor/Documentos%20compartidos/Material%20Mayor%202025/Facturas%202025/FACTURA%201271%20OC%20202-2025%20RX-4%20COT%20542.pdf?csf=1&amp;web=1&amp;e=HKDfla" TargetMode="External"/><Relationship Id="rId472" Type="http://schemas.openxmlformats.org/officeDocument/2006/relationships/hyperlink" Target="https://cuerpodebomberos.sharepoint.com/:b:/r/sites/MaterialMayor/Documentos%20compartidos/Material%20Mayor%202026/OC/RODOLFO%20O%C3%91ATE%20N%C2%B0115.pdf?csf=1&amp;web=1&amp;e=IF2IcG" TargetMode="External"/><Relationship Id="rId528" Type="http://schemas.openxmlformats.org/officeDocument/2006/relationships/hyperlink" Target="https://cuerpodebomberos.sharepoint.com/:b:/r/sites/MaterialMayor/Documentos%20compartidos/Material%20Mayor%202026/Cotizaciones/CBSB%20682.pdf?d=wbd4de367c61641e08e49cff5dc999b96&amp;csf=1&amp;web=1&amp;e=FZLzrL" TargetMode="External"/><Relationship Id="rId125" Type="http://schemas.openxmlformats.org/officeDocument/2006/relationships/hyperlink" Target="https://cuerpodebomberos.sharepoint.com/:b:/r/sites/MaterialMayor/Documentos%20compartidos/Material%20Mayor%202025/OC%202025/OLITEK%20N%C2%B097.pdf?csf=1&amp;web=1&amp;e=n8U3vz" TargetMode="External"/><Relationship Id="rId167" Type="http://schemas.openxmlformats.org/officeDocument/2006/relationships/hyperlink" Target="https://cuerpodebomberos.sharepoint.com/:b:/r/sites/MaterialMayor/Documentos%20compartidos/Material%20Mayor%202025/Cotizaciones%202025/COT708341417.pdf?csf=1&amp;web=1&amp;e=o7FWSY" TargetMode="External"/><Relationship Id="rId332" Type="http://schemas.openxmlformats.org/officeDocument/2006/relationships/hyperlink" Target="https://cuerpodebomberos.sharepoint.com/:b:/r/sites/MaterialMayor/Documentos%20compartidos/Material%20Mayor%202025/OC%202025/LSCONEX%20N%C2%B0231.pdf?csf=1&amp;web=1&amp;e=gTb7DW" TargetMode="External"/><Relationship Id="rId374" Type="http://schemas.openxmlformats.org/officeDocument/2006/relationships/hyperlink" Target="https://cuerpodebomberos.sharepoint.com/:b:/r/sites/MaterialMayor/Documentos%20compartidos/Material%20Mayor%202025/OC%202025/TOMYCAR%20N%C2%B006.pdf?csf=1&amp;web=1&amp;e=KKWRJl" TargetMode="External"/><Relationship Id="rId71" Type="http://schemas.openxmlformats.org/officeDocument/2006/relationships/hyperlink" Target="https://cuerpodebomberos.sharepoint.com/:b:/r/sites/MaterialMayor/Documentos%20compartidos/Material%20Mayor%202025/Cotizaciones%202025/COT%2061100%20CUERPO%20DE%20BOMBEROS.pdf?csf=1&amp;web=1&amp;e=o7CYLI" TargetMode="External"/><Relationship Id="rId234" Type="http://schemas.openxmlformats.org/officeDocument/2006/relationships/hyperlink" Target="https://cuerpodebomberos.sharepoint.com/:b:/r/sites/MaterialMayor/Documentos%20compartidos/Material%20Mayor%202025/Cotizaciones%202025/COTIZACION%20N%C2%B0373%20BOMBEROS%20DE%20SAN%20BERNARDO.pdf?csf=1&amp;web=1&amp;e=zvohsH" TargetMode="External"/><Relationship Id="rId2" Type="http://schemas.openxmlformats.org/officeDocument/2006/relationships/hyperlink" Target="https://cuerpodebomberos.sharepoint.com/:b:/r/sites/MaterialMayor/Documentos%20compartidos/Material%20Mayor%202025/Cotizaciones%202025/COT%20CARRO%20B5%20PARABRISAS.pdf?csf=1&amp;web=1&amp;e=wfKbOe" TargetMode="External"/><Relationship Id="rId29" Type="http://schemas.openxmlformats.org/officeDocument/2006/relationships/hyperlink" Target="https://cuerpodebomberos.sharepoint.com/:b:/r/sites/MaterialMayor/Documentos%20compartidos/Material%20Mayor%202025/Facturas%202025/1091%20cbsb%20b5.pdf?csf=1&amp;web=1&amp;e=XVCpUc" TargetMode="External"/><Relationship Id="rId276" Type="http://schemas.openxmlformats.org/officeDocument/2006/relationships/hyperlink" Target="https://cuerpodebomberos.sharepoint.com/:b:/r/sites/MaterialMayor/Documentos%20compartidos/Material%20Mayor%202025/Cotizaciones%202025/COTIZACION%20N%C2%B0387%20BOMBEROS%20DE%20SAN%20BERNARDO.pdf?csf=1&amp;web=1&amp;e=R0WQei" TargetMode="External"/><Relationship Id="rId441" Type="http://schemas.openxmlformats.org/officeDocument/2006/relationships/hyperlink" Target="https://cuerpodebomberos.sharepoint.com/:b:/r/sites/MaterialMayor/Documentos%20compartidos/Material%20Mayor%202026/Facturas/SUPERMERCADO%20DEL%20NEUMATICO%20N%C2%B0620861%20(2).pdf?csf=1&amp;web=1&amp;e=sZ95w8" TargetMode="External"/><Relationship Id="rId483" Type="http://schemas.openxmlformats.org/officeDocument/2006/relationships/hyperlink" Target="https://cuerpodebomberos.sharepoint.com/:b:/r/sites/MaterialMayor/Documentos%20compartidos/Material%20Mayor%202026/Facturas/FACTURA%201499%20OC%20116%20COT%20631.pdf?csf=1&amp;web=1&amp;e=ETlReQ" TargetMode="External"/><Relationship Id="rId539" Type="http://schemas.openxmlformats.org/officeDocument/2006/relationships/hyperlink" Target="https://cuerpodebomberos.sharepoint.com/:b:/r/sites/MaterialMayor/Documentos%20compartidos/Material%20Mayor%202026/Cotizaciones/CBSB%20684.pdf?d=w12abc384e721413eb7b275c460503d90&amp;csf=1&amp;web=1&amp;e=KFHSPg" TargetMode="External"/><Relationship Id="rId40" Type="http://schemas.openxmlformats.org/officeDocument/2006/relationships/hyperlink" Target="https://cuerpodebomberos.sharepoint.com/:b:/r/sites/MaterialMayor/Documentos%20compartidos/Material%20Mayor%202025/OC%202025/ORDEN%20DE%20COMPRA%20N%C2%B025%20Olitek%20-%20B-8%20PIOLA.pdf?csf=1&amp;web=1&amp;e=4IhoLj" TargetMode="External"/><Relationship Id="rId136" Type="http://schemas.openxmlformats.org/officeDocument/2006/relationships/hyperlink" Target="https://cuerpodebomberos.sharepoint.com/:b:/r/sites/MaterialMayor/Documentos%20compartidos/Material%20Mayor%202025/OC%202025/NERA%20N%C2%B0105.pdf?csf=1&amp;web=1&amp;e=WgUylx" TargetMode="External"/><Relationship Id="rId178" Type="http://schemas.openxmlformats.org/officeDocument/2006/relationships/hyperlink" Target="https://cuerpodebomberos.sharepoint.com/:b:/r/sites/MaterialMayor/Documentos%20compartidos/Material%20Mayor%202025/OC%202025/FOURCA%20N%C2%B0140.pdf?csf=1&amp;web=1&amp;e=d0qniv" TargetMode="External"/><Relationship Id="rId301" Type="http://schemas.openxmlformats.org/officeDocument/2006/relationships/hyperlink" Target="https://cuerpodebomberos.sharepoint.com/:b:/r/sites/MaterialMayor/Documentos%20compartidos/Material%20Mayor%202025/Facturas%202025/0900189590.PDF?csf=1&amp;web=1&amp;e=dNY0xO" TargetMode="External"/><Relationship Id="rId343" Type="http://schemas.openxmlformats.org/officeDocument/2006/relationships/hyperlink" Target="https://cuerpodebomberos.sharepoint.com/:b:/r/sites/MaterialMayor/Documentos%20compartidos/Material%20Mayor%202025/Facturas%202025/FACTURA%20337%20BX-7.pdf?csf=1&amp;web=1&amp;e=BN5Uay" TargetMode="External"/><Relationship Id="rId82" Type="http://schemas.openxmlformats.org/officeDocument/2006/relationships/hyperlink" Target="https://cuerpodebomberos.sharepoint.com/:b:/r/sites/MaterialMayor/Documentos%20compartidos/Material%20Mayor%202025/Facturas%202025/IMPORTADORA%20Y%20EXPORTADORA%20LA%20NUEVA%20N%C2%B048124.pdf?csf=1&amp;web=1&amp;e=bLdau6" TargetMode="External"/><Relationship Id="rId203" Type="http://schemas.openxmlformats.org/officeDocument/2006/relationships/hyperlink" Target="https://cuerpodebomberos.sharepoint.com/:b:/r/sites/MaterialMayor/Documentos%20compartidos/Material%20Mayor%202025/Cotizaciones%202025/Ppto%20mismasas_27.08.25%20(1).pdf?csf=1&amp;web=1&amp;e=aSugSE" TargetMode="External"/><Relationship Id="rId385" Type="http://schemas.openxmlformats.org/officeDocument/2006/relationships/hyperlink" Target="https://cuerpodebomberos.sharepoint.com/:b:/r/sites/MaterialMayor/Documentos%20compartidos/Material%20Mayor%202025/Cotizaciones%202025/CBSB%20552.pdf?csf=1&amp;web=1&amp;e=DS1tkY" TargetMode="External"/><Relationship Id="rId245" Type="http://schemas.openxmlformats.org/officeDocument/2006/relationships/hyperlink" Target="https://cuerpodebomberos.sharepoint.com/:b:/r/sites/MaterialMayor/Documentos%20compartidos/Material%20Mayor%202025/OC%202025/SALFA%20N%C2%B0191.pdf?csf=1&amp;web=1&amp;e=KjBIAw" TargetMode="External"/><Relationship Id="rId287" Type="http://schemas.openxmlformats.org/officeDocument/2006/relationships/hyperlink" Target="https://cuerpodebomberos.sharepoint.com/:b:/r/sites/MaterialMayor/Documentos%20compartidos/Material%20Mayor%202025/OC%202025/HB%20SERVICIOS%20N%C2%B0209.pdf?csf=1&amp;web=1&amp;e=YWRnpc" TargetMode="External"/><Relationship Id="rId410" Type="http://schemas.openxmlformats.org/officeDocument/2006/relationships/hyperlink" Target="https://cuerpodebomberos.sharepoint.com/:b:/r/sites/MaterialMayor/Documentos%20compartidos/Material%20Mayor%202026/Cotizaciones%202025/CBSB%20579.pdf?csf=1&amp;web=1&amp;e=BSArDC" TargetMode="External"/><Relationship Id="rId452" Type="http://schemas.openxmlformats.org/officeDocument/2006/relationships/hyperlink" Target="https://cuerpodebomberos.sharepoint.com/:b:/r/sites/MaterialMayor/Documentos%20compartidos/Material%20Mayor%202026/Cotizaciones/Cotizacion-80340.pdf?csf=1&amp;web=1&amp;e=oZkbfS" TargetMode="External"/><Relationship Id="rId494" Type="http://schemas.openxmlformats.org/officeDocument/2006/relationships/hyperlink" Target="https://cuerpodebomberos.sharepoint.com/:b:/r/sites/MaterialMayor/Documentos%20compartidos/Material%20Mayor%202026/OC/STARCLUTCH%20N%C2%B0145.pdf?csf=1&amp;web=1&amp;e=C4FY50" TargetMode="External"/><Relationship Id="rId508" Type="http://schemas.openxmlformats.org/officeDocument/2006/relationships/hyperlink" Target="https://cuerpodebomberos.sharepoint.com/:b:/r/sites/MaterialMayor/Documentos%20compartidos/Material%20Mayor%202026/Cotizaciones/377833-BOMEROS%20Lubricantes%20Allison.pdf?d=w5cb3aad9fec54c11b42e7d8b96ecfb64&amp;csf=1&amp;web=1&amp;e=xbjSz8" TargetMode="External"/><Relationship Id="rId105" Type="http://schemas.openxmlformats.org/officeDocument/2006/relationships/hyperlink" Target="https://cuerpodebomberos.sharepoint.com/:b:/r/sites/MaterialMayor/Documentos%20compartidos/Material%20Mayor%202025/Cotizaciones%202025/Bomberos%20san%20bernardo%20N%C2%B0600.pdf?csf=1&amp;web=1&amp;e=jy0faw" TargetMode="External"/><Relationship Id="rId147" Type="http://schemas.openxmlformats.org/officeDocument/2006/relationships/hyperlink" Target="https://cuerpodebomberos.sharepoint.com/:b:/r/sites/MaterialMayor/Documentos%20compartidos/Material%20Mayor%202025/Cotizaciones%202025/Cot.%201303675867%20-%20Foco%20Iveco.pdf?csf=1&amp;web=1&amp;e=OdXwoY" TargetMode="External"/><Relationship Id="rId312" Type="http://schemas.openxmlformats.org/officeDocument/2006/relationships/hyperlink" Target="https://cuerpodebomberos.sharepoint.com/:b:/r/sites/MaterialMayor/Documentos%20compartidos/Material%20Mayor%202025/Cotizaciones%202025/708498621%20B-3%20(2).pdf?csf=1&amp;web=1&amp;e=DqktYN" TargetMode="External"/><Relationship Id="rId354" Type="http://schemas.openxmlformats.org/officeDocument/2006/relationships/hyperlink" Target="https://cuerpodebomberos.sharepoint.com/:b:/r/sites/MaterialMayor/Documentos%20compartidos/Material%20Mayor%202025/OC%202025/CAR%20AND%20TRUCK%20N%C2%B0248.pdf?csf=1&amp;web=1&amp;e=NGvTfc" TargetMode="External"/><Relationship Id="rId51" Type="http://schemas.openxmlformats.org/officeDocument/2006/relationships/hyperlink" Target="https://cuerpodebomberos.sharepoint.com/:b:/r/sites/MaterialMayor/Documentos%20compartidos/Material%20Mayor%202025/Cotizaciones%202025/Cotizacion%207626%20CBSB%20Z-6.pdf?csf=1&amp;web=1&amp;e=gT6Kya" TargetMode="External"/><Relationship Id="rId93" Type="http://schemas.openxmlformats.org/officeDocument/2006/relationships/hyperlink" Target="https://cuerpodebomberos.sharepoint.com/:b:/r/sites/MaterialMayor/Documentos%20compartidos/Material%20Mayor%202025/Cotizaciones%202025/Cotizacion%207749%20B-10.pdf?csf=1&amp;web=1&amp;e=x6FnGy" TargetMode="External"/><Relationship Id="rId189" Type="http://schemas.openxmlformats.org/officeDocument/2006/relationships/hyperlink" Target="https://cuerpodebomberos.sharepoint.com/:b:/r/sites/MaterialMayor/Documentos%20compartidos/Material%20Mayor%202025/Cotizaciones%202025/ADICIONAL%20X-1%20TREN%20DELANTERO.pdf?csf=1&amp;web=1&amp;e=ArcczO" TargetMode="External"/><Relationship Id="rId396" Type="http://schemas.openxmlformats.org/officeDocument/2006/relationships/hyperlink" Target="https://cuerpodebomberos.sharepoint.com/:b:/r/sites/MaterialMayor/Documentos%20compartidos/Material%20Mayor%202026/Facturas%202025/FACTURA%20OC%2030%20COT%20566.pdf?csf=1&amp;web=1&amp;e=8frlgP" TargetMode="External"/><Relationship Id="rId214" Type="http://schemas.openxmlformats.org/officeDocument/2006/relationships/hyperlink" Target="https://cuerpodebomberos.sharepoint.com/:b:/r/sites/MaterialMayor/Documentos%20compartidos/Material%20Mayor%202025/Facturas%202025/DTE%2034928%20de%20Sociedad%20de%20Importaci%C3%B3n%20y%20Exportaci%C3%B3n%20Improfor%20Limitada.PDF?csf=1&amp;web=1&amp;e=khnoho" TargetMode="External"/><Relationship Id="rId256" Type="http://schemas.openxmlformats.org/officeDocument/2006/relationships/hyperlink" Target="https://cuerpodebomberos.sharepoint.com/:b:/r/sites/MaterialMayor/Documentos%20compartidos/Material%20Mayor%202025/Cotizaciones%202025/COTIZACI%C3%93N%20539%20CBSB%20%20B-6%2008-09-25.pdf?csf=1&amp;web=1&amp;e=aiJlZr" TargetMode="External"/><Relationship Id="rId298" Type="http://schemas.openxmlformats.org/officeDocument/2006/relationships/hyperlink" Target="https://cuerpodebomberos.sharepoint.com/:b:/r/sites/MaterialMayor/Documentos%20compartidos/Material%20Mayor%202025/Facturas%202025/FACTURA%201287%20OC%20213-2025%20BR-1%20COT%20549.pdf?csf=1&amp;web=1&amp;e=OPdhnZ" TargetMode="External"/><Relationship Id="rId421" Type="http://schemas.openxmlformats.org/officeDocument/2006/relationships/hyperlink" Target="https://cuerpodebomberos.sharepoint.com/:b:/r/sites/MaterialMayor/Documentos%20compartidos/Material%20Mayor%202026/OC/RODOLFO%20O%C3%91ATE%20N%C2%B054.pdf?csf=1&amp;web=1&amp;e=8AyMU0" TargetMode="External"/><Relationship Id="rId463" Type="http://schemas.openxmlformats.org/officeDocument/2006/relationships/hyperlink" Target="https://cuerpodebomberos.sharepoint.com/:b:/r/sites/MaterialMayor/Documentos%20compartidos/Material%20Mayor%202026/OC/PORSCHE%20CHILE%20N%C2%B0107.pdf?csf=1&amp;web=1&amp;e=IXNDAA" TargetMode="External"/><Relationship Id="rId519" Type="http://schemas.openxmlformats.org/officeDocument/2006/relationships/hyperlink" Target="https://cuerpodebomberos.sharepoint.com/:b:/r/sites/MaterialMayor/Documentos%20compartidos/Material%20Mayor%202026/OC/RODOLFO%20O%C3%91ATE%20N%C2%B0166.pdf?d=wbeae0050214743349ca592f30c73974e&amp;csf=1&amp;web=1&amp;e=ujXNdZ" TargetMode="External"/><Relationship Id="rId116" Type="http://schemas.openxmlformats.org/officeDocument/2006/relationships/hyperlink" Target="https://nazarcorp-my.sharepoint.com/personal/jonathan_ulloa_nazar_cl/Documents/Descargas/Cotizacion%20bomberos%20de%20San%20Bernardo.pdf" TargetMode="External"/><Relationship Id="rId158" Type="http://schemas.openxmlformats.org/officeDocument/2006/relationships/hyperlink" Target="https://cuerpodebomberos.sharepoint.com/:b:/r/sites/MaterialMayor/Documentos%20compartidos/Material%20Mayor%202025/Cotizaciones%202025/Presupuesto%20Andrade.pdf?csf=1&amp;web=1&amp;e=7fkIXo" TargetMode="External"/><Relationship Id="rId323" Type="http://schemas.openxmlformats.org/officeDocument/2006/relationships/hyperlink" Target="https://cuerpodebomberos.sharepoint.com/:b:/r/sites/MaterialMayor/Documentos%20compartidos/Material%20Mayor%202025/Facturas%202025/5088258%20Salfa%20-%20empaque%20B-8.pdf?csf=1&amp;web=1&amp;e=CL0rn0" TargetMode="External"/><Relationship Id="rId530" Type="http://schemas.openxmlformats.org/officeDocument/2006/relationships/hyperlink" Target="https://cuerpodebomberos.sharepoint.com/:b:/r/sites/MaterialMayor/Documentos%20compartidos/Material%20Mayor%202026/Cotizaciones/CBSB%20690.pdf?d=w3628bfcb18c649c2bc53ee54175f08bb&amp;csf=1&amp;web=1&amp;e=fU0Xbo" TargetMode="External"/><Relationship Id="rId20" Type="http://schemas.openxmlformats.org/officeDocument/2006/relationships/hyperlink" Target="https://cuerpodebomberos.sharepoint.com/:b:/r/sites/MaterialMayor/Documentos%20compartidos/Material%20Mayor%202025/OC%202025/ML%20HEAVY%20SERVICE%20N%C2%B014%20B-8.pdf?csf=1&amp;web=1&amp;e=2gYG84" TargetMode="External"/><Relationship Id="rId62" Type="http://schemas.openxmlformats.org/officeDocument/2006/relationships/hyperlink" Target="https://cuerpodebomberos.sharepoint.com/:b:/r/sites/MaterialMayor/Documentos%20compartidos/Material%20Mayor%202025/Cotizaciones%202025/Cotizacion_13479%20(1).pdf?csf=1&amp;web=1&amp;e=LFEOGz" TargetMode="External"/><Relationship Id="rId365" Type="http://schemas.openxmlformats.org/officeDocument/2006/relationships/hyperlink" Target="https://cuerpodebomberos.sharepoint.com/:b:/r/sites/MaterialMayor/Documentos%20compartidos/Material%20Mayor%202025/Facturas%202025/FACT%20368943.pdf?csf=1&amp;web=1&amp;e=ipmBFL" TargetMode="External"/><Relationship Id="rId225" Type="http://schemas.openxmlformats.org/officeDocument/2006/relationships/hyperlink" Target="https://cuerpodebomberos.sharepoint.com/:b:/r/sites/MaterialMayor/Documentos%20compartidos/Material%20Mayor%202025/Cotizaciones%202025/Cotizacion%207974%20BX-7.pdf?csf=1&amp;web=1&amp;e=J1PmHZ" TargetMode="External"/><Relationship Id="rId267" Type="http://schemas.openxmlformats.org/officeDocument/2006/relationships/hyperlink" Target="https://cuerpodebomberos.sharepoint.com/:b:/r/sites/MaterialMayor/Documentos%20compartidos/Material%20Mayor%202025/Facturas%202025/FACTURA%201264%20OC%20200-2025%20B-4%20COT%20528.pdf?csf=1&amp;web=1&amp;e=wt1f3h" TargetMode="External"/><Relationship Id="rId432" Type="http://schemas.openxmlformats.org/officeDocument/2006/relationships/hyperlink" Target="https://cuerpodebomberos.sharepoint.com/:b:/r/sites/MaterialMayor/Documentos%20compartidos/Material%20Mayor%202026/Cotizaciones/COTIZ%20CBSBD%2012R%20M320.pdf?csf=1&amp;web=1&amp;e=IR02xp" TargetMode="External"/><Relationship Id="rId474" Type="http://schemas.openxmlformats.org/officeDocument/2006/relationships/hyperlink" Target="https://cuerpodebomberos.sharepoint.com/:b:/r/sites/MaterialMayor/Documentos%20compartidos/Material%20Mayor%202026/OC/RODOLFO%20O%C3%91ATE%20N%C2%B0115.pdf?csf=1&amp;web=1&amp;e=IF2IcG" TargetMode="External"/><Relationship Id="rId127" Type="http://schemas.openxmlformats.org/officeDocument/2006/relationships/hyperlink" Target="https://cuerpodebomberos.sharepoint.com/:b:/r/sites/MaterialMayor/Documentos%20compartidos/Material%20Mayor%202025/Facturas%202025/DOC_33_1397497.pdf?csf=1&amp;web=1&amp;e=XfJdcH" TargetMode="External"/><Relationship Id="rId31" Type="http://schemas.openxmlformats.org/officeDocument/2006/relationships/hyperlink" Target="https://cuerpodebomberos.sharepoint.com/:b:/r/sites/MaterialMayor/Documentos%20compartidos/Material%20Mayor%202025/Cotizaciones%202025/cotizacion-7531%20(B5).pdf?csf=1&amp;web=1&amp;e=lRJGIO" TargetMode="External"/><Relationship Id="rId73" Type="http://schemas.openxmlformats.org/officeDocument/2006/relationships/hyperlink" Target="https://cuerpodebomberos.sharepoint.com/:b:/r/sites/MaterialMayor/Documentos%20compartidos/Material%20Mayor%202025/Cotizaciones%202025/Cotizacion%207707%20MX4.pdf?csf=1&amp;web=1&amp;e=ognVbu" TargetMode="External"/><Relationship Id="rId169" Type="http://schemas.openxmlformats.org/officeDocument/2006/relationships/hyperlink" Target="https://cuerpodebomberos.sharepoint.com/:b:/r/sites/MaterialMayor/Documentos%20compartidos/Material%20Mayor%202025/OC%202025/SERVICIOS%20INTEGRALES%20DIESEL%20N%C2%B0130.pdf?csf=1&amp;web=1&amp;e=eVNNuC" TargetMode="External"/><Relationship Id="rId334" Type="http://schemas.openxmlformats.org/officeDocument/2006/relationships/hyperlink" Target="https://cuerpodebomberos.sharepoint.com/:b:/r/sites/MaterialMayor/Documentos%20compartidos/Material%20Mayor%202025/Cotizaciones%202025/COTIZACION%20N%C2%B0412%20BOMBEROS%20DE%20SAN%20BERNARDO.pdf?csf=1&amp;web=1&amp;e=KKT72K" TargetMode="External"/><Relationship Id="rId376" Type="http://schemas.openxmlformats.org/officeDocument/2006/relationships/hyperlink" Target="https://cuerpodebomberos.sharepoint.com/:b:/r/sites/MaterialMayor/Documentos%20compartidos/Material%20Mayor%202025/Cotizaciones%202025/auftrag_2026001069_C.B.SB.pdf?csf=1&amp;web=1&amp;e=YzJqGF" TargetMode="External"/><Relationship Id="rId541" Type="http://schemas.openxmlformats.org/officeDocument/2006/relationships/hyperlink" Target="https://cuerpodebomberos.sharepoint.com/:b:/r/sites/MaterialMayor/Documentos%20compartidos/Material%20Mayor%202026/Cotizaciones/cotizacion%20cbsb%201013%20Grua%20B-1.pdf?d=wae2a461627d2458dac284b2015d9a84d&amp;csf=1&amp;web=1&amp;e=k2ZMOR" TargetMode="External"/><Relationship Id="rId4" Type="http://schemas.openxmlformats.org/officeDocument/2006/relationships/hyperlink" Target="https://cuerpodebomberos.sharepoint.com/:b:/r/sites/MaterialMayor/Documentos%20compartidos/Material%20Mayor%202025/Cotizaciones%202025/21868950%20MANTENCION%20DE%20CARRO%20BOMBEROS%20OS%20121321643%20Q-2.pdf?csf=1&amp;web=1&amp;e=GxVb5e" TargetMode="External"/><Relationship Id="rId180" Type="http://schemas.openxmlformats.org/officeDocument/2006/relationships/hyperlink" Target="https://cuerpodebomberos.sharepoint.com/:b:/r/sites/MaterialMayor/Documentos%20compartidos/Material%20Mayor%202025/OC%202025/DETROIT%20S.A%20N%C2%B0142%20(1).pdf?csf=1&amp;web=1&amp;e=OGw8oM" TargetMode="External"/><Relationship Id="rId236" Type="http://schemas.openxmlformats.org/officeDocument/2006/relationships/hyperlink" Target="https://cuerpodebomberos.sharepoint.com/:b:/r/sites/MaterialMayor/Documentos%20compartidos/Material%20Mayor%202025/OC%202025/HB%20SERVICIOS%20N%C2%B0185.pdf?csf=1&amp;web=1&amp;e=IjAGhx" TargetMode="External"/><Relationship Id="rId278" Type="http://schemas.openxmlformats.org/officeDocument/2006/relationships/hyperlink" Target="https://cuerpodebomberos.sharepoint.com/:b:/r/sites/MaterialMayor/Documentos%20compartidos/Material%20Mayor%202025/OC%202025/RODOLFO%20O%C3%91ATE%20N%C2%B0213.pdf?csf=1&amp;web=1&amp;e=U5Bm27" TargetMode="External"/><Relationship Id="rId401" Type="http://schemas.openxmlformats.org/officeDocument/2006/relationships/hyperlink" Target="https://cuerpodebomberos.sharepoint.com/:b:/r/sites/MaterialMayor/Documentos%20compartidos/Material%20Mayor%202026/Facturas%202025/FACTURA%20OC%2031%20COT%20567.pdf?csf=1&amp;web=1&amp;e=yGePwz" TargetMode="External"/><Relationship Id="rId443" Type="http://schemas.openxmlformats.org/officeDocument/2006/relationships/hyperlink" Target="https://cuerpodebomberos.sharepoint.com/:b:/r/sites/MaterialMayor/Documentos%20compartidos/Material%20Mayor%202026/Cotizaciones/CBSB%20633%20(1).pdf?csf=1&amp;web=1&amp;e=g2ilEa" TargetMode="External"/><Relationship Id="rId303" Type="http://schemas.openxmlformats.org/officeDocument/2006/relationships/hyperlink" Target="https://cuerpodebomberos.sharepoint.com/:b:/r/sites/MaterialMayor/Documentos%20compartidos/Material%20Mayor%202025/Facturas%202025/0900189536.PDF?csf=1&amp;web=1&amp;e=7mBBWz" TargetMode="External"/><Relationship Id="rId485" Type="http://schemas.openxmlformats.org/officeDocument/2006/relationships/hyperlink" Target="https://cuerpodebomberos.sharepoint.com/:b:/r/sites/MaterialMayor/Documentos%20compartidos/Material%20Mayor%202026/Facturas/FACTURA%201498%20OC%20115%20COT%20633-635-638-640.pdf?csf=1&amp;web=1&amp;e=GzeqCI" TargetMode="External"/><Relationship Id="rId42" Type="http://schemas.openxmlformats.org/officeDocument/2006/relationships/hyperlink" Target="https://cuerpodebomberos.sharepoint.com/:b:/r/sites/MaterialMayor/Documentos%20compartidos/Material%20Mayor%202025/OC%202025/ORDEN%20DE%20COMPRA%20N%C2%B026%20sintegracom.pdf?csf=1&amp;web=1&amp;e=B9PSfZ" TargetMode="External"/><Relationship Id="rId84" Type="http://schemas.openxmlformats.org/officeDocument/2006/relationships/hyperlink" Target="https://cuerpodebomberos.sharepoint.com/:b:/r/sites/MaterialMayor/Documentos%20compartidos/Material%20Mayor%202025/OC%202025/PORSCHE%20N%C2%B064.pdf?csf=1&amp;web=1&amp;e=MIuLsh" TargetMode="External"/><Relationship Id="rId138" Type="http://schemas.openxmlformats.org/officeDocument/2006/relationships/hyperlink" Target="https://cuerpodebomberos.sharepoint.com/:b:/r/sites/MaterialMayor/Documentos%20compartidos/Material%20Mayor%202025/Facturas%202025/76686138-5_33_100545_3205476968.pdf?csf=1&amp;web=1&amp;e=ybCzpM" TargetMode="External"/><Relationship Id="rId345" Type="http://schemas.openxmlformats.org/officeDocument/2006/relationships/hyperlink" Target="https://cuerpodebomberos.sharepoint.com/:b:/r/sites/MaterialMayor/Documentos%20compartidos/Material%20Mayor%202025/Cotizaciones%202025/CO-0546515%20BOMB%20SAN%20BDO.pdf?csf=1&amp;web=1&amp;e=r4Zjmr" TargetMode="External"/><Relationship Id="rId387" Type="http://schemas.openxmlformats.org/officeDocument/2006/relationships/hyperlink" Target="https://cuerpodebomberos.sharepoint.com/:b:/r/sites/MaterialMayor/Documentos%20compartidos/Material%20Mayor%202025/Cotizaciones%202025/CBSB%20556.pdf?csf=1&amp;web=1&amp;e=evAwi0" TargetMode="External"/><Relationship Id="rId510" Type="http://schemas.openxmlformats.org/officeDocument/2006/relationships/hyperlink" Target="https://cuerpodebomberos.sharepoint.com/:b:/r/sites/MaterialMayor/Documentos%20compartidos/Material%20Mayor%202026/Cotizaciones/377865-BOMBEROSSANBERNARDO%20Kit%20Filtros.pdf?d=w490f8d5eca2d4da29b83d4b2c07fcf75&amp;csf=1&amp;web=1&amp;e=dZS4tM" TargetMode="External"/><Relationship Id="rId191" Type="http://schemas.openxmlformats.org/officeDocument/2006/relationships/hyperlink" Target="https://cuerpodebomberos.sharepoint.com/:b:/r/sites/MaterialMayor/Documentos%20compartidos/Material%20Mayor%202025/OC%202025/PORSCHE%20N%C2%B0158.pdf?csf=1&amp;web=1&amp;e=bQsLoY" TargetMode="External"/><Relationship Id="rId205" Type="http://schemas.openxmlformats.org/officeDocument/2006/relationships/hyperlink" Target="https://cuerpodebomberos.sharepoint.com/:b:/r/sites/MaterialMayor/Documentos%20compartidos/Material%20Mayor%202025/Cotizaciones%202025/Salfa-%20Terminales%20de%20direccion%20B-4%20CBSB..pdf?csf=1&amp;web=1&amp;e=g96dfE" TargetMode="External"/><Relationship Id="rId247" Type="http://schemas.openxmlformats.org/officeDocument/2006/relationships/hyperlink" Target="https://cuerpodebomberos.sharepoint.com/:b:/r/sites/MaterialMayor/Documentos%20compartidos/Material%20Mayor%202025/OC%202025/SALFA%20N%C2%B0193.pdf?csf=1&amp;web=1&amp;e=tMd5ZJ" TargetMode="External"/><Relationship Id="rId412" Type="http://schemas.openxmlformats.org/officeDocument/2006/relationships/hyperlink" Target="https://cuerpodebomberos.sharepoint.com/:b:/r/sites/MaterialMayor/Documentos%20compartidos/Material%20Mayor%202026/Cotizaciones%202025/CBSB%20586.pdf?csf=1&amp;web=1&amp;e=WsCEdK" TargetMode="External"/><Relationship Id="rId107" Type="http://schemas.openxmlformats.org/officeDocument/2006/relationships/hyperlink" Target="https://cuerpodebomberos.sharepoint.com/:b:/r/sites/MaterialMayor/Documentos%20compartidos/Material%20Mayor%202025/Cotizaciones%202025/Cotizaci%C3%B3n%2011747%20(1)%20(1).PDF?csf=1&amp;web=1&amp;e=FSaaLR" TargetMode="External"/><Relationship Id="rId289" Type="http://schemas.openxmlformats.org/officeDocument/2006/relationships/hyperlink" Target="https://cuerpodebomberos.sharepoint.com/:b:/r/sites/MaterialMayor/Documentos%20compartidos/Material%20Mayor%202025/OC%202025/HB%20SERVICIOS%20N%C2%B0216.pdf?csf=1&amp;web=1&amp;e=2ZpyGG" TargetMode="External"/><Relationship Id="rId454" Type="http://schemas.openxmlformats.org/officeDocument/2006/relationships/hyperlink" Target="https://cuerpodebomberos.sharepoint.com/:b:/r/sites/MaterialMayor/Documentos%20compartidos/Material%20Mayor%202026/Cotizaciones/COT%20958%20B10%20CBSB%20ADAPTACION%20BOMBA%20CARROCERIA.pdf?csf=1&amp;web=1&amp;e=rwrTqa" TargetMode="External"/><Relationship Id="rId496" Type="http://schemas.openxmlformats.org/officeDocument/2006/relationships/hyperlink" Target="https://cuerpodebomberos.sharepoint.com/:b:/r/sites/MaterialMayor/Documentos%20compartidos/Material%20Mayor%202026/Cotizaciones/CBSB%20653.pdf?csf=1&amp;web=1&amp;e=BDpqex" TargetMode="External"/><Relationship Id="rId11" Type="http://schemas.openxmlformats.org/officeDocument/2006/relationships/hyperlink" Target="https://cuerpodebomberos.sharepoint.com/:b:/r/sites/MaterialMayor/Documentos%20compartidos/Material%20Mayor%202025/Cotizaciones%202025/CAREN%20_%20Cotizaci%C3%B3n%20753289%20MX-4.pdf?csf=1&amp;web=1&amp;e=whk07G" TargetMode="External"/><Relationship Id="rId53" Type="http://schemas.openxmlformats.org/officeDocument/2006/relationships/hyperlink" Target="https://cuerpodebomberos.sharepoint.com/:b:/r/sites/MaterialMayor/Documentos%20compartidos/Material%20Mayor%202025/Facturas%202025/COMERCIAL%20DE%20INSUMOS%20N%C2%B07537.pdf?csf=1&amp;web=1&amp;e=YRae60" TargetMode="External"/><Relationship Id="rId149" Type="http://schemas.openxmlformats.org/officeDocument/2006/relationships/hyperlink" Target="https://cuerpodebomberos.sharepoint.com/:b:/r/sites/MaterialMayor/Documentos%20compartidos/Material%20Mayor%202025/OC%202025/AMAI%20N%C2%B0112.pdf?csf=1&amp;web=1&amp;e=VUIpFd" TargetMode="External"/><Relationship Id="rId314" Type="http://schemas.openxmlformats.org/officeDocument/2006/relationships/hyperlink" Target="https://cuerpodebomberos.sharepoint.com/:b:/r/sites/MaterialMayor/Documentos%20compartidos/Material%20Mayor%202025/OC%202025/KAUFMANN%20N%C2%B0224.pdf?csf=1&amp;web=1&amp;e=5bSwc4" TargetMode="External"/><Relationship Id="rId356" Type="http://schemas.openxmlformats.org/officeDocument/2006/relationships/hyperlink" Target="https://cuerpodebomberos.sharepoint.com/:b:/r/sites/MaterialMayor/Documentos%20compartidos/Material%20Mayor%202025/OC%202025/SALFA%20N%C2%B0250.pdf?csf=1&amp;web=1&amp;e=U3rI4F" TargetMode="External"/><Relationship Id="rId398" Type="http://schemas.openxmlformats.org/officeDocument/2006/relationships/hyperlink" Target="https://cuerpodebomberos.sharepoint.com/:b:/r/sites/MaterialMayor/Documentos%20compartidos/Material%20Mayor%202026/Facturas%202025/FACTURA%20OC%2025%20COT%20552.pdf?csf=1&amp;web=1&amp;e=DdDhnF" TargetMode="External"/><Relationship Id="rId521" Type="http://schemas.openxmlformats.org/officeDocument/2006/relationships/hyperlink" Target="https://cuerpodebomberos.sharepoint.com/:b:/r/sites/MaterialMayor/Documentos%20compartidos/Material%20Mayor%202026/OC/RODOLFO%20O%C3%91ATE%20N%C2%B0171.pdf?d=w7152f9f4bd28446a8359879c06506c06&amp;csf=1&amp;web=1&amp;e=ku0Iog" TargetMode="External"/><Relationship Id="rId95" Type="http://schemas.openxmlformats.org/officeDocument/2006/relationships/hyperlink" Target="https://cuerpodebomberos.sharepoint.com/:b:/r/sites/MaterialMayor/Documentos%20compartidos/Material%20Mayor%202025/Cotizaciones%202025/22042025%20CB%20SAN%20BERNARDO.pdf?csf=1&amp;web=1&amp;e=f3DIHD" TargetMode="External"/><Relationship Id="rId160" Type="http://schemas.openxmlformats.org/officeDocument/2006/relationships/hyperlink" Target="https://cuerpodebomberos.sharepoint.com/:b:/r/sites/MaterialMayor/Documentos%20compartidos/Material%20Mayor%202025/OC%202025/RECTIFICADORA%20DE%20MOTORES%20N%C2%B0118.pdf?csf=1&amp;web=1&amp;e=r8bfmf" TargetMode="External"/><Relationship Id="rId216" Type="http://schemas.openxmlformats.org/officeDocument/2006/relationships/hyperlink" Target="https://cuerpodebomberos.sharepoint.com/:b:/r/sites/MaterialMayor/Documentos%20compartidos/Material%20Mayor%202025/Facturas%202025/X1%20EMBRAGUE%20+%20MANTTO.pdf?csf=1&amp;web=1&amp;e=PiM1hg" TargetMode="External"/><Relationship Id="rId423" Type="http://schemas.openxmlformats.org/officeDocument/2006/relationships/hyperlink" Target="https://cuerpodebomberos.sharepoint.com/:b:/r/sites/MaterialMayor/Documentos%20compartidos/Material%20Mayor%202026/OC/RODOLFO%20O%C3%91ATE%20N%C2%B046.pdf?csf=1&amp;web=1&amp;e=KMa1SF" TargetMode="External"/><Relationship Id="rId258" Type="http://schemas.openxmlformats.org/officeDocument/2006/relationships/hyperlink" Target="https://cuerpodebomberos.sharepoint.com/:b:/r/sites/MaterialMayor/Documentos%20compartidos/Material%20Mayor%202025/OC%202025/RODOLFO%20O%C3%91ATE%20N%C2%B0199.pdf?csf=1&amp;web=1&amp;e=J6UCpi" TargetMode="External"/><Relationship Id="rId465" Type="http://schemas.openxmlformats.org/officeDocument/2006/relationships/hyperlink" Target="https://cuerpodebomberos.sharepoint.com/:b:/r/sites/MaterialMayor/Documentos%20compartidos/Material%20Mayor%202026/OC/HEAVY%20SERVICE%20N%C2%B0110.pdf?csf=1&amp;web=1&amp;e=M5aqpM" TargetMode="External"/><Relationship Id="rId22" Type="http://schemas.openxmlformats.org/officeDocument/2006/relationships/hyperlink" Target="https://cuerpodebomberos.sharepoint.com/:b:/r/sites/MaterialMayor/Documentos%20compartidos/Material%20Mayor%202025/Cotizaciones%202025/COT901_3311%20%20%20SAN%20BERNARDO%20%20%20SWITCH%20ACELERADOR%20CUERPO%20DE%20BOMBA%20B-1.pdf?csf=1&amp;web=1&amp;e=RmIMEx" TargetMode="External"/><Relationship Id="rId64" Type="http://schemas.openxmlformats.org/officeDocument/2006/relationships/hyperlink" Target="https://cuerpodebomberos.sharepoint.com/:b:/r/sites/MaterialMayor/Documentos%20compartidos/Material%20Mayor%202025/OC%202025/FILTER.CL%20N%C2%B044.pdf?csf=1&amp;web=1&amp;e=ehIu7i" TargetMode="External"/><Relationship Id="rId118" Type="http://schemas.openxmlformats.org/officeDocument/2006/relationships/hyperlink" Target="https://cuerpodebomberos.sharepoint.com/:b:/r/sites/MaterialMayor/Documentos%20compartidos/Material%20Mayor%202025/OC%202025/SKC%20RED%20SPA%20N%C2%B099.pdf?csf=1&amp;web=1&amp;e=4ddrJx" TargetMode="External"/><Relationship Id="rId325" Type="http://schemas.openxmlformats.org/officeDocument/2006/relationships/hyperlink" Target="https://cuerpodebomberos.sharepoint.com/:b:/r/sites/MaterialMayor/Documentos%20compartidos/Material%20Mayor%202025/Facturas%202025/6611117%20Kaufmann%20B-3.pdf?csf=1&amp;web=1&amp;e=zbIb1D" TargetMode="External"/><Relationship Id="rId367" Type="http://schemas.openxmlformats.org/officeDocument/2006/relationships/hyperlink" Target="https://cuerpodebomberos.sharepoint.com/:b:/r/sites/MaterialMayor/Documentos%20compartidos/Material%20Mayor%202025/Facturas%202025/Factura%20N%C2%B0%2031%20CBSB.pdf?csf=1&amp;web=1&amp;e=jET1QD" TargetMode="External"/><Relationship Id="rId532" Type="http://schemas.openxmlformats.org/officeDocument/2006/relationships/hyperlink" Target="https://cuerpodebomberos.sharepoint.com/:b:/r/sites/MaterialMayor/Documentos%20compartidos/Material%20Mayor%202026/Facturas/FACTURA%201556%20OC%20167%20COT%20681.pdf?d=w07db6723b94343b9a99fd2d5ecd82575&amp;csf=1&amp;web=1&amp;e=3c7pFP" TargetMode="External"/><Relationship Id="rId171" Type="http://schemas.openxmlformats.org/officeDocument/2006/relationships/hyperlink" Target="https://cuerpodebomberos.sharepoint.com/:b:/r/sites/MaterialMayor/Documentos%20compartidos/Material%20Mayor%202025/Facturas%202025/F.E.%20N%C2%B0%202964.pdf?csf=1&amp;web=1&amp;e=d53oLR" TargetMode="External"/><Relationship Id="rId227" Type="http://schemas.openxmlformats.org/officeDocument/2006/relationships/hyperlink" Target="https://cuerpodebomberos.sharepoint.com/:b:/r/sites/MaterialMayor/Documentos%20compartidos/Material%20Mayor%202025/Facturas%202025/5004238%20B-4%20terminales%20direccion.pdf?csf=1&amp;web=1&amp;e=7hafj8" TargetMode="External"/><Relationship Id="rId269" Type="http://schemas.openxmlformats.org/officeDocument/2006/relationships/hyperlink" Target="https://cuerpodebomberos.sharepoint.com/:b:/r/sites/MaterialMayor/Documentos%20compartidos/Material%20Mayor%202025/Facturas%202025/FACTURA%201258%20OC%20198-2025%20S-1%20COT%20514.pdf?csf=1&amp;web=1&amp;e=Pa2sQ5" TargetMode="External"/><Relationship Id="rId434" Type="http://schemas.openxmlformats.org/officeDocument/2006/relationships/hyperlink" Target="https://cuerpodebomberos.sharepoint.com/:b:/r/sites/MaterialMayor/Documentos%20compartidos/Material%20Mayor%202026/Cotizaciones/2026009640.pdf?csf=1&amp;web=1&amp;e=TuTD9b" TargetMode="External"/><Relationship Id="rId476" Type="http://schemas.openxmlformats.org/officeDocument/2006/relationships/hyperlink" Target="https://cuerpodebomberos.sharepoint.com/:b:/r/sites/MaterialMayor/Documentos%20compartidos/Material%20Mayor%202026/OC/RODOLFO%20O%C3%91ATE%20N%C2%B0117.pdf?csf=1&amp;web=1&amp;e=04OK2f" TargetMode="External"/><Relationship Id="rId33" Type="http://schemas.openxmlformats.org/officeDocument/2006/relationships/hyperlink" Target="https://cuerpodebomberos.sharepoint.com/:b:/r/sites/MaterialMayor/Documentos%20compartidos/Material%20Mayor%202025/OC%202025/INVERSIONES%20CS%20N%C2%B021.pdf?csf=1&amp;web=1&amp;e=bhay6C" TargetMode="External"/><Relationship Id="rId129" Type="http://schemas.openxmlformats.org/officeDocument/2006/relationships/hyperlink" Target="https://cuerpodebomberos.sharepoint.com/:b:/r/sites/MaterialMayor/Documentos%20compartidos/Material%20Mayor%202025/OC%202025/OLITEK%20N%C2%B094.pdf?csf=1&amp;web=1&amp;e=78n7yY" TargetMode="External"/><Relationship Id="rId280" Type="http://schemas.openxmlformats.org/officeDocument/2006/relationships/hyperlink" Target="https://cuerpodebomberos.sharepoint.com/:b:/r/sites/MaterialMayor/Documentos%20compartidos/Material%20Mayor%202025/Cotizaciones%202025/CO-0523534%20BOMBEROS%20SAN%20BDO.pdf?csf=1&amp;web=1&amp;e=etlP52" TargetMode="External"/><Relationship Id="rId336" Type="http://schemas.openxmlformats.org/officeDocument/2006/relationships/hyperlink" Target="https://cuerpodebomberos.sharepoint.com/:b:/r/sites/MaterialMayor/Documentos%20compartidos/Material%20Mayor%202025/Facturas%202025/5099460%20OC%20242.pdf?csf=1&amp;web=1&amp;e=M7tSC4" TargetMode="External"/><Relationship Id="rId501" Type="http://schemas.openxmlformats.org/officeDocument/2006/relationships/hyperlink" Target="https://cuerpodebomberos.sharepoint.com/:b:/r/sites/MaterialMayor/Documentos%20compartidos/Material%20Mayor%202026/Cotizaciones/CBSB%20648.pdf?csf=1&amp;web=1&amp;e=X8dm96" TargetMode="External"/><Relationship Id="rId543" Type="http://schemas.openxmlformats.org/officeDocument/2006/relationships/hyperlink" Target="https://cuerpodebomberos.sharepoint.com/:b:/r/sites/MaterialMayor/Documentos%20compartidos/Material%20Mayor%202026/OC/RODOLFO%20O%C3%91ATE%20N%C2%B0177.pdf?d=we269b1d2ab9e4fa48c68364c12229722&amp;csf=1&amp;web=1&amp;e=7tXZj4" TargetMode="External"/><Relationship Id="rId75" Type="http://schemas.openxmlformats.org/officeDocument/2006/relationships/hyperlink" Target="https://cuerpodebomberos.sharepoint.com/:b:/r/sites/MaterialMayor/Documentos%20compartidos/Material%20Mayor%202025/Cotizaciones%202025/COTIZACION%20N%C2%B0320%20BOMBEROS%20DE%20SAN%20BERNARDO.pdf?csf=1&amp;web=1&amp;e=Al4o06" TargetMode="External"/><Relationship Id="rId140" Type="http://schemas.openxmlformats.org/officeDocument/2006/relationships/hyperlink" Target="https://cuerpodebomberos.sharepoint.com/:b:/r/sites/MaterialMayor/Documentos%20compartidos/Material%20Mayor%202025/Cotizaciones%202025/Cot%201555%20-2025%20%20CB%20San%20Bernardo%20,%20J-0.pdf?csf=1&amp;web=1&amp;e=4When2" TargetMode="External"/><Relationship Id="rId182" Type="http://schemas.openxmlformats.org/officeDocument/2006/relationships/hyperlink" Target="https://cuerpodebomberos.sharepoint.com/:b:/r/sites/MaterialMayor/Documentos%20compartidos/Material%20Mayor%202025/OC%202025/SUPERMERCADO%20DEL%20NEUMATICO%20N%C2%B0143%20(2).pdf?csf=1&amp;web=1&amp;e=izRegq" TargetMode="External"/><Relationship Id="rId378" Type="http://schemas.openxmlformats.org/officeDocument/2006/relationships/hyperlink" Target="https://cuerpodebomberos.sharepoint.com/:b:/r/sites/MaterialMayor/Documentos%20compartidos/Material%20Mayor%202025/Facturas%202025/PORSCHE%20N%C2%B02456415.pdf?csf=1&amp;web=1&amp;e=7fO6wh" TargetMode="External"/><Relationship Id="rId403" Type="http://schemas.openxmlformats.org/officeDocument/2006/relationships/hyperlink" Target="https://cuerpodebomberos.sharepoint.com/:b:/r/sites/MaterialMayor/Documentos%20compartidos/Material%20Mayor%202026/Facturas%202025/FACTURA%20OC%2029%20COT%20564.pdf?csf=1&amp;web=1&amp;e=xGEOvc" TargetMode="External"/><Relationship Id="rId6" Type="http://schemas.openxmlformats.org/officeDocument/2006/relationships/hyperlink" Target="https://cuerpodebomberos.sharepoint.com/:b:/r/sites/MaterialMayor/Documentos%20compartidos/Material%20Mayor%202025/OC%202025/CUMMINS%20N%C2%B01.pdf?csf=1&amp;web=1&amp;e=42H8yt" TargetMode="External"/><Relationship Id="rId238" Type="http://schemas.openxmlformats.org/officeDocument/2006/relationships/hyperlink" Target="https://cuerpodebomberos.sharepoint.com/:b:/r/sites/MaterialMayor/Documentos%20compartidos/Material%20Mayor%202025/OC%202025/RODOLFO%20O%C3%91ATE%20N%C2%B0188.pdf?csf=1&amp;web=1&amp;e=PT2U1S" TargetMode="External"/><Relationship Id="rId445" Type="http://schemas.openxmlformats.org/officeDocument/2006/relationships/hyperlink" Target="https://cuerpodebomberos.sharepoint.com/:b:/r/sites/MaterialMayor/Documentos%20compartidos/Material%20Mayor%202026/Cotizaciones/CBSB%20636.pdf?csf=1&amp;web=1&amp;e=rdMRHT" TargetMode="External"/><Relationship Id="rId487" Type="http://schemas.openxmlformats.org/officeDocument/2006/relationships/hyperlink" Target="https://cuerpodebomberos.sharepoint.com/:b:/r/sites/MaterialMayor/Documentos%20compartidos/Material%20Mayor%202026/Facturas/FACTURA%201498%20OC%20115%20COT%20633-635-638-640.pdf?csf=1&amp;web=1&amp;e=GzeqCI" TargetMode="External"/><Relationship Id="rId291" Type="http://schemas.openxmlformats.org/officeDocument/2006/relationships/hyperlink" Target="https://cuerpodebomberos.sharepoint.com/:b:/r/sites/MaterialMayor/Documentos%20compartidos/Material%20Mayor%202025/OC%202025/OLITEK%20N%C2%B0203.pdf?csf=1&amp;web=1&amp;e=XSCXBQ" TargetMode="External"/><Relationship Id="rId305" Type="http://schemas.openxmlformats.org/officeDocument/2006/relationships/hyperlink" Target="https://cuerpodebomberos.sharepoint.com/:b:/r/sites/MaterialMayor/Documentos%20compartidos/Material%20Mayor%202025/Facturas%202025/9928.pdf?csf=1&amp;web=1&amp;e=7ajd4r" TargetMode="External"/><Relationship Id="rId347" Type="http://schemas.openxmlformats.org/officeDocument/2006/relationships/hyperlink" Target="https://cuerpodebomberos.sharepoint.com/:b:/r/sites/MaterialMayor/Documentos%20compartidos/Material%20Mayor%202025/OC%202025/RIVECAR%20N%C2%B0254.pdf?csf=1&amp;web=1&amp;e=zEUADl" TargetMode="External"/><Relationship Id="rId512" Type="http://schemas.openxmlformats.org/officeDocument/2006/relationships/hyperlink" Target="https://cuerpodebomberos.sharepoint.com/:b:/r/sites/MaterialMayor/Documentos%20compartidos/Material%20Mayor%202026/Cotizaciones/0709181263%20-%20CUERPO%20DE%20BOMBEROS%20DE%20SAN%20BERNARDO%20CUERPO%20DE%20BOMBEROS%20DE%20SAN%20BERNARDO%20M-1.pdf?d=wb79e0af797a446ca99bd1281172b243e&amp;csf=1&amp;web=1&amp;e=DOh3ge" TargetMode="External"/><Relationship Id="rId44" Type="http://schemas.openxmlformats.org/officeDocument/2006/relationships/hyperlink" Target="https://cuerpodebomberos.sharepoint.com/:b:/r/sites/MaterialMayor/Documentos%20compartidos/Material%20Mayor%202025/Cotizaciones%202025/COT901_3343%20%20SAN%20BERNARDO%20%20%20POLEA%20DE%20ALUMINIO%20B-8.pdf?csf=1&amp;web=1&amp;e=zhQmoB" TargetMode="External"/><Relationship Id="rId86" Type="http://schemas.openxmlformats.org/officeDocument/2006/relationships/hyperlink" Target="https://cuerpodebomberos.sharepoint.com/:b:/r/sites/MaterialMayor/Documentos%20compartidos/Material%20Mayor%202025/OC%202025/ML%20HEAVY%20SERVICES%20N%C2%B066.pdf?csf=1&amp;web=1&amp;e=5oCaZR" TargetMode="External"/><Relationship Id="rId151" Type="http://schemas.openxmlformats.org/officeDocument/2006/relationships/hyperlink" Target="https://cuerpodebomberos.sharepoint.com/:b:/r/sites/MaterialMayor/Documentos%20compartidos/Material%20Mayor%202025/Cotizaciones%202025/0011929198%20(1).pdf?csf=1&amp;web=1&amp;e=Aa7UUo" TargetMode="External"/><Relationship Id="rId389" Type="http://schemas.openxmlformats.org/officeDocument/2006/relationships/hyperlink" Target="https://cuerpodebomberos.sharepoint.com/:b:/r/sites/MaterialMayor/Documentos%20compartidos/Material%20Mayor%202025/Cotizaciones%202025/CBSB%20561.pdf?csf=1&amp;web=1&amp;e=rcQYNO" TargetMode="External"/><Relationship Id="rId193" Type="http://schemas.openxmlformats.org/officeDocument/2006/relationships/hyperlink" Target="https://cuerpodebomberos.sharepoint.com/:b:/r/sites/MaterialMayor/Documentos%20compartidos/Material%20Mayor%202025/OC%202025/RODOLFO%20O%C3%91ATE%20N%C2%B0160.pdf?csf=1&amp;web=1&amp;e=7m1gkn" TargetMode="External"/><Relationship Id="rId207" Type="http://schemas.openxmlformats.org/officeDocument/2006/relationships/hyperlink" Target="https://cuerpodebomberos.sharepoint.com/:b:/r/sites/MaterialMayor/Documentos%20compartidos/Material%20Mayor%202025/Facturas%202025/c03fa82b-aa24-4944-81cf-fcc6c8f69f46%20Q-2.pdf?csf=1&amp;web=1&amp;e=ZjwFl9" TargetMode="External"/><Relationship Id="rId249" Type="http://schemas.openxmlformats.org/officeDocument/2006/relationships/hyperlink" Target="https://cuerpodebomberos.sharepoint.com/:b:/r/sites/MaterialMayor/Documentos%20compartidos/Material%20Mayor%202025/Cotizaciones%202025/BOMBEROS%20SANBERNARDO-366626.pdf?csf=1&amp;web=1&amp;e=yiPeeB" TargetMode="External"/><Relationship Id="rId414" Type="http://schemas.openxmlformats.org/officeDocument/2006/relationships/hyperlink" Target="https://cuerpodebomberos.sharepoint.com/:b:/r/sites/MaterialMayor/Documentos%20compartidos/Material%20Mayor%202026/Cotizaciones%202025/CBSB%20592.pdf?csf=1&amp;web=1&amp;e=uHkdHg" TargetMode="External"/><Relationship Id="rId456" Type="http://schemas.openxmlformats.org/officeDocument/2006/relationships/hyperlink" Target="https://cuerpodebomberos.sharepoint.com/:b:/r/sites/MaterialMayor/Documentos%20compartidos/Material%20Mayor%202026/Cotizaciones/Cotizacion-80338.pdf?csf=1&amp;web=1&amp;e=IJhaYe" TargetMode="External"/><Relationship Id="rId498" Type="http://schemas.openxmlformats.org/officeDocument/2006/relationships/hyperlink" Target="https://cuerpodebomberos.sharepoint.com/:b:/r/sites/MaterialMayor/Documentos%20compartidos/Material%20Mayor%202026/Cotizaciones/CBSB%20658.pdf?csf=1&amp;web=1&amp;e=casad8" TargetMode="External"/><Relationship Id="rId13" Type="http://schemas.openxmlformats.org/officeDocument/2006/relationships/hyperlink" Target="https://cuerpodebomberos.sharepoint.com/:b:/r/sites/MaterialMayor/Documentos%20compartidos/Material%20Mayor%202025/Facturas%202025/Factura%201102.pdf?csf=1&amp;web=1&amp;e=jElCZ7" TargetMode="External"/><Relationship Id="rId109" Type="http://schemas.openxmlformats.org/officeDocument/2006/relationships/hyperlink" Target="https://cuerpodebomberos.sharepoint.com/:b:/r/sites/MaterialMayor/Documentos%20compartidos/Material%20Mayor%202025/Facturas%202025/DTE%203240%20de%20FEREXPO%20SpA%20(1).PDF?csf=1&amp;web=1&amp;e=jMSgwc" TargetMode="External"/><Relationship Id="rId260" Type="http://schemas.openxmlformats.org/officeDocument/2006/relationships/hyperlink" Target="https://cuerpodebomberos.sharepoint.com/:b:/r/sites/MaterialMayor/Documentos%20compartidos/Material%20Mayor%202025/OC%202025/RODOLFO%20O%C3%91ATE%20N%C2%B0198.pdf?csf=1&amp;web=1&amp;e=uC5OnB" TargetMode="External"/><Relationship Id="rId316" Type="http://schemas.openxmlformats.org/officeDocument/2006/relationships/hyperlink" Target="https://cuerpodebomberos.sharepoint.com/:b:/r/sites/MaterialMayor/Documentos%20compartidos/Material%20Mayor%202025/Facturas%202025/FACTURA%20N%C2%B0%201363%20SAN%20BERNARDO%20%20COMPRESOR%20DE%20AIRE,%20MANO%20DE%20OBRA%20PARA,%20CARRO%20BOMBA%20MAN.pdf?csf=1&amp;web=1&amp;e=P5ZlJn" TargetMode="External"/><Relationship Id="rId523" Type="http://schemas.openxmlformats.org/officeDocument/2006/relationships/hyperlink" Target="https://cuerpodebomberos.sharepoint.com/:b:/r/sites/MaterialMayor/Documentos%20compartidos/Material%20Mayor%202026/OC/RODOLFO%20O%C3%91ATE%20N%C2%B0167.pdf?d=w234444658c4b46b3aa41a24450ba89eb&amp;csf=1&amp;web=1&amp;e=tK8vAp" TargetMode="External"/><Relationship Id="rId55" Type="http://schemas.openxmlformats.org/officeDocument/2006/relationships/hyperlink" Target="https://cuerpodebomberos.sharepoint.com/:b:/r/sites/MaterialMayor/Documentos%20compartidos/Material%20Mayor%202025/Facturas%202025/IMPORTADORA%20Y%20EXPORTADORA%20LA%20NUEVA%20N%C2%B047423.pdf?csf=1&amp;web=1&amp;e=TAaqz0" TargetMode="External"/><Relationship Id="rId97" Type="http://schemas.openxmlformats.org/officeDocument/2006/relationships/hyperlink" Target="https://cuerpodebomberos.sharepoint.com/:b:/r/sites/MaterialMayor/Documentos%20compartidos/Material%20Mayor%202025/Cotizaciones%202025/CBSB%20COT2025_71.xlsx.pdf?csf=1&amp;web=1&amp;e=0SBxqQ" TargetMode="External"/><Relationship Id="rId120" Type="http://schemas.openxmlformats.org/officeDocument/2006/relationships/hyperlink" Target="https://cuerpodebomberos.sharepoint.com/:b:/r/sites/MaterialMayor/Documentos%20compartidos/Material%20Mayor%202025/OC%202025/LUCAS%20BLANDFORD%20N%C2%B092.pdf?csf=1&amp;web=1&amp;e=yrxpNc" TargetMode="External"/><Relationship Id="rId358" Type="http://schemas.openxmlformats.org/officeDocument/2006/relationships/hyperlink" Target="https://cuerpodebomberos.sharepoint.com/:b:/r/sites/MaterialMayor/Documentos%20compartidos/Material%20Mayor%202025/Cotizaciones%202025/Cotizacion-75056%20Baterias%20K10.pdf?csf=1&amp;web=1&amp;e=RmD156" TargetMode="External"/><Relationship Id="rId162" Type="http://schemas.openxmlformats.org/officeDocument/2006/relationships/hyperlink" Target="https://cuerpodebomberos.sharepoint.com/:b:/r/sites/MaterialMayor/Documentos%20compartidos/Material%20Mayor%202025/OC%202025/KAUFMANN%20N%C2%B0127.pdf?csf=1&amp;web=1&amp;e=4RG4ud" TargetMode="External"/><Relationship Id="rId218" Type="http://schemas.openxmlformats.org/officeDocument/2006/relationships/hyperlink" Target="https://cuerpodebomberos.sharepoint.com/:b:/r/sites/MaterialMayor/Documentos%20compartidos/Material%20Mayor%202025/OC%202025/DETROIT%20S.A%20N%C2%B0181.pdf?csf=1&amp;web=1&amp;e=ZweoSa" TargetMode="External"/><Relationship Id="rId425" Type="http://schemas.openxmlformats.org/officeDocument/2006/relationships/hyperlink" Target="https://cuerpodebomberos.sharepoint.com/:b:/r/sites/MaterialMayor/Documentos%20compartidos/Material%20Mayor%202026/OC/RODOLFO%20O%C3%91ATE%20N%C2%B048.pdf?csf=1&amp;web=1&amp;e=zLyEta" TargetMode="External"/><Relationship Id="rId467" Type="http://schemas.openxmlformats.org/officeDocument/2006/relationships/hyperlink" Target="https://cuerpodebomberos.sharepoint.com/:b:/r/sites/MaterialMayor/Documentos%20compartidos/Material%20Mayor%202026/Cotizaciones/COT%20964%20B1%20CBSB%20CUERPO%20BOMBA%20REPARACION.pdf?csf=1&amp;web=1&amp;e=sgEjuK" TargetMode="External"/><Relationship Id="rId271" Type="http://schemas.openxmlformats.org/officeDocument/2006/relationships/hyperlink" Target="https://cuerpodebomberos.sharepoint.com/:b:/r/sites/MaterialMayor/Documentos%20compartidos/Material%20Mayor%202025/Cotizaciones%202025/COTIZACI%C3%93N%20549%20CBSB%20%20BR-1%2022-09-25.pdf?csf=1&amp;web=1&amp;e=VVGw1q" TargetMode="External"/><Relationship Id="rId24" Type="http://schemas.openxmlformats.org/officeDocument/2006/relationships/hyperlink" Target="https://cuerpodebomberos.sharepoint.com/:b:/r/sites/MaterialMayor/Documentos%20compartidos/Material%20Mayor%202025/OC%202025/OLITEK%20N%C2%B022.pdf?csf=1&amp;web=1&amp;e=iX1LJj" TargetMode="External"/><Relationship Id="rId66" Type="http://schemas.openxmlformats.org/officeDocument/2006/relationships/hyperlink" Target="https://cuerpodebomberos.sharepoint.com/:b:/r/sites/MaterialMayor/Documentos%20compartidos/Material%20Mayor%202025/OC%202025/ACO%20MAQUINARIAS%20N%C2%B045.pdf?csf=1&amp;web=1&amp;e=PIjfgZ" TargetMode="External"/><Relationship Id="rId131" Type="http://schemas.openxmlformats.org/officeDocument/2006/relationships/hyperlink" Target="https://cuerpodebomberos.sharepoint.com/:b:/r/sites/MaterialMayor/Documentos%20compartidos/Material%20Mayor%202025/Cotizaciones%202025/Cotizaci%C3%B3n%20N%C2%B013660.pdf?csf=1&amp;web=1&amp;e=nErudr" TargetMode="External"/><Relationship Id="rId327" Type="http://schemas.openxmlformats.org/officeDocument/2006/relationships/hyperlink" Target="https://cuerpodebomberos.sharepoint.com/:b:/r/sites/MaterialMayor/Documentos%20compartidos/Material%20Mayor%202025/OC%202025/SALFA%20N%C2%B0240.pdf?csf=1&amp;web=1&amp;e=rFss59" TargetMode="External"/><Relationship Id="rId369" Type="http://schemas.openxmlformats.org/officeDocument/2006/relationships/hyperlink" Target="https://cuerpodebomberos.sharepoint.com/:b:/r/sites/MaterialMayor/Documentos%20compartidos/Material%20Mayor%202025/Cotizaciones%202025/OT%20K2%20CBSB.pdf?csf=1&amp;web=1&amp;e=hLvo42" TargetMode="External"/><Relationship Id="rId534" Type="http://schemas.openxmlformats.org/officeDocument/2006/relationships/hyperlink" Target="https://cuerpodebomberos.sharepoint.com/:b:/r/sites/MaterialMayor/Documentos%20compartidos/Material%20Mayor%202026/Facturas/FACTURA%201564%20OC%20170%20COT%20690.pdf?d=w19b7d99c9a1942d3a3c58eab41bf235c&amp;csf=1&amp;web=1&amp;e=N977d2" TargetMode="External"/><Relationship Id="rId173" Type="http://schemas.openxmlformats.org/officeDocument/2006/relationships/hyperlink" Target="https://cuerpodebomberos.sharepoint.com/:b:/r/sites/MaterialMayor/Documentos%20compartidos/Material%20Mayor%202025/Cotizaciones%202025/Cotizacion_14375.pdf?csf=1&amp;web=1&amp;e=HVyzgt" TargetMode="External"/><Relationship Id="rId229" Type="http://schemas.openxmlformats.org/officeDocument/2006/relationships/hyperlink" Target="https://cuerpodebomberos.sharepoint.com/:b:/r/sites/MaterialMayor/Documentos%20compartidos/Material%20Mayor%202025/Cotizaciones%202025/CARRO%20B-8.pdf?csf=1&amp;web=1&amp;e=W7HYpH" TargetMode="External"/><Relationship Id="rId380" Type="http://schemas.openxmlformats.org/officeDocument/2006/relationships/hyperlink" Target="https://cuerpodebomberos.sharepoint.com/:b:/r/sites/MaterialMayor/Documentos%20compartidos/Material%20Mayor%202025/Facturas%202025/FACTURA%20N%C2%B0478%20BOMBEROS%20DE%20SAN%20BERNARDO.pdf?csf=1&amp;web=1&amp;e=AibUqN" TargetMode="External"/><Relationship Id="rId436" Type="http://schemas.openxmlformats.org/officeDocument/2006/relationships/hyperlink" Target="https://cuerpodebomberos.sharepoint.com/:b:/r/sites/MaterialMayor/Documentos%20compartidos/Material%20Mayor%202026/OC/HEAVY%20SERVICE%20N%C2%B097.pdf?csf=1&amp;web=1&amp;e=pbpOis" TargetMode="External"/><Relationship Id="rId240" Type="http://schemas.openxmlformats.org/officeDocument/2006/relationships/hyperlink" Target="https://cuerpodebomberos.sharepoint.com/:b:/r/sites/MaterialMayor/Documentos%20compartidos/Material%20Mayor%202025/Facturas%202025/FACTURA%20N%C2%B0423%20BOMBEROS%20DE%20SAN%20BERNARDO.pdf?csf=1&amp;web=1&amp;e=J1mBqU" TargetMode="External"/><Relationship Id="rId478" Type="http://schemas.openxmlformats.org/officeDocument/2006/relationships/hyperlink" Target="https://cuerpodebomberos.sharepoint.com/:b:/r/sites/MaterialMayor/Documentos%20compartidos/Material%20Mayor%202026/OC/RODOLFO%20O%C3%91ATE%20N%C2%B0117.pdf?csf=1&amp;web=1&amp;e=04OK2f" TargetMode="External"/><Relationship Id="rId35" Type="http://schemas.openxmlformats.org/officeDocument/2006/relationships/hyperlink" Target="https://cuerpodebomberos.sharepoint.com/:b:/r/sites/MaterialMayor/Documentos%20compartidos/Material%20Mayor%202025/Cotizaciones%202025/coti%206242%20CBSB%20herramientas%20mec.pdf?csf=1&amp;web=1&amp;e=hMj648" TargetMode="External"/><Relationship Id="rId77" Type="http://schemas.openxmlformats.org/officeDocument/2006/relationships/hyperlink" Target="https://cuerpodebomberos.sharepoint.com/:b:/r/sites/MaterialMayor/Documentos%20compartidos/Material%20Mayor%202025/Cotizaciones%202025/Cotizaci%C3%B3n%2011678.PDF?csf=1&amp;web=1&amp;e=OSgcgj" TargetMode="External"/><Relationship Id="rId100" Type="http://schemas.openxmlformats.org/officeDocument/2006/relationships/hyperlink" Target="https://cuerpodebomberos.sharepoint.com/:b:/r/sites/MaterialMayor/Documentos%20compartidos/Material%20Mayor%202025/Cotizaciones%202025/Cotizacion-67643%20BAT%20Q2%20Y%20BT0.pdf?csf=1&amp;web=1&amp;e=xqWg9d" TargetMode="External"/><Relationship Id="rId282" Type="http://schemas.openxmlformats.org/officeDocument/2006/relationships/hyperlink" Target="https://cuerpodebomberos.sharepoint.com/:b:/r/sites/MaterialMayor/Documentos%20compartidos/Material%20Mayor%202025/Cotizaciones%202025/auftrag_2025027641_C.B.SB.%20BF-5.pdf?csf=1&amp;web=1&amp;e=WTjMO7" TargetMode="External"/><Relationship Id="rId338" Type="http://schemas.openxmlformats.org/officeDocument/2006/relationships/hyperlink" Target="https://cuerpodebomberos.sharepoint.com/:b:/r/sites/MaterialMayor/Documentos%20compartidos/Material%20Mayor%202025/Facturas%202025/RESCUE%20MOTORS%20N%C2%B014%20B-1.pdf?csf=1&amp;web=1&amp;e=LurbdT" TargetMode="External"/><Relationship Id="rId503" Type="http://schemas.openxmlformats.org/officeDocument/2006/relationships/hyperlink" Target="https://cuerpodebomberos.sharepoint.com/:b:/r/sites/MaterialMayor/Documentos%20compartidos/Material%20Mayor%202026/Cotizaciones/CUERPO%20DE%20BOMBEROS%20DE%20SAN%20BERNARDO%20COT%20107639.pdf?csf=1&amp;web=1&amp;e=oTjTWZ" TargetMode="External"/><Relationship Id="rId545" Type="http://schemas.openxmlformats.org/officeDocument/2006/relationships/hyperlink" Target="https://cuerpodebomberos.sharepoint.com/:b:/r/sites/MaterialMayor/Documentos%20compartidos/Material%20Mayor%202026/OC/RODOLFO%20O%C3%91ATE%20N%C2%B0178.pdf?d=w23e2325d50aa484fb43b956277748873&amp;csf=1&amp;web=1&amp;e=sLeHCm" TargetMode="External"/><Relationship Id="rId8" Type="http://schemas.openxmlformats.org/officeDocument/2006/relationships/hyperlink" Target="https://cuerpodebomberos.sharepoint.com/:b:/r/sites/MaterialMayor/Documentos%20compartidos/Material%20Mayor%202025/OC%202025/ML%20HEAVY%20SERVICE%20N%C2%B05%20(1).pdf?csf=1&amp;web=1&amp;e=ptB9Ce" TargetMode="External"/><Relationship Id="rId142" Type="http://schemas.openxmlformats.org/officeDocument/2006/relationships/hyperlink" Target="https://cuerpodebomberos.sharepoint.com/:b:/r/sites/MaterialMayor/Documentos%20compartidos/Material%20Mayor%202025/Cotizaciones%202025/COMERCIALIZACION%20E%20INSTALACION%20PARABRISAS%20N%C2%B0106.pdf?csf=1&amp;web=1&amp;e=QwWQu1" TargetMode="External"/><Relationship Id="rId184" Type="http://schemas.openxmlformats.org/officeDocument/2006/relationships/hyperlink" Target="https://cuerpodebomberos.sharepoint.com/:b:/r/sites/MaterialMayor/Documentos%20compartidos/Material%20Mayor%202025/OC%202025/LUCAS%20BLANDFORD%20N%C2%B0138.pdf?csf=1&amp;web=1&amp;e=UBZt0e" TargetMode="External"/><Relationship Id="rId391" Type="http://schemas.openxmlformats.org/officeDocument/2006/relationships/hyperlink" Target="https://cuerpodebomberos.sharepoint.com/:b:/r/sites/MaterialMayor/Documentos%20compartidos/Material%20Mayor%202025/Cotizaciones%202025/CBSB%20566.pdf?csf=1&amp;web=1&amp;e=xgAvb0" TargetMode="External"/><Relationship Id="rId405" Type="http://schemas.openxmlformats.org/officeDocument/2006/relationships/hyperlink" Target="https://cuerpodebomberos.sharepoint.com/:b:/r/sites/MaterialMayor/Documentos%20compartidos/Material%20Mayor%202026/Cotizaciones%202025/CBSB%20595.pdf?csf=1&amp;web=1&amp;e=vY0aT9" TargetMode="External"/><Relationship Id="rId447" Type="http://schemas.openxmlformats.org/officeDocument/2006/relationships/hyperlink" Target="https://cuerpodebomberos.sharepoint.com/:b:/r/sites/MaterialMayor/Documentos%20compartidos/Material%20Mayor%202026/Cotizaciones/CBSB%20640.pdf?csf=1&amp;web=1&amp;e=GeKLja" TargetMode="External"/><Relationship Id="rId251" Type="http://schemas.openxmlformats.org/officeDocument/2006/relationships/hyperlink" Target="https://cuerpodebomberos.sharepoint.com/:b:/r/sites/MaterialMayor/Documentos%20compartidos/Material%20Mayor%202025/OC%202025/HB%20SERVICIOS%20N%C2%B071.pdf?csf=1&amp;web=1&amp;e=T0wcoI" TargetMode="External"/><Relationship Id="rId489" Type="http://schemas.openxmlformats.org/officeDocument/2006/relationships/hyperlink" Target="https://cuerpodebomberos.sharepoint.com/:b:/r/sites/MaterialMayor/Documentos%20compartidos/Material%20Mayor%202026/Cotizaciones/0708744943%20-%20CUERPO%20DE%20BOMBEROS%20DE%20SAN%20BERNARDO%20CUERPO%20DE%20BOMBEROS%20DE%20SAN%20BERNARDO.pdf?csf=1&amp;web=1&amp;e=GYNprD" TargetMode="External"/><Relationship Id="rId46" Type="http://schemas.openxmlformats.org/officeDocument/2006/relationships/hyperlink" Target="https://cuerpodebomberos.sharepoint.com/:b:/r/sites/MaterialMayor/Documentos%20compartidos/Material%20Mayor%202025/Cotizaciones%202025/COVIPM0003375%20(1).pdf?csf=1&amp;web=1&amp;e=t8lnwS" TargetMode="External"/><Relationship Id="rId293" Type="http://schemas.openxmlformats.org/officeDocument/2006/relationships/hyperlink" Target="https://cuerpodebomberos.sharepoint.com/:b:/r/sites/MaterialMayor/Documentos%20compartidos/Material%20Mayor%202025/Facturas%202025/FACTURA%20N%C2%B0443%20BOMBEROS%20DE%20SAN%20BERNARDO%20(1).pdf?csf=1&amp;web=1&amp;e=znbzVP" TargetMode="External"/><Relationship Id="rId307" Type="http://schemas.openxmlformats.org/officeDocument/2006/relationships/hyperlink" Target="https://cuerpodebomberos.sharepoint.com/:b:/r/sites/MaterialMayor/Documentos%20compartidos/Material%20Mayor%202025/Facturas%202025/6461032%20factura.pdf?csf=1&amp;web=1&amp;e=UC9h2L" TargetMode="External"/><Relationship Id="rId349" Type="http://schemas.openxmlformats.org/officeDocument/2006/relationships/hyperlink" Target="https://cuerpodebomberos.sharepoint.com/:b:/r/sites/MaterialMayor/Documentos%20compartidos/Material%20Mayor%202025/Facturas%202025/5109408%20Telecomando%20B-1.pdf?csf=1&amp;web=1&amp;e=0iiVqn" TargetMode="External"/><Relationship Id="rId514" Type="http://schemas.openxmlformats.org/officeDocument/2006/relationships/hyperlink" Target="https://cuerpodebomberos.sharepoint.com/:b:/r/sites/MaterialMayor/Documentos%20compartidos/Material%20Mayor%202026/Cotizaciones/0709182722%20-%20CUERPO%20DE%20BOMBEROS%20DE%20SAN%20BERNARDO%20CUERPO%20DE%20BOMBEROS%20DE%20SAN%20BERNARDO%20RB-6.pdf?d=wb8be5bf1044a40a89c3af3cd18a268d9&amp;csf=1&amp;web=1&amp;e=eybsKU" TargetMode="External"/><Relationship Id="rId88" Type="http://schemas.openxmlformats.org/officeDocument/2006/relationships/hyperlink" Target="https://cuerpodebomberos.sharepoint.com/:b:/r/sites/MaterialMayor/Documentos%20compartidos/Material%20Mayor%202025/OC%202025/FEREXPO%20N%C2%B068.pdf?csf=1&amp;web=1&amp;e=dsmzKz" TargetMode="External"/><Relationship Id="rId111" Type="http://schemas.openxmlformats.org/officeDocument/2006/relationships/hyperlink" Target="https://cuerpodebomberos.sharepoint.com/:b:/r/sites/MaterialMayor/Documentos%20compartidos/Material%20Mayor%202025/Cotizaciones%202025/COT901_3443%20SAN%20BERNARDO%20%20%20PIOLAS%20%20ACELERADOR%20CUERPO%20DE%20BOMBA.pdf?csf=1&amp;web=1&amp;e=ws7nDY" TargetMode="External"/><Relationship Id="rId153" Type="http://schemas.openxmlformats.org/officeDocument/2006/relationships/hyperlink" Target="https://cuerpodebomberos.sharepoint.com/:b:/r/sites/MaterialMayor/Documentos%20compartidos/Material%20Mayor%202025/Cotizaciones%202025/Cotizacion%20(1).PDF?csf=1&amp;web=1&amp;e=arpXTT" TargetMode="External"/><Relationship Id="rId195" Type="http://schemas.openxmlformats.org/officeDocument/2006/relationships/hyperlink" Target="https://cuerpodebomberos.sharepoint.com/:b:/r/sites/MaterialMayor/Documentos%20compartidos/Material%20Mayor%202025/OC%202025/SKC%20N%C2%B0155.pdf?csf=1&amp;web=1&amp;e=M3i4NH" TargetMode="External"/><Relationship Id="rId209" Type="http://schemas.openxmlformats.org/officeDocument/2006/relationships/hyperlink" Target="https://cuerpodebomberos.sharepoint.com/:b:/r/sites/MaterialMayor/Documentos%20compartidos/Material%20Mayor%202025/OC%202025/SALFA%20N%C2%B0171.pdf?csf=1&amp;web=1&amp;e=lL5YBY" TargetMode="External"/><Relationship Id="rId360" Type="http://schemas.openxmlformats.org/officeDocument/2006/relationships/hyperlink" Target="https://cuerpodebomberos.sharepoint.com/:b:/r/sites/MaterialMayor/Documentos%20compartidos/Material%20Mayor%202025/Facturas%202025/Documento_33_172863.pdf?csf=1&amp;web=1&amp;e=rcIxVb" TargetMode="External"/><Relationship Id="rId416" Type="http://schemas.openxmlformats.org/officeDocument/2006/relationships/hyperlink" Target="https://cuerpodebomberos.sharepoint.com/:b:/r/sites/MaterialMayor/Documentos%20compartidos/Material%20Mayor%202026/Cotizaciones/COTIZ%20CBSB%20SPORTAGE%20ALIN.pdf?csf=1&amp;web=1&amp;e=3AGeOc" TargetMode="External"/><Relationship Id="rId220" Type="http://schemas.openxmlformats.org/officeDocument/2006/relationships/hyperlink" Target="https://cuerpodebomberos.sharepoint.com/:b:/r/sites/MaterialMayor/Documentos%20compartidos/Material%20Mayor%202025/OC%202025/CUMMINS%20N%C2%B0176.pdf?csf=1&amp;web=1&amp;e=aehB5w" TargetMode="External"/><Relationship Id="rId458" Type="http://schemas.openxmlformats.org/officeDocument/2006/relationships/hyperlink" Target="https://cuerpodebomberos.sharepoint.com/:b:/r/sites/MaterialMayor/Documentos%20compartidos/Material%20Mayor%202026/OC/LUCAS%20BLANDFORD%20N%C2%B0102.pdf?csf=1&amp;web=1&amp;e=C5z9Xc" TargetMode="External"/><Relationship Id="rId15" Type="http://schemas.openxmlformats.org/officeDocument/2006/relationships/hyperlink" Target="https://cuerpodebomberos.sharepoint.com/:b:/r/sites/MaterialMayor/Documentos%20compartidos/Material%20Mayor%202025/Facturas%202025/FAC%20547%20B8%20CBSB%20MANTENCION%20COT%20652.pdf?csf=1&amp;web=1&amp;e=emL20N" TargetMode="External"/><Relationship Id="rId57" Type="http://schemas.openxmlformats.org/officeDocument/2006/relationships/hyperlink" Target="https://cuerpodebomberos.sharepoint.com/:b:/r/sites/MaterialMayor/Documentos%20compartidos/Material%20Mayor%202025/OC%202025/MAX%20SERVICE%20N%C2%B031.pdf?csf=1&amp;web=1&amp;e=Ew75SE" TargetMode="External"/><Relationship Id="rId262" Type="http://schemas.openxmlformats.org/officeDocument/2006/relationships/hyperlink" Target="https://cuerpodebomberos.sharepoint.com/:b:/r/sites/MaterialMayor/Documentos%20compartidos/Material%20Mayor%202025/OC%202025/RODOLFO%20O%C3%91ATE%20N%C2%B0201.pdf?csf=1&amp;web=1&amp;e=IZdxUE" TargetMode="External"/><Relationship Id="rId318" Type="http://schemas.openxmlformats.org/officeDocument/2006/relationships/hyperlink" Target="https://cuerpodebomberos.sharepoint.com/:b:/r/sites/MaterialMayor/Documentos%20compartidos/Material%20Mayor%202025/Cotizaciones%202025/BOMBEROS%20SAN%20BERNARDO-368849%20DETROIT.pdf?csf=1&amp;web=1&amp;e=nzlmcX" TargetMode="External"/><Relationship Id="rId525" Type="http://schemas.openxmlformats.org/officeDocument/2006/relationships/hyperlink" Target="https://cuerpodebomberos.sharepoint.com/:b:/r/sites/MaterialMayor/Documentos%20compartidos/Material%20Mayor%202026/Cotizaciones/CBSB%20699.pdf?d=wae30a1af63214681aa2ab8f6d53aba61&amp;csf=1&amp;web=1&amp;e=hzFMyN" TargetMode="External"/><Relationship Id="rId99" Type="http://schemas.openxmlformats.org/officeDocument/2006/relationships/hyperlink" Target="https://cuerpodebomberos.sharepoint.com/:b:/r/sites/MaterialMayor/Documentos%20compartidos/Material%20Mayor%202025/Cotizaciones%202025/Cotizacion-67643%20BAT%20Q2%20Y%20BT0.pdf?csf=1&amp;web=1&amp;e=xqWg9d" TargetMode="External"/><Relationship Id="rId122" Type="http://schemas.openxmlformats.org/officeDocument/2006/relationships/hyperlink" Target="https://cuerpodebomberos.sharepoint.com/:b:/r/sites/MaterialMayor/Documentos%20compartidos/Material%20Mayor%202025/Cotizaciones%202025/COT901_3443%20SAN%20BERNARDO%20%20%20PIOLAS%20%20ACELERADOR%20CUERPO%20DE%20BOMBA.pdf?csf=1&amp;web=1&amp;e=ws7nDY" TargetMode="External"/><Relationship Id="rId164" Type="http://schemas.openxmlformats.org/officeDocument/2006/relationships/hyperlink" Target="https://cuerpodebomberos.sharepoint.com/:b:/r/sites/MaterialMayor/Documentos%20compartidos/Material%20Mayor%202025/Cotizaciones%202025/COTIZACION%20102394421.pdf?csf=1&amp;web=1&amp;e=3ZuSh5" TargetMode="External"/><Relationship Id="rId371" Type="http://schemas.openxmlformats.org/officeDocument/2006/relationships/hyperlink" Target="https://cuerpodebomberos.sharepoint.com/:b:/r/sites/MaterialMayor/Documentos%20compartidos/Material%20Mayor%202025/Cotizaciones%202025/OT%20S1%20CBSB.pdf?csf=1&amp;web=1&amp;e=4jybZI" TargetMode="External"/><Relationship Id="rId427" Type="http://schemas.openxmlformats.org/officeDocument/2006/relationships/hyperlink" Target="https://cuerpodebomberos.sharepoint.com/:b:/r/sites/MaterialMayor/Documentos%20compartidos/Material%20Mayor%202026/OC/RODOLFO%20O%C3%91ATE%20N%C2%B050.pdf?csf=1&amp;web=1&amp;e=yUjo8F" TargetMode="External"/><Relationship Id="rId469" Type="http://schemas.openxmlformats.org/officeDocument/2006/relationships/hyperlink" Target="https://cuerpodebomberos.sharepoint.com/:b:/r/sites/MaterialMayor/Documentos%20compartidos/Material%20Mayor%202026/OC/MOTORES%20DE%20LOS%20ANDES%20N%C2%B0120.pdf?csf=1&amp;web=1&amp;e=g0CyV4" TargetMode="External"/><Relationship Id="rId26" Type="http://schemas.openxmlformats.org/officeDocument/2006/relationships/hyperlink" Target="https://cuerpodebomberos.sharepoint.com/:b:/r/sites/MaterialMayor/Documentos%20compartidos/Material%20Mayor%202025/Cotizaciones%202025/COTIZACI%C3%93N%20449%20CBSB.pdf?csf=1&amp;web=1&amp;e=SRkg8D" TargetMode="External"/><Relationship Id="rId231" Type="http://schemas.openxmlformats.org/officeDocument/2006/relationships/hyperlink" Target="https://cuerpodebomberos.sharepoint.com/:b:/r/sites/MaterialMayor/Documentos%20compartidos/Material%20Mayor%202025/Cotizaciones%202025/CARRO%20BR-2.pdf?csf=1&amp;web=1&amp;e=7YXXok" TargetMode="External"/><Relationship Id="rId273" Type="http://schemas.openxmlformats.org/officeDocument/2006/relationships/hyperlink" Target="https://cuerpodebomberos.sharepoint.com/:b:/r/sites/MaterialMayor/Documentos%20compartidos/Material%20Mayor%202025/Cotizaciones%202025/COTIZACI%C3%93N%20517%20CBSB%20B-3%2030-08-25.pdf?csf=1&amp;web=1&amp;e=IJoo2c" TargetMode="External"/><Relationship Id="rId329" Type="http://schemas.openxmlformats.org/officeDocument/2006/relationships/hyperlink" Target="https://cuerpodebomberos.sharepoint.com/:b:/r/sites/MaterialMayor/Documentos%20compartidos/Material%20Mayor%202025/OC%202025/DETROIT%20S.A%20N%C2%B0239.pdf?csf=1&amp;web=1&amp;e=bgcPqf" TargetMode="External"/><Relationship Id="rId480" Type="http://schemas.openxmlformats.org/officeDocument/2006/relationships/hyperlink" Target="https://cuerpodebomberos.sharepoint.com/:b:/r/sites/MaterialMayor/Documentos%20compartidos/Material%20Mayor%202026/Facturas/FACTURA%201500%20OC%20117%20COT%20639-641-644.pdf?csf=1&amp;web=1&amp;e=lDUvys" TargetMode="External"/><Relationship Id="rId536" Type="http://schemas.openxmlformats.org/officeDocument/2006/relationships/hyperlink" Target="https://cuerpodebomberos.sharepoint.com/:b:/r/sites/MaterialMayor/Documentos%20compartidos/Material%20Mayor%202026/Facturas/FACTURA%201565%20OC%20171%20COT%20698.pdf?d=w1a73ad6a5fef46a8afd3e80a09ef7693&amp;csf=1&amp;web=1&amp;e=nhgrgm" TargetMode="External"/><Relationship Id="rId68" Type="http://schemas.openxmlformats.org/officeDocument/2006/relationships/hyperlink" Target="https://cuerpodebomberos.sharepoint.com/:b:/r/sites/MaterialMayor/Documentos%20compartidos/Material%20Mayor%202025/Facturas%202025/FO1400856NC.FO.pdf?csf=1&amp;web=1&amp;e=GMPfVl" TargetMode="External"/><Relationship Id="rId133" Type="http://schemas.openxmlformats.org/officeDocument/2006/relationships/hyperlink" Target="https://cuerpodebomberos.sharepoint.com/:b:/r/sites/MaterialMayor/Documentos%20compartidos/Material%20Mayor%202025/Facturas%202025/Factura%20N%C2%B014757%20Cuerpo%20Bombero%20San%20Bernardo.pdf?csf=1&amp;web=1&amp;e=uH8Dqh" TargetMode="External"/><Relationship Id="rId175" Type="http://schemas.openxmlformats.org/officeDocument/2006/relationships/hyperlink" Target="https://cuerpodebomberos.sharepoint.com/:b:/r/sites/MaterialMayor/Documentos%20compartidos/Material%20Mayor%202025/Cotizaciones%202025/Cotizaci%C3%B3n_0708381052.pdf?csf=1&amp;web=1&amp;e=fNuRsW" TargetMode="External"/><Relationship Id="rId340" Type="http://schemas.openxmlformats.org/officeDocument/2006/relationships/hyperlink" Target="https://cuerpodebomberos.sharepoint.com/:b:/r/sites/MaterialMayor/Documentos%20compartidos/Material%20Mayor%202025/Cotizaciones%202025/ResuceMotorS710spa%20prN%C2%B0108CBSB.pdf?csf=1&amp;web=1&amp;e=afclBg" TargetMode="External"/><Relationship Id="rId200" Type="http://schemas.openxmlformats.org/officeDocument/2006/relationships/hyperlink" Target="https://cuerpodebomberos.sharepoint.com/:b:/r/sites/MaterialMayor/Documentos%20compartidos/Material%20Mayor%202025/Cotizaciones%202025/B-4%200011942270.pdf?csf=1&amp;web=1&amp;e=gHyPlc" TargetMode="External"/><Relationship Id="rId382" Type="http://schemas.openxmlformats.org/officeDocument/2006/relationships/hyperlink" Target="https://cuerpodebomberos.sharepoint.com/:b:/r/sites/MaterialMayor/Documentos%20compartidos/Material%20Mayor%202025/Cotizaciones%202025/COTIZ%20CBSB%20425%20+BAL.pdf?csf=1&amp;web=1&amp;e=vEwD9o" TargetMode="External"/><Relationship Id="rId438" Type="http://schemas.openxmlformats.org/officeDocument/2006/relationships/hyperlink" Target="https://cuerpodebomberos.sharepoint.com/:b:/r/sites/MaterialMayor/Documentos%20compartidos/Material%20Mayor%202026/Cotizaciones/COT%201764%20-2026%20%20Cuerpo%20de%20Bomberos%20de%20San%20Bernardo,%20K%201.pdf?csf=1&amp;web=1&amp;e=yhxO3M" TargetMode="External"/><Relationship Id="rId242" Type="http://schemas.openxmlformats.org/officeDocument/2006/relationships/hyperlink" Target="https://cuerpodebomberos.sharepoint.com/:b:/r/sites/MaterialMayor/Documentos%20compartidos/Material%20Mayor%202025/Facturas%202025/FACTURA%20N%C2%B0386%20BOMBEROS%20DE%20SAN%20BERNARDO.pdf?csf=1&amp;web=1&amp;e=jlYDtO" TargetMode="External"/><Relationship Id="rId284" Type="http://schemas.openxmlformats.org/officeDocument/2006/relationships/hyperlink" Target="https://cuerpodebomberos.sharepoint.com/:b:/r/sites/MaterialMayor/Documentos%20compartidos/Material%20Mayor%202025/OC%202025/IMPLEMENTOS%20S.A%20N%C2%B0220.pdf?csf=1&amp;web=1&amp;e=OlnJSk" TargetMode="External"/><Relationship Id="rId491" Type="http://schemas.openxmlformats.org/officeDocument/2006/relationships/hyperlink" Target="https://cuerpodebomberos.sharepoint.com/:b:/r/sites/MaterialMayor/Documentos%20compartidos/Material%20Mayor%202026/Cotizaciones/Cotizacion%20067-2026%20San%20bernardo%20B-4.xlsx.pdf?csf=1&amp;web=1&amp;e=mq99TC" TargetMode="External"/><Relationship Id="rId505" Type="http://schemas.openxmlformats.org/officeDocument/2006/relationships/hyperlink" Target="https://cuerpodebomberos.sharepoint.com/:b:/r/sites/MaterialMayor/Documentos%20compartidos/Material%20Mayor%202026/Cotizaciones/CUERPO%20DE%20BOMBEROS%20DE%20SAN%20BERNARDO%20COT%20107636.pdf?csf=1&amp;web=1&amp;e=Yh8ubM" TargetMode="External"/><Relationship Id="rId37" Type="http://schemas.openxmlformats.org/officeDocument/2006/relationships/hyperlink" Target="https://unitedfootwear.cl/products/zapatilla-trail-running-hombre-negro-gris-oscuro-michelin-footwear-aw02?_pos=4&amp;_sid=8724ea7b4&amp;_ss=r" TargetMode="External"/><Relationship Id="rId79" Type="http://schemas.openxmlformats.org/officeDocument/2006/relationships/hyperlink" Target="https://cuerpodebomberos.sharepoint.com/:b:/r/sites/MaterialMayor/Documentos%20compartidos/Material%20Mayor%202025/OC%202025/ACO%20MAQUINARIAS%20N%C2%B032.pdf?csf=1&amp;web=1&amp;e=IDxdqb" TargetMode="External"/><Relationship Id="rId102" Type="http://schemas.openxmlformats.org/officeDocument/2006/relationships/hyperlink" Target="https://cuerpodebomberos.sharepoint.com/:b:/r/sites/MaterialMayor/Documentos%20compartidos/Material%20Mayor%202025/Cotizaciones%202025/64e5e377-ef5d-4782-a52f-add4e7665e92.pdf?csf=1&amp;web=1&amp;e=iowXqx" TargetMode="External"/><Relationship Id="rId144" Type="http://schemas.openxmlformats.org/officeDocument/2006/relationships/hyperlink" Target="https://cuerpodebomberos.sharepoint.com/:b:/r/sites/MaterialMayor/Documentos%20compartidos/Material%20Mayor%202025/Cotizaciones%202025/COTIZACION%20102372722%20(1).pdf?csf=1&amp;web=1&amp;e=QyhKXQ" TargetMode="External"/><Relationship Id="rId547" Type="http://schemas.openxmlformats.org/officeDocument/2006/relationships/hyperlink" Target="https://cuerpodebomberos.sharepoint.com/:b:/r/sites/MaterialMayor/Documentos%20compartidos/Material%20Mayor%202026/Cotizaciones/CBSB%20704.pdf?d=wb689135285e54a27943c16fcd74c01e4&amp;csf=1&amp;web=1&amp;e=eMuQ6t" TargetMode="External"/><Relationship Id="rId90" Type="http://schemas.openxmlformats.org/officeDocument/2006/relationships/hyperlink" Target="https://cuerpodebomberos.sharepoint.com/:b:/r/sites/MaterialMayor/Documentos%20compartidos/Material%20Mayor%202025/OC%202025/HB%20SERVICIOS%20N%C2%B070.pdf?csf=1&amp;web=1&amp;e=ukdNYY" TargetMode="External"/><Relationship Id="rId186" Type="http://schemas.openxmlformats.org/officeDocument/2006/relationships/hyperlink" Target="https://cuerpodebomberos.sharepoint.com/:b:/r/sites/MaterialMayor/Documentos%20compartidos/Material%20Mayor%202025/OC%202025/LUCAS%20DIESEL%20N%C2%B0152.pdf?csf=1&amp;web=1&amp;e=W3nRmd" TargetMode="External"/><Relationship Id="rId351" Type="http://schemas.openxmlformats.org/officeDocument/2006/relationships/hyperlink" Target="https://cuerpodebomberos.sharepoint.com/:b:/r/sites/MaterialMayor/Documentos%20compartidos/Material%20Mayor%202025/Facturas%202025/6130805%20Lubricantes.pdf?csf=1&amp;web=1&amp;e=FNdJi2" TargetMode="External"/><Relationship Id="rId393" Type="http://schemas.openxmlformats.org/officeDocument/2006/relationships/hyperlink" Target="https://cuerpodebomberos.sharepoint.com/:b:/r/sites/MaterialMayor/Documentos%20compartidos/Material%20Mayor%202025/Cotizaciones%202025/CBSB%20569.pdf?csf=1&amp;web=1&amp;e=YspM9E" TargetMode="External"/><Relationship Id="rId407" Type="http://schemas.openxmlformats.org/officeDocument/2006/relationships/hyperlink" Target="https://cuerpodebomberos.sharepoint.com/:b:/r/sites/MaterialMayor/Documentos%20compartidos/Material%20Mayor%202026/Cotizaciones%202025/CBSB%20600.pdf?csf=1&amp;web=1&amp;e=bR8fyU" TargetMode="External"/><Relationship Id="rId449" Type="http://schemas.openxmlformats.org/officeDocument/2006/relationships/hyperlink" Target="https://cuerpodebomberos.sharepoint.com/:b:/r/sites/MaterialMayor/Documentos%20compartidos/Material%20Mayor%202026/Cotizaciones/CBSB%20638.pdf?csf=1&amp;web=1&amp;e=LKYh6e" TargetMode="External"/><Relationship Id="rId211" Type="http://schemas.openxmlformats.org/officeDocument/2006/relationships/hyperlink" Target="https://cuerpodebomberos.sharepoint.com/:b:/r/sites/MaterialMayor/Documentos%20compartidos/Material%20Mayor%202025/OC%202025/ANDES%20MOTOR%20N%C2%B0174.pdf?csf=1&amp;web=1&amp;e=TpatDO" TargetMode="External"/><Relationship Id="rId253" Type="http://schemas.openxmlformats.org/officeDocument/2006/relationships/hyperlink" Target="https://cuerpodebomberos.sharepoint.com/:b:/r/sites/MaterialMayor/Documentos%20compartidos/Material%20Mayor%202025/Cotizaciones%202025/COTIZACI%C3%93N%20514%20CBSB%20S-1%2027-08-25.pdf?csf=1&amp;web=1&amp;e=5QoGZ7" TargetMode="External"/><Relationship Id="rId295" Type="http://schemas.openxmlformats.org/officeDocument/2006/relationships/hyperlink" Target="https://cuerpodebomberos.sharepoint.com/:b:/r/sites/MaterialMayor/Documentos%20compartidos/Material%20Mayor%202025/Facturas%202025/FACTURA%20N%C2%B0439%20BOMBEROS%20DE%20SAN%20BERNARDO.pdf?csf=1&amp;web=1&amp;e=H6lMND" TargetMode="External"/><Relationship Id="rId309" Type="http://schemas.openxmlformats.org/officeDocument/2006/relationships/hyperlink" Target="https://cuerpodebomberos.sharepoint.com/:b:/r/sites/MaterialMayor/Documentos%20compartidos/Material%20Mayor%202025/OC%202025/REDFLAME%20N%C2%B0226.pdf?csf=1&amp;web=1&amp;e=QcajEe" TargetMode="External"/><Relationship Id="rId460" Type="http://schemas.openxmlformats.org/officeDocument/2006/relationships/hyperlink" Target="https://cuerpodebomberos.sharepoint.com/:b:/r/sites/MaterialMayor/Documentos%20compartidos/Material%20Mayor%202026/OC/SALFA%20N%C2%B0105.pdf?csf=1&amp;web=1&amp;e=PbjrPT" TargetMode="External"/><Relationship Id="rId516" Type="http://schemas.openxmlformats.org/officeDocument/2006/relationships/hyperlink" Target="https://cuerpodebomberos.sharepoint.com/:b:/r/sites/MaterialMayor/Documentos%20compartidos/Material%20Mayor%202026/Cotizaciones/PPTO%20TURBO%20B-1%2012607446-532901%20(1).pdf?d=w373551265242430690d24a70b1774913&amp;csf=1&amp;web=1&amp;e=0yqKYE" TargetMode="External"/><Relationship Id="rId48" Type="http://schemas.openxmlformats.org/officeDocument/2006/relationships/hyperlink" Target="https://cuerpodebomberos.sharepoint.com/:b:/r/sites/MaterialMayor/Documentos%20compartidos/Material%20Mayor%202025/Cotizaciones%202025/Cotizacion%207616%20CBSB%20M-1.pdf?csf=1&amp;web=1&amp;e=i61fDQ" TargetMode="External"/><Relationship Id="rId113" Type="http://schemas.openxmlformats.org/officeDocument/2006/relationships/hyperlink" Target="https://cuerpodebomberos.sharepoint.com/:b:/r/sites/MaterialMayor/Documentos%20compartidos/Material%20Mayor%202025/Cotizaciones%202025/COT901_3446%20%20SAN%20BERNARDO%20%20RELOJES%20VARIOS.pdf?csf=1&amp;web=1&amp;e=3QgfG9" TargetMode="External"/><Relationship Id="rId320" Type="http://schemas.openxmlformats.org/officeDocument/2006/relationships/hyperlink" Target="https://cuerpodebomberos.sharepoint.com/:b:/r/sites/MaterialMayor/Documentos%20compartidos/Material%20Mayor%202025/Cotizaciones%202025/23367401%20actualizado%20SALFA%20B8%20B1.pdf?csf=1&amp;web=1&amp;e=bMB22J" TargetMode="External"/><Relationship Id="rId155" Type="http://schemas.openxmlformats.org/officeDocument/2006/relationships/hyperlink" Target="https://cuerpodebomberos.sharepoint.com/:b:/r/sites/MaterialMayor/Documentos%20compartidos/Material%20Mayor%202025/Cotizaciones%202025/CotizacionPDF_250718_111246%20S-1%20CBSB.pdf?csf=1&amp;web=1&amp;e=4XBCvo" TargetMode="External"/><Relationship Id="rId197" Type="http://schemas.openxmlformats.org/officeDocument/2006/relationships/hyperlink" Target="https://cuerpodebomberos.sharepoint.com/:b:/r/sites/MaterialMayor/Documentos%20compartidos/Material%20Mayor%202025/Cotizaciones%202025/COTIZACI%C3%93N%20494%20CBSB.pdf?csf=1&amp;web=1&amp;e=na6190" TargetMode="External"/><Relationship Id="rId362" Type="http://schemas.openxmlformats.org/officeDocument/2006/relationships/hyperlink" Target="https://cuerpodebomberos.sharepoint.com/:b:/r/sites/MaterialMayor/Documentos%20compartidos/Material%20Mayor%202025/Cotizaciones%202025/Cot.%20Coolant%20Cuerpo%20de%20bomberos%20de%20san%20bernardo.pdf?csf=1&amp;web=1&amp;e=mX1ihe" TargetMode="External"/><Relationship Id="rId418" Type="http://schemas.openxmlformats.org/officeDocument/2006/relationships/hyperlink" Target="https://cuerpodebomberos.sharepoint.com/:b:/r/sites/MaterialMayor/Documentos%20compartidos/Material%20Mayor%202026/Cotizaciones/708799309.pdf?csf=1&amp;web=1&amp;e=8eWz5N" TargetMode="External"/><Relationship Id="rId222" Type="http://schemas.openxmlformats.org/officeDocument/2006/relationships/hyperlink" Target="https://cuerpodebomberos.sharepoint.com/:b:/r/sites/MaterialMayor/Documentos%20compartidos/Material%20Mayor%202025/OC%202025/FOUR-CA%20N%C2%B0156.pdf?csf=1&amp;web=1&amp;e=1m3hWF" TargetMode="External"/><Relationship Id="rId264" Type="http://schemas.openxmlformats.org/officeDocument/2006/relationships/hyperlink" Target="https://cuerpodebomberos.sharepoint.com/:b:/r/sites/MaterialMayor/Documentos%20compartidos/Material%20Mayor%202025/OC%202025/SUPERMERCADO%20DEL%20NEUMATICO%20N%C2%B0204.pdf?csf=1&amp;web=1&amp;e=E0V3gG" TargetMode="External"/><Relationship Id="rId471" Type="http://schemas.openxmlformats.org/officeDocument/2006/relationships/hyperlink" Target="https://cuerpodebomberos.sharepoint.com/:b:/r/sites/MaterialMayor/Documentos%20compartidos/Material%20Mayor%202026/OC/CAREN%20N%C2%B0122.pdf?csf=1&amp;web=1&amp;e=BySIMo" TargetMode="External"/><Relationship Id="rId17" Type="http://schemas.openxmlformats.org/officeDocument/2006/relationships/hyperlink" Target="https://cuerpodebomberos.sharepoint.com/:b:/r/sites/MaterialMayor/Documentos%20compartidos/Material%20Mayor%202025/Facturas%202025/F769322T33_6eac44e867eb955424d42eef09f2befb%20(1)%20ACEITE%20MX4.pdf?csf=1&amp;web=1&amp;e=XMefC9" TargetMode="External"/><Relationship Id="rId59" Type="http://schemas.openxmlformats.org/officeDocument/2006/relationships/hyperlink" Target="https://cuerpodebomberos.sharepoint.com/:b:/r/sites/MaterialMayor/Documentos%20compartidos/Material%20Mayor%202025/Cotizaciones%202025/Cotizaci%C3%B3n_0708098901%20(1).pdf?csf=1&amp;web=1&amp;e=P1ZbdM" TargetMode="External"/><Relationship Id="rId124" Type="http://schemas.openxmlformats.org/officeDocument/2006/relationships/hyperlink" Target="https://cuerpodebomberos.sharepoint.com/:b:/r/sites/MaterialMayor/Documentos%20compartidos/Material%20Mayor%202025/OC%202025/OLITEK%20N%C2%B096.pdf?csf=1&amp;web=1&amp;e=rgmKTl" TargetMode="External"/><Relationship Id="rId527" Type="http://schemas.openxmlformats.org/officeDocument/2006/relationships/hyperlink" Target="https://cuerpodebomberos.sharepoint.com/:b:/r/sites/MaterialMayor/Documentos%20compartidos/Material%20Mayor%202026/Cotizaciones/CBSB%20681.pdf?d=w4221345b3f214d9ca7ce43b7e99f5bc3&amp;csf=1&amp;web=1&amp;e=2QW6xT" TargetMode="External"/><Relationship Id="rId70" Type="http://schemas.openxmlformats.org/officeDocument/2006/relationships/hyperlink" Target="https://cuerpodebomberos.sharepoint.com/:b:/r/sites/MaterialMayor/Documentos%20compartidos/Material%20Mayor%202025/Cotizaciones%202025/PRESUPUESTO%20716.pdf?csf=1&amp;web=1&amp;e=Cx03Ai" TargetMode="External"/><Relationship Id="rId166" Type="http://schemas.openxmlformats.org/officeDocument/2006/relationships/hyperlink" Target="https://cuerpodebomberos.sharepoint.com/:b:/r/sites/MaterialMayor/Documentos%20compartidos/Material%20Mayor%202025/Facturas%202025/factura%20No%20198%20Andrade%20-%20Camisa%20inyectores.pdf?csf=1&amp;web=1&amp;e=y40a9l" TargetMode="External"/><Relationship Id="rId331" Type="http://schemas.openxmlformats.org/officeDocument/2006/relationships/hyperlink" Target="https://cuerpodebomberos.sharepoint.com/:b:/r/sites/MaterialMayor/Documentos%20compartidos/Material%20Mayor%202025/OC%202025/KAUFMANN%20N%C2%B0229.pdf?csf=1&amp;web=1&amp;e=tTnzph" TargetMode="External"/><Relationship Id="rId373" Type="http://schemas.openxmlformats.org/officeDocument/2006/relationships/hyperlink" Target="https://cuerpodebomberos.sharepoint.com/:b:/r/sites/MaterialMayor/Documentos%20compartidos/Material%20Mayor%202025/OC%202025/TOMYCAR%20N%C2%B007.pdf?csf=1&amp;web=1&amp;e=dYBqmC" TargetMode="External"/><Relationship Id="rId429" Type="http://schemas.openxmlformats.org/officeDocument/2006/relationships/hyperlink" Target="https://cuerpodebomberos.sharepoint.com/:b:/r/sites/MaterialMayor/Documentos%20compartidos/Material%20Mayor%202026/OC/RODOLFO%20O%C3%91ATE%20N%C2%B052.pdf?csf=1&amp;web=1&amp;e=2sm6M5" TargetMode="External"/><Relationship Id="rId1" Type="http://schemas.openxmlformats.org/officeDocument/2006/relationships/hyperlink" Target="https://cuerpodebomberos.sharepoint.com/:b:/r/sites/MaterialMayor/Documentos%20compartidos/Material%20Mayor%202025/Cotizaciones%202025/21863116%20EVALAUCION%20Y%20MANTENCION%20DE%20MOTOR%20OS%2012131150%20(1).pdf?csf=1&amp;web=1&amp;e=IGbb1o" TargetMode="External"/><Relationship Id="rId233" Type="http://schemas.openxmlformats.org/officeDocument/2006/relationships/hyperlink" Target="https://cuerpodebomberos.sharepoint.com/:b:/r/sites/MaterialMayor/Documentos%20compartidos/Material%20Mayor%202025/Cotizaciones%202025/Cotizacion%208074.pdf?csf=1&amp;web=1&amp;e=qtfKqt" TargetMode="External"/><Relationship Id="rId440" Type="http://schemas.openxmlformats.org/officeDocument/2006/relationships/hyperlink" Target="https://cuerpodebomberos.sharepoint.com/:b:/r/sites/MaterialMayor/Documentos%20compartidos/Material%20Mayor%202026/Cotizaciones/COTIZ%20CBSBD%20425.pdf?csf=1&amp;web=1&amp;e=K8Wz2l" TargetMode="External"/><Relationship Id="rId28" Type="http://schemas.openxmlformats.org/officeDocument/2006/relationships/hyperlink" Target="https://cuerpodebomberos.sharepoint.com/:b:/r/sites/MaterialMayor/Documentos%20compartidos/Material%20Mayor%202025/Facturas%202025/1091%20cbsb%20b5.pdf?csf=1&amp;web=1&amp;e=XVCpUc" TargetMode="External"/><Relationship Id="rId275" Type="http://schemas.openxmlformats.org/officeDocument/2006/relationships/hyperlink" Target="https://cuerpodebomberos.sharepoint.com/:b:/r/sites/MaterialMayor/Documentos%20compartidos/Material%20Mayor%202025/Cotizaciones%202025/COTIZACION%20N%C2%B0388%20BOMBEROS%20DE%20SAN%20BERNARDO.pdf?csf=1&amp;web=1&amp;e=icjhl1" TargetMode="External"/><Relationship Id="rId300" Type="http://schemas.openxmlformats.org/officeDocument/2006/relationships/hyperlink" Target="https://cuerpodebomberos.sharepoint.com/:b:/r/sites/MaterialMayor/Documentos%20compartidos/Material%20Mayor%202025/Facturas%202025/0900189610.PDF?csf=1&amp;web=1&amp;e=H4lf0W" TargetMode="External"/><Relationship Id="rId482" Type="http://schemas.openxmlformats.org/officeDocument/2006/relationships/hyperlink" Target="https://cuerpodebomberos.sharepoint.com/:b:/r/sites/MaterialMayor/Documentos%20compartidos/Material%20Mayor%202026/Facturas/FACTURA%201500%20OC%20117%20COT%20639-641-644.pdf?csf=1&amp;web=1&amp;e=lDUvys" TargetMode="External"/><Relationship Id="rId538" Type="http://schemas.openxmlformats.org/officeDocument/2006/relationships/hyperlink" Target="https://cuerpodebomberos.sharepoint.com/:b:/r/sites/MaterialMayor/Documentos%20compartidos/Material%20Mayor%202026/Cotizaciones/CBSB%20691.pdf?d=w493c36c0f4274250a610a630e88c83e4&amp;csf=1&amp;web=1&amp;e=ZSj2vl" TargetMode="External"/><Relationship Id="rId81" Type="http://schemas.openxmlformats.org/officeDocument/2006/relationships/hyperlink" Target="https://cuerpodebomberos.sharepoint.com/:b:/r/sites/MaterialMayor/Documentos%20compartidos/Material%20Mayor%202025/Facturas%202025/ACO%20N%C2%B01578246.pdf?csf=1&amp;web=1&amp;e=BHcgBj" TargetMode="External"/><Relationship Id="rId135" Type="http://schemas.openxmlformats.org/officeDocument/2006/relationships/hyperlink" Target="https://cuerpodebomberos.sharepoint.com/:b:/r/sites/MaterialMayor/Documentos%20compartidos/Material%20Mayor%202025/Cotizaciones%202025/_home_nerachilespa_public_html_ot__archivos__pdf___250613_140834.pdf?csf=1&amp;web=1&amp;e=RqPv1N" TargetMode="External"/><Relationship Id="rId177" Type="http://schemas.openxmlformats.org/officeDocument/2006/relationships/hyperlink" Target="https://cuerpodebomberos.sharepoint.com/:b:/r/sites/MaterialMayor/Documentos%20compartidos/Material%20Mayor%202025/Cotizaciones%202025/BOMBEROS%20SAN%20BERNARDO-365851%20Q-2.pdf?csf=1&amp;web=1&amp;e=J2JYtt" TargetMode="External"/><Relationship Id="rId342" Type="http://schemas.openxmlformats.org/officeDocument/2006/relationships/hyperlink" Target="https://cuerpodebomberos.sharepoint.com/:b:/r/sites/MaterialMayor/Documentos%20compartidos/Material%20Mayor%202025/OC%202025/LSCONEX%20N%C2%B0251.pdf?csf=1&amp;web=1&amp;e=67oHt4" TargetMode="External"/><Relationship Id="rId384" Type="http://schemas.openxmlformats.org/officeDocument/2006/relationships/hyperlink" Target="https://cuerpodebomberos.sharepoint.com/:b:/r/sites/MaterialMayor/Documentos%20compartidos/Material%20Mayor%202025/Cotizaciones%202025/COTIZACION%20N%C2%B0426%20BOMBEROS%20DE%20SAN%20BERNARDO.pdf?csf=1&amp;web=1&amp;e=itHfnz" TargetMode="External"/><Relationship Id="rId202" Type="http://schemas.openxmlformats.org/officeDocument/2006/relationships/hyperlink" Target="https://cuerpodebomberos.sharepoint.com/:b:/r/sites/MaterialMayor/Documentos%20compartidos/Material%20Mayor%202025/Cotizaciones%202025/RX-4%200011942268.pdf?csf=1&amp;web=1&amp;e=2vUKQx" TargetMode="External"/><Relationship Id="rId244" Type="http://schemas.openxmlformats.org/officeDocument/2006/relationships/hyperlink" Target="https://cuerpodebomberos.sharepoint.com/:b:/r/sites/MaterialMayor/Documentos%20compartidos/Material%20Mayor%202025/OC%202025/SALFA%20N%C2%B0190.pdf?csf=1&amp;web=1&amp;e=VN969K" TargetMode="External"/><Relationship Id="rId39" Type="http://schemas.openxmlformats.org/officeDocument/2006/relationships/hyperlink" Target="https://cuerpodebomberos.sharepoint.com/:b:/r/sites/MaterialMayor/Documentos%20compartidos/Material%20Mayor%202025/Cotizaciones%202025/26022025%20CB%20SAN%20BERNARDO%20BX-7.pdf?csf=1&amp;web=1&amp;e=o9EtSi" TargetMode="External"/><Relationship Id="rId286" Type="http://schemas.openxmlformats.org/officeDocument/2006/relationships/hyperlink" Target="https://cuerpodebomberos.sharepoint.com/:b:/r/sites/MaterialMayor/Documentos%20compartidos/Material%20Mayor%202025/OC%202025/HB%20SERVICIOS%20N%C2%B0208.pdf?csf=1&amp;web=1&amp;e=ayndaa" TargetMode="External"/><Relationship Id="rId451" Type="http://schemas.openxmlformats.org/officeDocument/2006/relationships/hyperlink" Target="https://cuerpodebomberos.sharepoint.com/:b:/r/sites/MaterialMayor/Documentos%20compartidos/Material%20Mayor%202026/Cotizaciones/Cotizacion-80342.pdf?csf=1&amp;web=1&amp;e=ZlPKYk" TargetMode="External"/><Relationship Id="rId493" Type="http://schemas.openxmlformats.org/officeDocument/2006/relationships/hyperlink" Target="https://cuerpodebomberos.sharepoint.com/:b:/r/sites/MaterialMayor/Documentos%20compartidos/Material%20Mayor%202026/OC/STARCLUTCH%20N%C2%B0143.pdf?csf=1&amp;web=1&amp;e=bse6Yt" TargetMode="External"/><Relationship Id="rId507" Type="http://schemas.openxmlformats.org/officeDocument/2006/relationships/hyperlink" Target="https://cuerpodebomberos.sharepoint.com/:b:/r/sites/MaterialMayor/Documentos%20compartidos/Material%20Mayor%202026/Cotizaciones/CUERPO%20DE%20BOMBEROS%20DE%20SAN%20BERNARDO%20COT%20107641.pdf?csf=1&amp;web=1&amp;e=sINekq" TargetMode="External"/><Relationship Id="rId549" Type="http://schemas.openxmlformats.org/officeDocument/2006/relationships/table" Target="../tables/table3.xml"/><Relationship Id="rId50" Type="http://schemas.openxmlformats.org/officeDocument/2006/relationships/hyperlink" Target="https://cuerpodebomberos.sharepoint.com/:b:/r/sites/MaterialMayor/Documentos%20compartidos/Material%20Mayor%202025/Cotizaciones%202025/Cotizacion%207628%20CBSB%20B-1.pdf?csf=1&amp;web=1&amp;e=teF3jn" TargetMode="External"/><Relationship Id="rId104" Type="http://schemas.openxmlformats.org/officeDocument/2006/relationships/hyperlink" Target="https://cuerpodebomberos.sharepoint.com/:b:/r/sites/MaterialMayor/Documentos%20compartidos/Material%20Mayor%202025/Cotizaciones%202025/COT901_3432%20%20SAN%20BERNARDO%20%20%20PIOLA%20%20ACELERADOR%20CUERPO%20DE%20BOMBA.pdf?csf=1&amp;web=1&amp;e=LMulcE" TargetMode="External"/><Relationship Id="rId146" Type="http://schemas.openxmlformats.org/officeDocument/2006/relationships/hyperlink" Target="https://cuerpodebomberos.sharepoint.com/:b:/r/sites/MaterialMayor/Documentos%20compartidos/Material%20Mayor%202025/OC%202025/SERVICIOS%20INTEGRALES%20DIESEL%20N%C2%B0114.pdf?csf=1&amp;web=1&amp;e=2fBScO" TargetMode="External"/><Relationship Id="rId188" Type="http://schemas.openxmlformats.org/officeDocument/2006/relationships/hyperlink" Target="https://cuerpodebomberos.sharepoint.com/:b:/r/sites/MaterialMayor/Documentos%20compartidos/Material%20Mayor%202025/Cotizaciones%202025/Cotizacion-71341%20B-7.pdf?csf=1&amp;web=1&amp;e=gMWCaI" TargetMode="External"/><Relationship Id="rId311" Type="http://schemas.openxmlformats.org/officeDocument/2006/relationships/hyperlink" Target="https://cuerpodebomberos.sharepoint.com/:b:/r/sites/MaterialMayor/Documentos%20compartidos/Material%20Mayor%202025/Cotizaciones%202025/Cotizaci%C3%B3n_0708577549%20Baterias%20J0.pdf?csf=1&amp;web=1&amp;e=gqEc52" TargetMode="External"/><Relationship Id="rId353" Type="http://schemas.openxmlformats.org/officeDocument/2006/relationships/hyperlink" Target="https://cuerpodebomberos.sharepoint.com/:b:/r/sites/MaterialMayor/Documentos%20compartidos/Material%20Mayor%202025/Facturas%202025/FACTURA%20336%20Servicio%20BX-7.pdf?csf=1&amp;web=1&amp;e=bqVaz8" TargetMode="External"/><Relationship Id="rId395" Type="http://schemas.openxmlformats.org/officeDocument/2006/relationships/hyperlink" Target="https://cuerpodebomberos.sharepoint.com/:b:/r/sites/MaterialMayor/Documentos%20compartidos/Material%20Mayor%202026/Facturas%202025/FACTURA%20OC%2028%20COT%20559.pdf?csf=1&amp;web=1&amp;e=DDWxGj" TargetMode="External"/><Relationship Id="rId409" Type="http://schemas.openxmlformats.org/officeDocument/2006/relationships/hyperlink" Target="https://cuerpodebomberos.sharepoint.com/:b:/r/sites/MaterialMayor/Documentos%20compartidos/Material%20Mayor%202026/Cotizaciones%202025/CBSB%20576.pdf?csf=1&amp;web=1&amp;e=deRIys" TargetMode="External"/><Relationship Id="rId92" Type="http://schemas.openxmlformats.org/officeDocument/2006/relationships/hyperlink" Target="https://cuerpodebomberos.sharepoint.com/:b:/r/sites/MaterialMayor/Documentos%20compartidos/Material%20Mayor%202025/OC%202025/FEREXPO%20N%C2%B072.pdf?csf=1&amp;web=1&amp;e=QBjdUX" TargetMode="External"/><Relationship Id="rId213" Type="http://schemas.openxmlformats.org/officeDocument/2006/relationships/hyperlink" Target="https://cuerpodebomberos.sharepoint.com/:b:/r/sites/MaterialMayor/Documentos%20compartidos/Material%20Mayor%202025/OC%202025/LUCAS%20BLANDFORD%20N%C2%B0153.pdf?csf=1&amp;web=1&amp;e=Azi02a" TargetMode="External"/><Relationship Id="rId420" Type="http://schemas.openxmlformats.org/officeDocument/2006/relationships/hyperlink" Target="https://cuerpodebomberos.sharepoint.com/:b:/r/sites/MaterialMayor/Documentos%20compartidos/Material%20Mayor%202026/OC/RODOLFO%20O%C3%91ATE%20N%C2%B053.pdf?csf=1&amp;web=1&amp;e=3NgMgm" TargetMode="External"/><Relationship Id="rId255" Type="http://schemas.openxmlformats.org/officeDocument/2006/relationships/hyperlink" Target="https://cuerpodebomberos.sharepoint.com/:b:/r/sites/MaterialMayor/Documentos%20compartidos/Material%20Mayor%202025/Cotizaciones%202025/COTIZACI%C3%93N%20528%20CBSB%20%20B-4%2003-09-25.pdf?csf=1&amp;web=1&amp;e=G7SFka" TargetMode="External"/><Relationship Id="rId297" Type="http://schemas.openxmlformats.org/officeDocument/2006/relationships/hyperlink" Target="https://cuerpodebomberos.sharepoint.com/:b:/r/sites/MaterialMayor/Documentos%20compartidos/Material%20Mayor%202025/Facturas%202025/FACTURA%201287%20OC%20213-2025%20BR-1%20COT%20549.pdf?csf=1&amp;web=1&amp;e=OPdhnZ" TargetMode="External"/><Relationship Id="rId462" Type="http://schemas.openxmlformats.org/officeDocument/2006/relationships/hyperlink" Target="https://cuerpodebomberos.sharepoint.com/:b:/r/sites/MaterialMayor/Documentos%20compartidos/Material%20Mayor%202026/OC/HEAVY%20SERVICE%20N%C2%B0109.pdf?csf=1&amp;web=1&amp;e=URK1EB" TargetMode="External"/><Relationship Id="rId518" Type="http://schemas.openxmlformats.org/officeDocument/2006/relationships/hyperlink" Target="https://cuerpodebomberos.sharepoint.com/:b:/r/sites/MaterialMayor/Documentos%20compartidos/Material%20Mayor%202026/OC/STARCLUTCH%20N%C2%B0163.pdf?d=w51f5be8b77ed4007958d1bfab871e96f&amp;csf=1&amp;web=1&amp;e=4kcBza" TargetMode="External"/><Relationship Id="rId115" Type="http://schemas.openxmlformats.org/officeDocument/2006/relationships/hyperlink" Target="https://cuerpodebomberos.sharepoint.com/:b:/r/sites/MaterialMayor/Documentos%20compartidos/Material%20Mayor%202025/Cotizaciones%202025/Coti%207015%20CBSB..pdf?csf=1&amp;web=1&amp;e=Inj8fq" TargetMode="External"/><Relationship Id="rId157" Type="http://schemas.openxmlformats.org/officeDocument/2006/relationships/hyperlink" Target="https://cuerpodebomberos.sharepoint.com/:b:/r/sites/MaterialMayor/Documentos%20compartidos/Material%20Mayor%202025/Cotizaciones%202025/24661_250719_221511.pdf?csf=1&amp;web=1&amp;e=njaLgz" TargetMode="External"/><Relationship Id="rId322" Type="http://schemas.openxmlformats.org/officeDocument/2006/relationships/hyperlink" Target="https://cuerpodebomberos.sharepoint.com/:b:/r/sites/MaterialMayor/Documentos%20compartidos/Material%20Mayor%202025/Cotizaciones%202025/COTIZACION42999.pdf?csf=1&amp;web=1&amp;e=UJgzs1" TargetMode="External"/><Relationship Id="rId364" Type="http://schemas.openxmlformats.org/officeDocument/2006/relationships/hyperlink" Target="https://cuerpodebomberos.sharepoint.com/:b:/r/sites/MaterialMayor/Documentos%20compartidos/Material%20Mayor%202025/OC%202025/KAUFMANN%20N%C2%B0263.pdf?csf=1&amp;web=1&amp;e=jVtXe9" TargetMode="External"/><Relationship Id="rId61" Type="http://schemas.openxmlformats.org/officeDocument/2006/relationships/hyperlink" Target="https://cuerpodebomberos.sharepoint.com/:b:/r/sites/MaterialMayor/Documentos%20compartidos/Material%20Mayor%202025/Cotizaciones%202025/COVIPM0003652.pdf?csf=1&amp;web=1&amp;e=NEtpXf" TargetMode="External"/><Relationship Id="rId199" Type="http://schemas.openxmlformats.org/officeDocument/2006/relationships/hyperlink" Target="https://cuerpodebomberos.sharepoint.com/:b:/r/sites/MaterialMayor/Documentos%20compartidos/Material%20Mayor%202025/Facturas%202025/FACTURA%201230%20OC%20160-2025%20Q-2%20COT%20494.pdf?csf=1&amp;web=1&amp;e=my23Ph" TargetMode="External"/><Relationship Id="rId19" Type="http://schemas.openxmlformats.org/officeDocument/2006/relationships/hyperlink" Target="https://cuerpodebomberos.sharepoint.com/:b:/r/sites/MaterialMayor/Documentos%20compartidos/Material%20Mayor%202025/Cotizaciones%202025/COT901_3300%20%20%20%20SAN%20BERNARDO%20%20%20%20REPUESTOS%20Y%20TRABAJO_250203_121402%20BF-5.pdf?csf=1&amp;web=1&amp;e=GbOeYq" TargetMode="External"/><Relationship Id="rId224" Type="http://schemas.openxmlformats.org/officeDocument/2006/relationships/hyperlink" Target="https://cuerpodebomberos.sharepoint.com/:b:/r/sites/MaterialMayor/Documentos%20compartidos/Material%20Mayor%202025/Facturas%202025/Factura%208063%20BX-7.pdf?csf=1&amp;web=1&amp;e=qzHKhY" TargetMode="External"/><Relationship Id="rId266" Type="http://schemas.openxmlformats.org/officeDocument/2006/relationships/hyperlink" Target="https://cuerpodebomberos.sharepoint.com/:b:/r/sites/MaterialMayor/Documentos%20compartidos/Material%20Mayor%202025/Facturas%202025/FACTURA%201268%20OC%20201-2025%20B-6%20COT%20539.pdf?csf=1&amp;web=1&amp;e=hQEWmM" TargetMode="External"/><Relationship Id="rId431" Type="http://schemas.openxmlformats.org/officeDocument/2006/relationships/hyperlink" Target="https://cuerpodebomberos.sharepoint.com/:b:/r/sites/MaterialMayor/Documentos%20compartidos/Material%20Mayor%202026/Cotizaciones/PR2604-8004.pdf?csf=1&amp;web=1&amp;e=FXZagc" TargetMode="External"/><Relationship Id="rId473" Type="http://schemas.openxmlformats.org/officeDocument/2006/relationships/hyperlink" Target="https://cuerpodebomberos.sharepoint.com/:b:/r/sites/MaterialMayor/Documentos%20compartidos/Material%20Mayor%202026/OC/RODOLFO%20O%C3%91ATE%20N%C2%B0115.pdf?csf=1&amp;web=1&amp;e=IF2IcG" TargetMode="External"/><Relationship Id="rId529" Type="http://schemas.openxmlformats.org/officeDocument/2006/relationships/hyperlink" Target="https://cuerpodebomberos.sharepoint.com/:b:/r/sites/MaterialMayor/Documentos%20compartidos/Material%20Mayor%202026/Cotizaciones/CBSB%20698.pdf?d=w2878ed3aa92143d7bdc94bc30356db2c&amp;csf=1&amp;web=1&amp;e=KvL00k" TargetMode="External"/><Relationship Id="rId30" Type="http://schemas.openxmlformats.org/officeDocument/2006/relationships/hyperlink" Target="https://cuerpodebomberos.sharepoint.com/:i:/r/sites/MaterialMayor/Documentos%20compartidos/Material%20Mayor%202025/Cotizaciones%202025/cotizacion%20COMERCIAL%20V%20Y%20R%20LTDA%20(FOCO%20K10).jpeg?csf=1&amp;web=1&amp;e=JuCvLu" TargetMode="External"/><Relationship Id="rId126" Type="http://schemas.openxmlformats.org/officeDocument/2006/relationships/hyperlink" Target="https://cuerpodebomberos.sharepoint.com/:b:/r/sites/MaterialMayor/Documentos%20compartidos/Material%20Mayor%202025/Facturas%202025/DOC_33_1397497.pdf?csf=1&amp;web=1&amp;e=XfJdcH" TargetMode="External"/><Relationship Id="rId168" Type="http://schemas.openxmlformats.org/officeDocument/2006/relationships/hyperlink" Target="https://cuerpodebomberos.sharepoint.com/:b:/r/sites/MaterialMayor/Documentos%20compartidos/Material%20Mayor%202025/OC%202025/ANDRADE%20MOTORES%20N%C2%B0131.pdf?csf=1&amp;web=1&amp;e=r6IIcW" TargetMode="External"/><Relationship Id="rId333" Type="http://schemas.openxmlformats.org/officeDocument/2006/relationships/hyperlink" Target="https://cuerpodebomberos.sharepoint.com/:b:/r/sites/MaterialMayor/Documentos%20compartidos/Material%20Mayor%202025/Facturas%202025/6570889%20Baterias%20J-0.pdf?csf=1&amp;web=1&amp;e=ZvHU9D" TargetMode="External"/><Relationship Id="rId540" Type="http://schemas.openxmlformats.org/officeDocument/2006/relationships/hyperlink" Target="https://cuerpodebomberos.sharepoint.com/:b:/r/sites/MaterialMayor/Documentos%20compartidos/Material%20Mayor%202026/Cotizaciones/CBSB%20666.pdf?d=w10e744fd6f4543c5923a2610b6791c78&amp;csf=1&amp;web=1&amp;e=67Ike1" TargetMode="External"/><Relationship Id="rId72" Type="http://schemas.openxmlformats.org/officeDocument/2006/relationships/hyperlink" Target="https://cuerpodebomberos.sharepoint.com/:b:/r/sites/MaterialMayor/Documentos%20compartidos/Material%20Mayor%202025/Cotizaciones%202025/cotizaci%C3%B3n%2011531%20servicio%20inspecci%C3%B3n%20evaluaci%C3%B3n%20reparaci%C3%B3n%20equipo%20kusmaul%20q2%20san%20bernardo.pdf?csf=1&amp;web=1&amp;e=jGjNdl" TargetMode="External"/><Relationship Id="rId375" Type="http://schemas.openxmlformats.org/officeDocument/2006/relationships/hyperlink" Target="https://cuerpodebomberos.sharepoint.com/:b:/r/sites/MaterialMayor/Documentos%20compartidos/Material%20Mayor%202025/Facturas%202025/6752677%20(1).pdf?csf=1&amp;web=1&amp;e=6HlJ1S" TargetMode="External"/><Relationship Id="rId3" Type="http://schemas.openxmlformats.org/officeDocument/2006/relationships/hyperlink" Target="https://cuerpodebomberos.sharepoint.com/:b:/r/sites/MaterialMayor/Documentos%20compartidos/Material%20Mayor%202025/OC%202025/CUMMINS%20N%C2%B01.pdf?csf=1&amp;web=1&amp;e=1WtgQf" TargetMode="External"/><Relationship Id="rId235" Type="http://schemas.openxmlformats.org/officeDocument/2006/relationships/hyperlink" Target="https://cuerpodebomberos.sharepoint.com/:b:/r/sites/MaterialMayor/Documentos%20compartidos/Material%20Mayor%202025/Cotizaciones%202025/COTIZACION%20N%C2%B0371%20BOMBEROS%20DE%20SAN%20BERNARDO.pdf?csf=1&amp;web=1&amp;e=hlbjtd" TargetMode="External"/><Relationship Id="rId277" Type="http://schemas.openxmlformats.org/officeDocument/2006/relationships/hyperlink" Target="https://cuerpodebomberos.sharepoint.com/:b:/r/sites/MaterialMayor/Documentos%20compartidos/Material%20Mayor%202025/OC%202025/RODOLFO%20O%C3%91ATE%20N%C2%B0212.pdf?csf=1&amp;web=1&amp;e=cZHlVx" TargetMode="External"/><Relationship Id="rId400" Type="http://schemas.openxmlformats.org/officeDocument/2006/relationships/hyperlink" Target="https://cuerpodebomberos.sharepoint.com/:b:/r/sites/MaterialMayor/Documentos%20compartidos/Material%20Mayor%202026/Facturas%202025/FACTURA%20OC%2024%20COT%20561.pdf?csf=1&amp;web=1&amp;e=Q9hGFk" TargetMode="External"/><Relationship Id="rId442" Type="http://schemas.openxmlformats.org/officeDocument/2006/relationships/hyperlink" Target="https://cuerpodebomberos.sharepoint.com/:b:/r/sites/MaterialMayor/Documentos%20compartidos/Material%20Mayor%202026/OC/SUPERMERCADO%20DEL%20NEUMATICO%20N%C2%B081.pdf?csf=1&amp;web=1&amp;e=BPlcYk" TargetMode="External"/><Relationship Id="rId484" Type="http://schemas.openxmlformats.org/officeDocument/2006/relationships/hyperlink" Target="https://cuerpodebomberos.sharepoint.com/:b:/r/sites/MaterialMayor/Documentos%20compartidos/Material%20Mayor%202026/Facturas/FACTURA%201498%20OC%20115%20COT%20633-635-638-640.pdf?csf=1&amp;web=1&amp;e=GzeqCI" TargetMode="External"/><Relationship Id="rId137" Type="http://schemas.openxmlformats.org/officeDocument/2006/relationships/hyperlink" Target="https://cuerpodebomberos.sharepoint.com/:b:/r/sites/MaterialMayor/Documentos%20compartidos/Material%20Mayor%202025/Facturas%202025/CBSB%20F711%20(1).pdf?csf=1&amp;web=1&amp;e=fz7H0t" TargetMode="External"/><Relationship Id="rId302" Type="http://schemas.openxmlformats.org/officeDocument/2006/relationships/hyperlink" Target="https://cuerpodebomberos.sharepoint.com/:b:/r/sites/MaterialMayor/Documentos%20compartidos/Material%20Mayor%202025/Facturas%202025/0900189542.PDF?csf=1&amp;web=1&amp;e=oOsCVE" TargetMode="External"/><Relationship Id="rId344" Type="http://schemas.openxmlformats.org/officeDocument/2006/relationships/hyperlink" Target="https://cuerpodebomberos.sharepoint.com/:b:/r/sites/MaterialMayor/Documentos%20compartidos/Material%20Mayor%202025/Cotizaciones%202025/Cotizacion%20destellantes%20federal.pdf?csf=1&amp;web=1&amp;e=Te3D5l" TargetMode="External"/><Relationship Id="rId41" Type="http://schemas.openxmlformats.org/officeDocument/2006/relationships/hyperlink" Target="https://cuerpodebomberos.sharepoint.com/:b:/r/sites/MaterialMayor/Documentos%20compartidos/Material%20Mayor%202025/OC%202025/ORDEN%20DDE%20COMPRA%20N%C2%B024%20ACO%20-%20HERRAMIENTAS.pdf?csf=1&amp;web=1&amp;e=SpONLd" TargetMode="External"/><Relationship Id="rId83" Type="http://schemas.openxmlformats.org/officeDocument/2006/relationships/hyperlink" Target="https://cuerpodebomberos.sharepoint.com/:b:/r/sites/MaterialMayor/Documentos%20compartidos/Material%20Mayor%202025/Cotizaciones%202025/Cotizaci%C3%B3n_0708159268%20PULMON%20RX4.pdf?csf=1&amp;web=1&amp;e=c9wAda" TargetMode="External"/><Relationship Id="rId179" Type="http://schemas.openxmlformats.org/officeDocument/2006/relationships/hyperlink" Target="https://cuerpodebomberos.sharepoint.com/:b:/r/sites/MaterialMayor/Documentos%20compartidos/Material%20Mayor%202025/OC%202025/FOURCA%20N%C2%B0139.pdf?csf=1&amp;web=1&amp;e=MWK9Ek" TargetMode="External"/><Relationship Id="rId386" Type="http://schemas.openxmlformats.org/officeDocument/2006/relationships/hyperlink" Target="https://cuerpodebomberos.sharepoint.com/:b:/r/sites/MaterialMayor/Documentos%20compartidos/Material%20Mayor%202025/Cotizaciones%202025/CBSB%20554.pdf?csf=1&amp;web=1&amp;e=COQQRc" TargetMode="External"/><Relationship Id="rId190" Type="http://schemas.openxmlformats.org/officeDocument/2006/relationships/hyperlink" Target="https://cuerpodebomberos.sharepoint.com/:b:/r/sites/MaterialMayor/Documentos%20compartidos/Material%20Mayor%202025/OC%202025/RODOLFO%20O%C3%91ATE%20N%C2%B0161.pdf?csf=1&amp;web=1&amp;e=246FUy" TargetMode="External"/><Relationship Id="rId204" Type="http://schemas.openxmlformats.org/officeDocument/2006/relationships/hyperlink" Target="https://cuerpodebomberos.sharepoint.com/:b:/r/sites/MaterialMayor/Documentos%20compartidos/Material%20Mayor%202025/Cotizaciones%202025/708432580%20(BOMBEROS1)%20B-6.pdf?csf=1&amp;web=1&amp;e=pbCFpv" TargetMode="External"/><Relationship Id="rId246" Type="http://schemas.openxmlformats.org/officeDocument/2006/relationships/hyperlink" Target="https://cuerpodebomberos.sharepoint.com/:b:/r/sites/MaterialMayor/Documentos%20compartidos/Material%20Mayor%202025/OC%202025/SALFA%20N%C2%B0192.pdf?csf=1&amp;web=1&amp;e=Za4WU2" TargetMode="External"/><Relationship Id="rId288" Type="http://schemas.openxmlformats.org/officeDocument/2006/relationships/hyperlink" Target="https://cuerpodebomberos.sharepoint.com/:b:/r/sites/MaterialMayor/Documentos%20compartidos/Material%20Mayor%202025/OC%202025/SALINAS%20Y%20FABRES%20N%C2%B0210.pdf?csf=1&amp;web=1&amp;e=Utvhvb" TargetMode="External"/><Relationship Id="rId411" Type="http://schemas.openxmlformats.org/officeDocument/2006/relationships/hyperlink" Target="https://cuerpodebomberos.sharepoint.com/:b:/r/sites/MaterialMayor/Documentos%20compartidos/Material%20Mayor%202026/Cotizaciones%202025/CBSB%20582.pdf?csf=1&amp;web=1&amp;e=PqfS8O" TargetMode="External"/><Relationship Id="rId453" Type="http://schemas.openxmlformats.org/officeDocument/2006/relationships/hyperlink" Target="https://cuerpodebomberos.sharepoint.com/:b:/r/sites/MaterialMayor/Documentos%20compartidos/Material%20Mayor%202026/Cotizaciones/Cotizacion%200027-2026%20San%20bernardo%20B-7.xlsx.pdf?csf=1&amp;web=1&amp;e=pLCNSE" TargetMode="External"/><Relationship Id="rId509" Type="http://schemas.openxmlformats.org/officeDocument/2006/relationships/hyperlink" Target="https://cuerpodebomberos.sharepoint.com/:b:/r/sites/MaterialMayor/Documentos%20compartidos/Material%20Mayor%202026/Cotizaciones/377833-BOMEROS%20Lubricantes%20Allison.pdf?d=w5cb3aad9fec54c11b42e7d8b96ecfb64&amp;csf=1&amp;web=1&amp;e=xbjSz8" TargetMode="External"/><Relationship Id="rId106" Type="http://schemas.openxmlformats.org/officeDocument/2006/relationships/hyperlink" Target="https://cuerpodebomberos.sharepoint.com/:b:/r/sites/MaterialMayor/Documentos%20compartidos/Material%20Mayor%202025/Cotizaciones%202025/511%20BOMBEROS.pdf?csf=1&amp;web=1&amp;e=yFVoZa" TargetMode="External"/><Relationship Id="rId313" Type="http://schemas.openxmlformats.org/officeDocument/2006/relationships/hyperlink" Target="https://cuerpodebomberos.sharepoint.com/:b:/r/sites/MaterialMayor/Documentos%20compartidos/Material%20Mayor%202025/Cotizaciones%202025/708498590%20RH-3.pdf?csf=1&amp;web=1&amp;e=RTiNgL" TargetMode="External"/><Relationship Id="rId495" Type="http://schemas.openxmlformats.org/officeDocument/2006/relationships/hyperlink" Target="https://cuerpodebomberos.sharepoint.com/:b:/r/sites/MaterialMayor/Documentos%20compartidos/Material%20Mayor%202026/OC/STARCLUTCH%20N%C2%B0144.pdf?csf=1&amp;web=1&amp;e=UVbkyh" TargetMode="External"/><Relationship Id="rId10" Type="http://schemas.openxmlformats.org/officeDocument/2006/relationships/hyperlink" Target="https://cuerpodebomberos.sharepoint.com/:b:/r/sites/MaterialMayor/Documentos%20compartidos/Material%20Mayor%202025/Facturas%202025/FE%201178900%20Cummins%20RH3.pdf?csf=1&amp;web=1&amp;e=tdsLPr" TargetMode="External"/><Relationship Id="rId52" Type="http://schemas.openxmlformats.org/officeDocument/2006/relationships/hyperlink" Target="https://cuerpodebomberos.sharepoint.com/:b:/r/sites/MaterialMayor/Documentos%20compartidos/Material%20Mayor%202025/Facturas%202025/ACO%20MAQUINARIAS%20N%C2%B01571001.pdf?csf=1&amp;web=1&amp;e=N5mrFk" TargetMode="External"/><Relationship Id="rId94" Type="http://schemas.openxmlformats.org/officeDocument/2006/relationships/hyperlink" Target="https://cuerpodebomberos.sharepoint.com/:b:/r/sites/MaterialMayor/Documentos%20compartidos/Material%20Mayor%202025/Cotizaciones%202025/Cotizacion%207750%20BR-1.pdf?csf=1&amp;web=1&amp;e=hpOxc8" TargetMode="External"/><Relationship Id="rId148" Type="http://schemas.openxmlformats.org/officeDocument/2006/relationships/hyperlink" Target="https://cuerpodebomberos.sharepoint.com/:b:/r/sites/MaterialMayor/Documentos%20compartidos/Material%20Mayor%202025/Facturas%202025/factura%20b10%20nuevo%20san%20bernardo.pdf?csf=1&amp;web=1&amp;e=swvvHl" TargetMode="External"/><Relationship Id="rId355" Type="http://schemas.openxmlformats.org/officeDocument/2006/relationships/hyperlink" Target="https://cuerpodebomberos.sharepoint.com/:b:/r/sites/MaterialMayor/Documentos%20compartidos/Material%20Mayor%202025/OC%202025/LUCAS%20BLANDFORD%20N%C2%B0249.pdf?csf=1&amp;web=1&amp;e=D977SB" TargetMode="External"/><Relationship Id="rId397" Type="http://schemas.openxmlformats.org/officeDocument/2006/relationships/hyperlink" Target="https://cuerpodebomberos.sharepoint.com/:b:/r/sites/MaterialMayor/Documentos%20compartidos/Material%20Mayor%202026/Facturas%202025/FACTURA%20OC%2026%20COT%20554.pdf?csf=1&amp;web=1&amp;e=wdLalS" TargetMode="External"/><Relationship Id="rId520" Type="http://schemas.openxmlformats.org/officeDocument/2006/relationships/hyperlink" Target="https://cuerpodebomberos.sharepoint.com/:b:/r/sites/MaterialMayor/Documentos%20compartidos/Material%20Mayor%202026/OC/RODOLFO%20O%C3%91ATE%20N%C2%B0170.pdf?d=w953cf495f0444d038c34cb79f109cf48&amp;csf=1&amp;web=1&amp;e=brLR2U" TargetMode="External"/><Relationship Id="rId215" Type="http://schemas.openxmlformats.org/officeDocument/2006/relationships/hyperlink" Target="https://cuerpodebomberos.sharepoint.com/:b:/r/sites/MaterialMayor/Documentos%20compartidos/Material%20Mayor%202025/Facturas%202025/X1%20ADICIONAL%20TREN%20DELANTERO.pdf?csf=1&amp;web=1&amp;e=iK7Juv" TargetMode="External"/><Relationship Id="rId257" Type="http://schemas.openxmlformats.org/officeDocument/2006/relationships/hyperlink" Target="https://cuerpodebomberos.sharepoint.com/:b:/r/sites/MaterialMayor/Documentos%20compartidos/Material%20Mayor%202025/Cotizaciones%202025/COTIZACI%C3%93N%20542%20CBSB%20%20RX-4%2016-09-25.pdf?csf=1&amp;web=1&amp;e=esibyW" TargetMode="External"/><Relationship Id="rId422" Type="http://schemas.openxmlformats.org/officeDocument/2006/relationships/hyperlink" Target="https://cuerpodebomberos.sharepoint.com/:b:/r/sites/MaterialMayor/Documentos%20compartidos/Material%20Mayor%202026/OC/RODOLFO%20O%C3%91ATE%20N%C2%B055.pdf?csf=1&amp;web=1&amp;e=vtt1Ce" TargetMode="External"/><Relationship Id="rId464" Type="http://schemas.openxmlformats.org/officeDocument/2006/relationships/hyperlink" Target="https://cuerpodebomberos.sharepoint.com/:b:/r/sites/MaterialMayor/Documentos%20compartidos/Material%20Mayor%202026/OC/PORSCHE%20CHILE%20N%C2%B0106.pdf?csf=1&amp;web=1&amp;e=Yr0ehO" TargetMode="External"/><Relationship Id="rId299" Type="http://schemas.openxmlformats.org/officeDocument/2006/relationships/hyperlink" Target="https://cuerpodebomberos.sharepoint.com/:b:/r/sites/MaterialMayor/Documentos%20compartidos/Material%20Mayor%202025/Facturas%202025/0900189559.PDF?csf=1&amp;web=1&amp;e=k5lmrB" TargetMode="External"/><Relationship Id="rId63" Type="http://schemas.openxmlformats.org/officeDocument/2006/relationships/hyperlink" Target="https://cuerpodebomberos.sharepoint.com/:b:/r/sites/MaterialMayor/Documentos%20compartidos/Material%20Mayor%202025/OC%202025/NERA%20CHILE%20N%C2%B042.pdf?csf=1&amp;web=1&amp;e=7qtH9t" TargetMode="External"/><Relationship Id="rId159" Type="http://schemas.openxmlformats.org/officeDocument/2006/relationships/hyperlink" Target="https://cuerpodebomberos.sharepoint.com/:b:/r/sites/MaterialMayor/Documentos%20compartidos/Material%20Mayor%202025/Cotizaciones%202025/OT6263-C%20CUERPO%20BOMBEROS%20DE%20SAN%20BERNARDO.pdf?csf=1&amp;web=1&amp;e=VtsDxO" TargetMode="External"/><Relationship Id="rId366" Type="http://schemas.openxmlformats.org/officeDocument/2006/relationships/hyperlink" Target="https://cuerpodebomberos.sharepoint.com/:b:/r/sites/MaterialMayor/Documentos%20compartidos/Material%20Mayor%202025/Facturas%202025/Factura%20n%C2%B0%2030%20cbsb.pdf?csf=1&amp;web=1&amp;e=oHKqiO" TargetMode="External"/><Relationship Id="rId226" Type="http://schemas.openxmlformats.org/officeDocument/2006/relationships/hyperlink" Target="https://cuerpodebomberos.sharepoint.com/:b:/r/sites/MaterialMayor/Documentos%20compartidos/Material%20Mayor%202025/Facturas%202025/189%20BOMBEROS%20SANBERNARDO%20(1).pdf?csf=1&amp;web=1&amp;e=0KB7vW" TargetMode="External"/><Relationship Id="rId433" Type="http://schemas.openxmlformats.org/officeDocument/2006/relationships/hyperlink" Target="https://cuerpodebomberos.sharepoint.com/:b:/r/sites/MaterialMayor/Documentos%20compartidos/Material%20Mayor%202026/Cotizaciones/2026009641.pdf?csf=1&amp;web=1&amp;e=rLtTNn" TargetMode="External"/><Relationship Id="rId74" Type="http://schemas.openxmlformats.org/officeDocument/2006/relationships/hyperlink" Target="https://cuerpodebomberos.sharepoint.com/:b:/r/sites/MaterialMayor/Documentos%20compartidos/Material%20Mayor%202025/Cotizaciones%202025/fa3b47a4-f1c2-44a9-9c6d-3a4274409d6b%20KIT%20EMB%20RN%20(2)%20(1).pdf?csf=1&amp;web=1&amp;e=FrI72X" TargetMode="External"/><Relationship Id="rId377" Type="http://schemas.openxmlformats.org/officeDocument/2006/relationships/hyperlink" Target="https://cuerpodebomberos.sharepoint.com/:b:/r/sites/MaterialMayor/Documentos%20compartidos/Material%20Mayor%202025/Cotizaciones%202025/auftrag_2025033323_C.B.San%20Bdo..pdf?csf=1&amp;web=1&amp;e=QwamzQ" TargetMode="External"/><Relationship Id="rId500" Type="http://schemas.openxmlformats.org/officeDocument/2006/relationships/hyperlink" Target="https://cuerpodebomberos.sharepoint.com/:b:/r/sites/MaterialMayor/Documentos%20compartidos/Material%20Mayor%202026/Cotizaciones/CBSB%20663.pdf?csf=1&amp;web=1&amp;e=huhOb4" TargetMode="External"/><Relationship Id="rId5" Type="http://schemas.openxmlformats.org/officeDocument/2006/relationships/hyperlink" Target="https://cuerpodebomberos.sharepoint.com/:b:/r/sites/MaterialMayor/Documentos%20compartidos/Material%20Mayor%202025/Cotizaciones%202025/COT%20N%C2%B0652%20B8%20CBSB.pdf?csf=1&amp;web=1&amp;e=pflebm" TargetMode="External"/><Relationship Id="rId237" Type="http://schemas.openxmlformats.org/officeDocument/2006/relationships/hyperlink" Target="https://cuerpodebomberos.sharepoint.com/:b:/r/sites/MaterialMayor/Documentos%20compartidos/Material%20Mayor%202025/Cotizaciones%202025/COT901_3525%20%20SAN%20BERNARDO%20%20COMPRESOR%20DE%20AIRE%20Y%20%20MANO%20DE%20OBRA.pdf?csf=1&amp;web=1&amp;e=ZHn8lV" TargetMode="External"/><Relationship Id="rId444" Type="http://schemas.openxmlformats.org/officeDocument/2006/relationships/hyperlink" Target="https://cuerpodebomberos.sharepoint.com/:b:/r/sites/MaterialMayor/Documentos%20compartidos/Material%20Mayor%202026/Cotizaciones/CBSB%20631.pdf?csf=1&amp;web=1&amp;e=XDmA27" TargetMode="External"/><Relationship Id="rId290" Type="http://schemas.openxmlformats.org/officeDocument/2006/relationships/hyperlink" Target="https://cuerpodebomberos.sharepoint.com/:b:/r/sites/MaterialMayor/Documentos%20compartidos/Material%20Mayor%202025/OC%202025/HB%20SERVICIOS%20N%C2%B0216.pdf?csf=1&amp;web=1&amp;e=2ZpyGG" TargetMode="External"/><Relationship Id="rId304" Type="http://schemas.openxmlformats.org/officeDocument/2006/relationships/hyperlink" Target="https://cuerpodebomberos.sharepoint.com/:b:/r/sites/MaterialMayor/Documentos%20compartidos/Material%20Mayor%202025/Facturas%202025/311803%20Frenos%20B-6.pdf?csf=1&amp;web=1&amp;e=yFfNNx" TargetMode="External"/><Relationship Id="rId388" Type="http://schemas.openxmlformats.org/officeDocument/2006/relationships/hyperlink" Target="https://cuerpodebomberos.sharepoint.com/:b:/r/sites/MaterialMayor/Documentos%20compartidos/Material%20Mayor%202025/Cotizaciones%202025/CBSB%20559.pdf?csf=1&amp;web=1&amp;e=flPNdv" TargetMode="External"/><Relationship Id="rId511" Type="http://schemas.openxmlformats.org/officeDocument/2006/relationships/hyperlink" Target="https://cuerpodebomberos.sharepoint.com/:b:/r/sites/MaterialMayor/Documentos%20compartidos/Material%20Mayor%202026/Cotizaciones/0709182882%20-%20CUERPO%20DE%20BOMBEROS%20DE%20SAN%20BERNARDO%20CUERPO%20DE%20BOMBEROS%20DE%20SAN%20BERNARDO%20BX-7.pdf?d=w8310702bfabb45fe96170bc79db4027c&amp;csf=1&amp;web=1&amp;e=oC3hk5" TargetMode="External"/><Relationship Id="rId85" Type="http://schemas.openxmlformats.org/officeDocument/2006/relationships/hyperlink" Target="https://cuerpodebomberos.sharepoint.com/:b:/r/sites/MaterialMayor/Documentos%20compartidos/Material%20Mayor%202025/OC%202025/COMERCIALIZADORA%20CII%20N%C2%B065.pdf?csf=1&amp;web=1&amp;e=aBd62F" TargetMode="External"/><Relationship Id="rId150" Type="http://schemas.openxmlformats.org/officeDocument/2006/relationships/hyperlink" Target="https://cuerpodebomberos.sharepoint.com/:b:/r/sites/MaterialMayor/Documentos%20compartidos/Material%20Mayor%202025/Cotizaciones%202025/cotizacion_COT-202506-0010.pdf?csf=1&amp;web=1&amp;e=17RWBd" TargetMode="External"/><Relationship Id="rId248" Type="http://schemas.openxmlformats.org/officeDocument/2006/relationships/hyperlink" Target="https://cuerpodebomberos.sharepoint.com/:b:/r/sites/MaterialMayor/Documentos%20compartidos/Material%20Mayor%202025/OC%202025/SALFA%20N%C2%B0194.pdf?csf=1&amp;web=1&amp;e=Xw7xtf" TargetMode="External"/><Relationship Id="rId455" Type="http://schemas.openxmlformats.org/officeDocument/2006/relationships/hyperlink" Target="https://cuerpodebomberos.sharepoint.com/:b:/r/sites/MaterialMayor/Documentos%20compartidos/Material%20Mayor%202026/Cotizaciones/COT%20957%20B1%20CBSB.pdf?csf=1&amp;web=1&amp;e=0cYjhf"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420C7-1A1D-4592-B2F3-C2B8FB46DFD7}">
  <dimension ref="A1:J33"/>
  <sheetViews>
    <sheetView workbookViewId="0">
      <selection activeCell="J7" sqref="J7"/>
    </sheetView>
  </sheetViews>
  <sheetFormatPr defaultRowHeight="15"/>
  <cols>
    <col min="1" max="1" width="15.140625" bestFit="1" customWidth="1"/>
    <col min="2" max="2" width="10.85546875" bestFit="1" customWidth="1"/>
    <col min="3" max="3" width="19.42578125" bestFit="1" customWidth="1"/>
    <col min="4" max="4" width="30.7109375" bestFit="1" customWidth="1"/>
    <col min="5" max="5" width="23" style="50" customWidth="1"/>
    <col min="6" max="6" width="14.140625" style="205" bestFit="1" customWidth="1"/>
    <col min="7" max="7" width="46.85546875" customWidth="1"/>
    <col min="8" max="8" width="19.5703125" customWidth="1"/>
    <col min="9" max="9" width="12.5703125" style="50" bestFit="1" customWidth="1"/>
    <col min="10" max="10" width="16.28515625" style="165" bestFit="1" customWidth="1"/>
  </cols>
  <sheetData>
    <row r="1" spans="1:10">
      <c r="A1" s="116" t="s">
        <v>0</v>
      </c>
      <c r="B1" s="116" t="s">
        <v>1</v>
      </c>
      <c r="C1" s="116" t="s">
        <v>2</v>
      </c>
      <c r="D1" s="116" t="s">
        <v>3</v>
      </c>
      <c r="E1" s="119" t="s">
        <v>4</v>
      </c>
      <c r="F1" s="203" t="s">
        <v>5</v>
      </c>
      <c r="G1" s="116" t="s">
        <v>6</v>
      </c>
      <c r="H1" s="116" t="s">
        <v>7</v>
      </c>
      <c r="I1" s="116" t="s">
        <v>8</v>
      </c>
      <c r="J1" s="116" t="s">
        <v>9</v>
      </c>
    </row>
    <row r="2" spans="1:10">
      <c r="A2" s="116" t="s">
        <v>10</v>
      </c>
      <c r="B2" s="116" t="s">
        <v>11</v>
      </c>
      <c r="C2" s="116" t="s">
        <v>12</v>
      </c>
      <c r="D2" t="str">
        <f>IFERROR(
_xlfn.XLOOKUP(MAESTRO[[#This Row],[UNIDAD]],BITACORA[UNIDAD],BITACORA[ESTADO RESULTANTE],"",0,-1),
"")</f>
        <v>FUERA_SERVICIO</v>
      </c>
      <c r="E2" s="50">
        <f>IFERROR(_xlfn.MAXIFS(BITACORA[FECHA],BITACORA[UNIDAD],MAESTRO[[#This Row],[UNIDAD]],BITACORA[ESTADO RESULTANTE],"FUERA_SERVICIO"),"")</f>
        <v>46230</v>
      </c>
      <c r="F2" s="223">
        <f ca="1">IF(D2="OPERATIVA",0,IFERROR(TODAY()-E2,0))</f>
        <v>57</v>
      </c>
      <c r="G2" s="116" t="str" cm="1">
        <f t="array" ref="G2">IF(OR(MAESTRO[[#This Row],[ESTADO]]="TALLER",MAESTRO[[#This Row],[ESTADO]]="FUERA_SERVICIO"), IFERROR( _xlfn.XLOOKUP( 1, (BITACORA[UNIDAD]=MAESTRO[[#This Row],[UNIDAD]])* ((BITACORA[ESTADO RESULTANTE]="TALLER")+(BITACORA[ESTADO RESULTANTE]="FUERA_SERVICIO")), BITACORA[Servicio Realizado], "", 0, -1 ), ""), "")</f>
        <v>unidad al dirigirse a un servicio, presenta perdida de potencia, es remolcado por grua e ingresado a taller, turbo entregado a lucas para su diagnostico</v>
      </c>
      <c r="H2" s="116" t="str" cm="1">
        <f t="array" ref="H2">IF(OR(MAESTRO[[#This Row],[FECHA SALIDA SERVICIO]]="TALLER",MAESTRO[[#This Row],[FECHA SALIDA SERVICIO]]="FUERA_SERVICIO"), IFERROR( _xlfn.XLOOKUP( 1, (BITACORA[TIPO EVENTO]=MAESTRO[[#This Row],[TIPO]])* ((BITACORA[Servicio Realizado]="TALLER")+(BITACORA[Servicio Realizado]="FUERA_SERVICIO")), BITACORA[TALLER], "", 0, -1 ), ""), "")</f>
        <v/>
      </c>
      <c r="I2" s="50">
        <f>IFERROR(_xlfn.MAXIFS(PREVENTIVOS_DB[FECHA],PREVENTIVOS_DB[UNIDAD],MAESTRO[[#This Row],[UNIDAD]]),"")</f>
        <v>45992</v>
      </c>
      <c r="J2" s="165">
        <f>IFERROR(SUMIF(CONTROL[UNIDAD],MAESTRO[[#This Row],[UNIDAD]],CONTROL[VALOR]),0)</f>
        <v>19519999</v>
      </c>
    </row>
    <row r="3" spans="1:10">
      <c r="A3" s="116" t="s">
        <v>10</v>
      </c>
      <c r="B3" s="116" t="s">
        <v>13</v>
      </c>
      <c r="C3" s="116" t="s">
        <v>12</v>
      </c>
      <c r="D3" t="str">
        <f>IFERROR(
_xlfn.XLOOKUP(MAESTRO[[#This Row],[UNIDAD]],BITACORA[UNIDAD],BITACORA[ESTADO RESULTANTE],"",0,-1),
"")</f>
        <v>OPERATIVA</v>
      </c>
      <c r="E3" s="50">
        <f>IFERROR(_xlfn.MAXIFS(BITACORA[FECHA],BITACORA[UNIDAD],MAESTRO[[#This Row],[UNIDAD]],BITACORA[ESTADO RESULTANTE],"FUERA_SERVICIO"),"")</f>
        <v>46146</v>
      </c>
      <c r="F3" s="204">
        <f t="shared" ref="F3:F33" ca="1" si="0">IF(D3="OPERATIVA",0,IFERROR(TODAY()-E3,0))</f>
        <v>0</v>
      </c>
      <c r="G3" s="116" t="str" cm="1">
        <f t="array" ref="G3">IF(OR(MAESTRO[[#This Row],[ESTADO]]="TALLER",MAESTRO[[#This Row],[ESTADO]]="FUERA_SERVICIO"), IFERROR( _xlfn.XLOOKUP( 1, (BITACORA[UNIDAD]=MAESTRO[[#This Row],[UNIDAD]])* ((BITACORA[ESTADO RESULTANTE]="TALLER")+(BITACORA[ESTADO RESULTANTE]="FUERA_SERVICIO")), BITACORA[Servicio Realizado], "", 0, -1 ), ""), "")</f>
        <v/>
      </c>
      <c r="H3" s="116" t="s">
        <v>14</v>
      </c>
      <c r="I3" s="50">
        <f>IFERROR(_xlfn.MAXIFS(PREVENTIVOS_DB[FECHA],PREVENTIVOS_DB[UNIDAD],MAESTRO[[#This Row],[UNIDAD]]),"")</f>
        <v>46023</v>
      </c>
      <c r="J3" s="165">
        <f>IFERROR(SUMIF(CONTROL[UNIDAD],MAESTRO[[#This Row],[UNIDAD]],CONTROL[VALOR]),0)</f>
        <v>7129043</v>
      </c>
    </row>
    <row r="4" spans="1:10">
      <c r="A4" s="116" t="s">
        <v>10</v>
      </c>
      <c r="B4" s="116" t="s">
        <v>15</v>
      </c>
      <c r="C4" s="116" t="s">
        <v>16</v>
      </c>
      <c r="D4" t="str">
        <f>IFERROR(
_xlfn.XLOOKUP(MAESTRO[[#This Row],[UNIDAD]],BITACORA[UNIDAD],BITACORA[ESTADO RESULTANTE],"",0,-1),
"")</f>
        <v>FUERA_SERVICIO</v>
      </c>
      <c r="E4" s="50">
        <f>IFERROR(_xlfn.MAXIFS(BITACORA[FECHA],BITACORA[UNIDAD],MAESTRO[[#This Row],[UNIDAD]],BITACORA[ESTADO RESULTANTE],"FUERA_SERVICIO"),"")</f>
        <v>46132</v>
      </c>
      <c r="F4" s="204">
        <f t="shared" ca="1" si="0"/>
        <v>155</v>
      </c>
      <c r="G4" s="116" t="str" cm="1">
        <f t="array" ref="G4">IF(OR(MAESTRO[[#This Row],[ESTADO]]="TALLER",MAESTRO[[#This Row],[ESTADO]]="FUERA_SERVICIO"), IFERROR( _xlfn.XLOOKUP( 1, (BITACORA[UNIDAD]=MAESTRO[[#This Row],[UNIDAD]])* ((BITACORA[ESTADO RESULTANTE]="TALLER")+(BITACORA[ESTADO RESULTANTE]="FUERA_SERVICIO")), BITACORA[Servicio Realizado], "", 0, -1 ), ""), "")</f>
        <v xml:space="preserve">Unidad fuera de servicio por falta de mantencion de escala y tornamesa </v>
      </c>
      <c r="H4" s="116" t="s">
        <v>14</v>
      </c>
      <c r="I4" s="50">
        <f>IFERROR(_xlfn.MAXIFS(PREVENTIVOS_DB[FECHA],PREVENTIVOS_DB[UNIDAD],MAESTRO[[#This Row],[UNIDAD]]),"")</f>
        <v>45748</v>
      </c>
      <c r="J4" s="165">
        <f>IFERROR(SUMIF(CONTROL[UNIDAD],MAESTRO[[#This Row],[UNIDAD]],CONTROL[VALOR]),0)</f>
        <v>1028214</v>
      </c>
    </row>
    <row r="5" spans="1:10">
      <c r="A5" s="116" t="s">
        <v>17</v>
      </c>
      <c r="B5" s="116" t="s">
        <v>18</v>
      </c>
      <c r="C5" s="116" t="s">
        <v>19</v>
      </c>
      <c r="D5" t="str">
        <f>IFERROR(
_xlfn.XLOOKUP(MAESTRO[[#This Row],[UNIDAD]],BITACORA[UNIDAD],BITACORA[ESTADO RESULTANTE],"",0,-1),
"")</f>
        <v>OPERATIVA</v>
      </c>
      <c r="E5" s="50">
        <f>IFERROR(_xlfn.MAXIFS(BITACORA[FECHA],BITACORA[UNIDAD],MAESTRO[[#This Row],[UNIDAD]],BITACORA[ESTADO RESULTANTE],"FUERA_SERVICIO"),"")</f>
        <v>46282</v>
      </c>
      <c r="F5" s="204">
        <f t="shared" ca="1" si="0"/>
        <v>0</v>
      </c>
      <c r="G5" s="116" t="str" cm="1">
        <f t="array" ref="G5">IF(OR(MAESTRO[[#This Row],[ESTADO]]="TALLER",MAESTRO[[#This Row],[ESTADO]]="FUERA_SERVICIO"), IFERROR( _xlfn.XLOOKUP( 1, (BITACORA[UNIDAD]=MAESTRO[[#This Row],[UNIDAD]])* ((BITACORA[ESTADO RESULTANTE]="TALLER")+(BITACORA[ESTADO RESULTANTE]="FUERA_SERVICIO")), BITACORA[Servicio Realizado], "", 0, -1 ), ""), "")</f>
        <v/>
      </c>
      <c r="H5" s="116" t="s">
        <v>14</v>
      </c>
      <c r="I5" s="50">
        <f>IFERROR(_xlfn.MAXIFS(PREVENTIVOS_DB[FECHA],PREVENTIVOS_DB[UNIDAD],MAESTRO[[#This Row],[UNIDAD]]),"")</f>
        <v>45901</v>
      </c>
      <c r="J5" s="165">
        <f>IFERROR(SUMIF(CONTROL[UNIDAD],MAESTRO[[#This Row],[UNIDAD]],CONTROL[VALOR]),0)</f>
        <v>7371281</v>
      </c>
    </row>
    <row r="6" spans="1:10">
      <c r="A6" s="116" t="s">
        <v>17</v>
      </c>
      <c r="B6" s="116" t="s">
        <v>20</v>
      </c>
      <c r="C6" s="116" t="s">
        <v>21</v>
      </c>
      <c r="D6" t="str">
        <f>IFERROR(
_xlfn.XLOOKUP(MAESTRO[[#This Row],[UNIDAD]],BITACORA[UNIDAD],BITACORA[ESTADO RESULTANTE],"",0,-1),
"")</f>
        <v>OPERATIVA</v>
      </c>
      <c r="E6" s="50">
        <f>IFERROR(_xlfn.MAXIFS(BITACORA[FECHA],BITACORA[UNIDAD],MAESTRO[[#This Row],[UNIDAD]],BITACORA[ESTADO RESULTANTE],"FUERA_SERVICIO"),"")</f>
        <v>0</v>
      </c>
      <c r="F6" s="204">
        <f t="shared" ca="1" si="0"/>
        <v>0</v>
      </c>
      <c r="G6" s="116" t="str" cm="1">
        <f t="array" ref="G6">IF(OR(MAESTRO[[#This Row],[ESTADO]]="TALLER",MAESTRO[[#This Row],[ESTADO]]="FUERA_SERVICIO"), IFERROR( _xlfn.XLOOKUP( 1, (BITACORA[UNIDAD]=MAESTRO[[#This Row],[UNIDAD]])* ((BITACORA[ESTADO RESULTANTE]="TALLER")+(BITACORA[ESTADO RESULTANTE]="FUERA_SERVICIO")), BITACORA[Servicio Realizado], "", 0, -1 ), ""), "")</f>
        <v/>
      </c>
      <c r="H6" s="116" t="s">
        <v>14</v>
      </c>
      <c r="I6" s="50">
        <f>IFERROR(_xlfn.MAXIFS(PREVENTIVOS_DB[FECHA],PREVENTIVOS_DB[UNIDAD],MAESTRO[[#This Row],[UNIDAD]]),"")</f>
        <v>45962</v>
      </c>
      <c r="J6" s="165">
        <f>IFERROR(SUMIF(CONTROL[UNIDAD],MAESTRO[[#This Row],[UNIDAD]],CONTROL[VALOR]),0)</f>
        <v>2780382</v>
      </c>
    </row>
    <row r="7" spans="1:10">
      <c r="A7" s="116" t="s">
        <v>22</v>
      </c>
      <c r="B7" s="116" t="s">
        <v>23</v>
      </c>
      <c r="C7" s="116" t="s">
        <v>12</v>
      </c>
      <c r="D7" t="str">
        <f>IFERROR(
_xlfn.XLOOKUP(MAESTRO[[#This Row],[UNIDAD]],BITACORA[UNIDAD],BITACORA[ESTADO RESULTANTE],"",0,-1),
"")</f>
        <v>FUERA_SERVICIO</v>
      </c>
      <c r="E7" s="50">
        <f>IFERROR(_xlfn.MAXIFS(BITACORA[FECHA],BITACORA[UNIDAD],MAESTRO[[#This Row],[UNIDAD]],BITACORA[ESTADO RESULTANTE],"FUERA_SERVICIO"),"")</f>
        <v>46238</v>
      </c>
      <c r="F7" s="204">
        <f t="shared" ca="1" si="0"/>
        <v>49</v>
      </c>
      <c r="G7" s="116" t="str" cm="1">
        <f t="array" ref="G7">IF(OR(MAESTRO[[#This Row],[ESTADO]]="TALLER",MAESTRO[[#This Row],[ESTADO]]="FUERA_SERVICIO"), IFERROR( _xlfn.XLOOKUP( 1, (BITACORA[UNIDAD]=MAESTRO[[#This Row],[UNIDAD]])* ((BITACORA[ESTADO RESULTANTE]="TALLER")+(BITACORA[ESTADO RESULTANTE]="FUERA_SERVICIO")), BITACORA[Servicio Realizado], "", 0, -1 ), ""), "")</f>
        <v>unidad sale de taller, se realiza mantencion de motor y se hace camio de tambores y balatas traseras</v>
      </c>
      <c r="H7" s="116" t="s">
        <v>14</v>
      </c>
      <c r="I7" s="50">
        <f>IFERROR(_xlfn.MAXIFS(PREVENTIVOS_DB[FECHA],PREVENTIVOS_DB[UNIDAD],MAESTRO[[#This Row],[UNIDAD]]),"")</f>
        <v>46238</v>
      </c>
      <c r="J7" s="165">
        <f>IFERROR(SUMIF(CONTROL[UNIDAD],MAESTRO[[#This Row],[UNIDAD]],CONTROL[VALOR]),0)</f>
        <v>10503146</v>
      </c>
    </row>
    <row r="8" spans="1:10">
      <c r="A8" s="116" t="s">
        <v>22</v>
      </c>
      <c r="B8" s="116" t="s">
        <v>24</v>
      </c>
      <c r="C8" s="116" t="s">
        <v>21</v>
      </c>
      <c r="D8" t="str">
        <f>IFERROR(
_xlfn.XLOOKUP(MAESTRO[[#This Row],[UNIDAD]],BITACORA[UNIDAD],BITACORA[ESTADO RESULTANTE],"",0,-1),
"")</f>
        <v>OPERATIVA</v>
      </c>
      <c r="E8" s="50">
        <f>IFERROR(_xlfn.MAXIFS(BITACORA[FECHA],BITACORA[UNIDAD],MAESTRO[[#This Row],[UNIDAD]],BITACORA[ESTADO RESULTANTE],"FUERA_SERVICIO"),"")</f>
        <v>46190</v>
      </c>
      <c r="F8" s="204">
        <f t="shared" ca="1" si="0"/>
        <v>0</v>
      </c>
      <c r="G8" s="116" t="str" cm="1">
        <f t="array" ref="G8">IF(OR(MAESTRO[[#This Row],[ESTADO]]="TALLER",MAESTRO[[#This Row],[ESTADO]]="FUERA_SERVICIO"), IFERROR( _xlfn.XLOOKUP( 1, (BITACORA[UNIDAD]=MAESTRO[[#This Row],[UNIDAD]])* ((BITACORA[ESTADO RESULTANTE]="TALLER")+(BITACORA[ESTADO RESULTANTE]="FUERA_SERVICIO")), BITACORA[Servicio Realizado], "", 0, -1 ), ""), "")</f>
        <v/>
      </c>
      <c r="H8" s="116" t="s">
        <v>14</v>
      </c>
      <c r="I8" s="50">
        <f>IFERROR(_xlfn.MAXIFS(PREVENTIVOS_DB[FECHA],PREVENTIVOS_DB[UNIDAD],MAESTRO[[#This Row],[UNIDAD]]),"")</f>
        <v>45962</v>
      </c>
      <c r="J8" s="165">
        <f>IFERROR(SUMIF(CONTROL[UNIDAD],MAESTRO[[#This Row],[UNIDAD]],CONTROL[VALOR]),0)</f>
        <v>5547220</v>
      </c>
    </row>
    <row r="9" spans="1:10">
      <c r="A9" s="116" t="s">
        <v>25</v>
      </c>
      <c r="B9" s="116" t="s">
        <v>26</v>
      </c>
      <c r="C9" s="116" t="s">
        <v>12</v>
      </c>
      <c r="D9" t="str">
        <f>IFERROR(
_xlfn.XLOOKUP(MAESTRO[[#This Row],[UNIDAD]],BITACORA[UNIDAD],BITACORA[ESTADO RESULTANTE],"",0,-1),
"")</f>
        <v>OPERATIVA</v>
      </c>
      <c r="E9" s="50">
        <f>IFERROR(_xlfn.MAXIFS(BITACORA[FECHA],BITACORA[UNIDAD],MAESTRO[[#This Row],[UNIDAD]],BITACORA[ESTADO RESULTANTE],"FUERA_SERVICIO"),"")</f>
        <v>0</v>
      </c>
      <c r="F9" s="204">
        <f t="shared" ca="1" si="0"/>
        <v>0</v>
      </c>
      <c r="G9" s="116" t="str" cm="1">
        <f t="array" ref="G9">IF(OR(MAESTRO[[#This Row],[ESTADO]]="TALLER",MAESTRO[[#This Row],[ESTADO]]="FUERA_SERVICIO"), IFERROR( _xlfn.XLOOKUP( 1, (BITACORA[UNIDAD]=MAESTRO[[#This Row],[UNIDAD]])* ((BITACORA[ESTADO RESULTANTE]="TALLER")+(BITACORA[ESTADO RESULTANTE]="FUERA_SERVICIO")), BITACORA[Servicio Realizado], "", 0, -1 ), ""), "")</f>
        <v/>
      </c>
      <c r="H9" s="116" t="s">
        <v>14</v>
      </c>
      <c r="I9" s="50">
        <f>IFERROR(_xlfn.MAXIFS(PREVENTIVOS_DB[FECHA],PREVENTIVOS_DB[UNIDAD],MAESTRO[[#This Row],[UNIDAD]]),"")</f>
        <v>45962</v>
      </c>
      <c r="J9" s="165">
        <f>IFERROR(SUMIF(CONTROL[UNIDAD],MAESTRO[[#This Row],[UNIDAD]],CONTROL[VALOR]),0)</f>
        <v>7024372</v>
      </c>
    </row>
    <row r="10" spans="1:10">
      <c r="A10" s="116" t="s">
        <v>25</v>
      </c>
      <c r="B10" s="116" t="s">
        <v>27</v>
      </c>
      <c r="C10" s="116" t="s">
        <v>21</v>
      </c>
      <c r="D10" t="str">
        <f>IFERROR(
_xlfn.XLOOKUP(MAESTRO[[#This Row],[UNIDAD]],BITACORA[UNIDAD],BITACORA[ESTADO RESULTANTE],"",0,-1),
"")</f>
        <v>OPERATIVA</v>
      </c>
      <c r="E10" s="50">
        <f>IFERROR(_xlfn.MAXIFS(BITACORA[FECHA],BITACORA[UNIDAD],MAESTRO[[#This Row],[UNIDAD]],BITACORA[ESTADO RESULTANTE],"FUERA_SERVICIO"),"")</f>
        <v>0</v>
      </c>
      <c r="F10" s="204">
        <f t="shared" ca="1" si="0"/>
        <v>0</v>
      </c>
      <c r="G10" s="116" t="str" cm="1">
        <f t="array" ref="G10">IF(OR(MAESTRO[[#This Row],[ESTADO]]="TALLER",MAESTRO[[#This Row],[ESTADO]]="FUERA_SERVICIO"), IFERROR( _xlfn.XLOOKUP( 1, (BITACORA[UNIDAD]=MAESTRO[[#This Row],[UNIDAD]])* ((BITACORA[ESTADO RESULTANTE]="TALLER")+(BITACORA[ESTADO RESULTANTE]="FUERA_SERVICIO")), BITACORA[Servicio Realizado], "", 0, -1 ), ""), "")</f>
        <v/>
      </c>
      <c r="H10" s="116" t="s">
        <v>14</v>
      </c>
      <c r="I10" s="50">
        <f>IFERROR(_xlfn.MAXIFS(PREVENTIVOS_DB[FECHA],PREVENTIVOS_DB[UNIDAD],MAESTRO[[#This Row],[UNIDAD]]),"")</f>
        <v>45901</v>
      </c>
      <c r="J10" s="165">
        <f>IFERROR(SUMIF(CONTROL[UNIDAD],MAESTRO[[#This Row],[UNIDAD]],CONTROL[VALOR]),0)</f>
        <v>2207490</v>
      </c>
    </row>
    <row r="11" spans="1:10">
      <c r="A11" s="116" t="s">
        <v>25</v>
      </c>
      <c r="B11" s="116" t="s">
        <v>28</v>
      </c>
      <c r="C11" s="116" t="s">
        <v>16</v>
      </c>
      <c r="D11" t="str">
        <f>IFERROR(
_xlfn.XLOOKUP(MAESTRO[[#This Row],[UNIDAD]],BITACORA[UNIDAD],BITACORA[ESTADO RESULTANTE],"",0,-1),
"")</f>
        <v>TALLER</v>
      </c>
      <c r="E11" s="50">
        <f>IFERROR(_xlfn.MAXIFS(BITACORA[FECHA],BITACORA[UNIDAD],MAESTRO[[#This Row],[UNIDAD]],BITACORA[ESTADO RESULTANTE],"FUERA_SERVICIO"),"")</f>
        <v>46203</v>
      </c>
      <c r="F11" s="204">
        <f t="shared" ca="1" si="0"/>
        <v>84</v>
      </c>
      <c r="G11" s="116" t="str" cm="1">
        <f t="array" ref="G11">IF(OR(MAESTRO[[#This Row],[ESTADO]]="TALLER",MAESTRO[[#This Row],[ESTADO]]="FUERA_SERVICIO"), IFERROR( _xlfn.XLOOKUP( 1, (BITACORA[UNIDAD]=MAESTRO[[#This Row],[UNIDAD]])* ((BITACORA[ESTADO RESULTANTE]="TALLER")+(BITACORA[ESTADO RESULTANTE]="FUERA_SERVICIO")), BITACORA[Servicio Realizado], "", 0, -1 ), ""), "")</f>
        <v xml:space="preserve">ingreso a taller para reparacion de basculamiento cabina, revision de motor y mantencion, y en paralelo situación electrica de brazo articulado </v>
      </c>
      <c r="H11" s="116" t="s">
        <v>14</v>
      </c>
      <c r="I11" s="50">
        <f>IFERROR(_xlfn.MAXIFS(PREVENTIVOS_DB[FECHA],PREVENTIVOS_DB[UNIDAD],MAESTRO[[#This Row],[UNIDAD]]),"")</f>
        <v>45809</v>
      </c>
      <c r="J11" s="165">
        <f>IFERROR(SUMIF(CONTROL[UNIDAD],MAESTRO[[#This Row],[UNIDAD]],CONTROL[VALOR]),0)</f>
        <v>963296</v>
      </c>
    </row>
    <row r="12" spans="1:10">
      <c r="A12" s="116" t="s">
        <v>25</v>
      </c>
      <c r="B12" s="116" t="s">
        <v>29</v>
      </c>
      <c r="C12" s="116" t="s">
        <v>30</v>
      </c>
      <c r="D12" t="str">
        <f>IFERROR(
_xlfn.XLOOKUP(MAESTRO[[#This Row],[UNIDAD]],BITACORA[UNIDAD],BITACORA[ESTADO RESULTANTE],"",0,-1),
"")</f>
        <v>OPERATIVA</v>
      </c>
      <c r="E12" s="50">
        <f>IFERROR(_xlfn.MAXIFS(BITACORA[FECHA],BITACORA[UNIDAD],MAESTRO[[#This Row],[UNIDAD]],BITACORA[ESTADO RESULTANTE],"FUERA_SERVICIO"),"")</f>
        <v>0</v>
      </c>
      <c r="F12" s="204">
        <f t="shared" ca="1" si="0"/>
        <v>0</v>
      </c>
      <c r="G12" s="116" t="str" cm="1">
        <f t="array" ref="G12">IF(OR(MAESTRO[[#This Row],[ESTADO]]="TALLER",MAESTRO[[#This Row],[ESTADO]]="FUERA_SERVICIO"), IFERROR( _xlfn.XLOOKUP( 1, (BITACORA[UNIDAD]=MAESTRO[[#This Row],[UNIDAD]])* ((BITACORA[ESTADO RESULTANTE]="TALLER")+(BITACORA[ESTADO RESULTANTE]="FUERA_SERVICIO")), BITACORA[Servicio Realizado], "", 0, -1 ), ""), "")</f>
        <v/>
      </c>
      <c r="H12" s="116" t="s">
        <v>31</v>
      </c>
      <c r="I12" s="50">
        <f>IFERROR(_xlfn.MAXIFS(PREVENTIVOS_DB[FECHA],PREVENTIVOS_DB[UNIDAD],MAESTRO[[#This Row],[UNIDAD]]),"")</f>
        <v>46146</v>
      </c>
      <c r="J12" s="165">
        <f>IFERROR(SUMIF(CONTROL[UNIDAD],MAESTRO[[#This Row],[UNIDAD]],CONTROL[VALOR]),0)</f>
        <v>0</v>
      </c>
    </row>
    <row r="13" spans="1:10">
      <c r="A13" s="116" t="s">
        <v>32</v>
      </c>
      <c r="B13" s="116" t="s">
        <v>33</v>
      </c>
      <c r="C13" s="116" t="s">
        <v>12</v>
      </c>
      <c r="D13">
        <f>IFERROR(
_xlfn.XLOOKUP(MAESTRO[[#This Row],[UNIDAD]],BITACORA[UNIDAD],BITACORA[ESTADO RESULTANTE],"",0,-1),
"")</f>
        <v>0</v>
      </c>
      <c r="E13" s="50">
        <f>IFERROR(_xlfn.MAXIFS(BITACORA[FECHA],BITACORA[UNIDAD],MAESTRO[[#This Row],[UNIDAD]],BITACORA[ESTADO RESULTANTE],"FUERA_SERVICIO"),"")</f>
        <v>46223</v>
      </c>
      <c r="F13" s="204">
        <f t="shared" ca="1" si="0"/>
        <v>64</v>
      </c>
      <c r="G13" s="116" t="str" cm="1">
        <f t="array" ref="G13">IF(OR(MAESTRO[[#This Row],[ESTADO]]="TALLER",MAESTRO[[#This Row],[ESTADO]]="FUERA_SERVICIO"), IFERROR( _xlfn.XLOOKUP( 1, (BITACORA[UNIDAD]=MAESTRO[[#This Row],[UNIDAD]])* ((BITACORA[ESTADO RESULTANTE]="TALLER")+(BITACORA[ESTADO RESULTANTE]="FUERA_SERVICIO")), BITACORA[Servicio Realizado], "", 0, -1 ), ""), "")</f>
        <v/>
      </c>
      <c r="H13" s="116" t="s">
        <v>14</v>
      </c>
      <c r="I13" s="50">
        <f>IFERROR(_xlfn.MAXIFS(PREVENTIVOS_DB[FECHA],PREVENTIVOS_DB[UNIDAD],MAESTRO[[#This Row],[UNIDAD]]),"")</f>
        <v>46155</v>
      </c>
      <c r="J13" s="165">
        <f>IFERROR(SUMIF(CONTROL[UNIDAD],MAESTRO[[#This Row],[UNIDAD]],CONTROL[VALOR]),0)</f>
        <v>4363309</v>
      </c>
    </row>
    <row r="14" spans="1:10">
      <c r="A14" s="116" t="s">
        <v>32</v>
      </c>
      <c r="B14" s="116" t="s">
        <v>34</v>
      </c>
      <c r="C14" s="116" t="s">
        <v>12</v>
      </c>
      <c r="D14" t="str">
        <f>IFERROR(
_xlfn.XLOOKUP(MAESTRO[[#This Row],[UNIDAD]],BITACORA[UNIDAD],BITACORA[ESTADO RESULTANTE],"",0,-1),
"")</f>
        <v>OPERATIVA</v>
      </c>
      <c r="E14" s="50">
        <f>IFERROR(_xlfn.MAXIFS(BITACORA[FECHA],BITACORA[UNIDAD],MAESTRO[[#This Row],[UNIDAD]],BITACORA[ESTADO RESULTANTE],"FUERA_SERVICIO"),"")</f>
        <v>0</v>
      </c>
      <c r="F14" s="204">
        <f t="shared" ca="1" si="0"/>
        <v>0</v>
      </c>
      <c r="G14" s="116" t="str" cm="1">
        <f t="array" ref="G14">IF(OR(MAESTRO[[#This Row],[ESTADO]]="TALLER",MAESTRO[[#This Row],[ESTADO]]="FUERA_SERVICIO"), IFERROR( _xlfn.XLOOKUP( 1, (BITACORA[UNIDAD]=MAESTRO[[#This Row],[UNIDAD]])* ((BITACORA[ESTADO RESULTANTE]="TALLER")+(BITACORA[ESTADO RESULTANTE]="FUERA_SERVICIO")), BITACORA[Servicio Realizado], "", 0, -1 ), ""), "")</f>
        <v/>
      </c>
      <c r="H14" s="116" t="s">
        <v>14</v>
      </c>
      <c r="I14" s="50">
        <f>IFERROR(_xlfn.MAXIFS(PREVENTIVOS_DB[FECHA],PREVENTIVOS_DB[UNIDAD],MAESTRO[[#This Row],[UNIDAD]]),"")</f>
        <v>45739</v>
      </c>
      <c r="J14" s="165">
        <f>IFERROR(SUMIF(CONTROL[UNIDAD],MAESTRO[[#This Row],[UNIDAD]],CONTROL[VALOR]),0)</f>
        <v>11515732</v>
      </c>
    </row>
    <row r="15" spans="1:10">
      <c r="A15" s="116" t="s">
        <v>32</v>
      </c>
      <c r="B15" s="116" t="s">
        <v>35</v>
      </c>
      <c r="C15" s="116" t="s">
        <v>36</v>
      </c>
      <c r="D15" t="str">
        <f>IFERROR(
_xlfn.XLOOKUP(MAESTRO[[#This Row],[UNIDAD]],BITACORA[UNIDAD],BITACORA[ESTADO RESULTANTE],"",0,-1),
"")</f>
        <v>OPERATIVA</v>
      </c>
      <c r="E15" s="50">
        <f>IFERROR(_xlfn.MAXIFS(BITACORA[FECHA],BITACORA[UNIDAD],MAESTRO[[#This Row],[UNIDAD]],BITACORA[ESTADO RESULTANTE],"FUERA_SERVICIO"),"")</f>
        <v>0</v>
      </c>
      <c r="F15" s="204">
        <f t="shared" ca="1" si="0"/>
        <v>0</v>
      </c>
      <c r="G15" s="116" t="str" cm="1">
        <f t="array" ref="G15">IF(OR(MAESTRO[[#This Row],[ESTADO]]="TALLER",MAESTRO[[#This Row],[ESTADO]]="FUERA_SERVICIO"), IFERROR( _xlfn.XLOOKUP( 1, (BITACORA[UNIDAD]=MAESTRO[[#This Row],[UNIDAD]])* ((BITACORA[ESTADO RESULTANTE]="TALLER")+(BITACORA[ESTADO RESULTANTE]="FUERA_SERVICIO")), BITACORA[Servicio Realizado], "", 0, -1 ), ""), "")</f>
        <v/>
      </c>
      <c r="H15" s="116" t="s">
        <v>14</v>
      </c>
      <c r="I15" s="50">
        <f>IFERROR(_xlfn.MAXIFS(PREVENTIVOS_DB[FECHA],PREVENTIVOS_DB[UNIDAD],MAESTRO[[#This Row],[UNIDAD]]),"")</f>
        <v>46055</v>
      </c>
      <c r="J15" s="165">
        <f>IFERROR(SUMIF(CONTROL[UNIDAD],MAESTRO[[#This Row],[UNIDAD]],CONTROL[VALOR]),0)</f>
        <v>0</v>
      </c>
    </row>
    <row r="16" spans="1:10">
      <c r="A16" s="116" t="s">
        <v>37</v>
      </c>
      <c r="B16" s="116" t="s">
        <v>38</v>
      </c>
      <c r="C16" s="116" t="s">
        <v>12</v>
      </c>
      <c r="D16" t="str">
        <f>IFERROR(
_xlfn.XLOOKUP(MAESTRO[[#This Row],[UNIDAD]],BITACORA[UNIDAD],BITACORA[ESTADO RESULTANTE],"",0,-1),
"")</f>
        <v>FUERA_SERVICIO</v>
      </c>
      <c r="E16" s="50">
        <f>IFERROR(_xlfn.MAXIFS(BITACORA[FECHA],BITACORA[UNIDAD],MAESTRO[[#This Row],[UNIDAD]],BITACORA[ESTADO RESULTANTE],"FUERA_SERVICIO"),"")</f>
        <v>46282</v>
      </c>
      <c r="F16" s="204">
        <f t="shared" ca="1" si="0"/>
        <v>5</v>
      </c>
      <c r="G16" s="116" t="str" cm="1">
        <f t="array" ref="G16">IF(OR(MAESTRO[[#This Row],[ESTADO]]="TALLER",MAESTRO[[#This Row],[ESTADO]]="FUERA_SERVICIO"), IFERROR( _xlfn.XLOOKUP( 1, (BITACORA[UNIDAD]=MAESTRO[[#This Row],[UNIDAD]])* ((BITACORA[ESTADO RESULTANTE]="TALLER")+(BITACORA[ESTADO RESULTANTE]="FUERA_SERVICIO")), BITACORA[Servicio Realizado], "", 0, -1 ), ""), "")</f>
        <v>unidad queda fuera de servicio ya que mantiene problema electrico, luces trasera siguen encendidas al apagar unidad y hacer corte al conectar shut-off</v>
      </c>
      <c r="H16" s="116" t="s">
        <v>14</v>
      </c>
      <c r="I16" s="50">
        <f>IFERROR(_xlfn.MAXIFS(PREVENTIVOS_DB[FECHA],PREVENTIVOS_DB[UNIDAD],MAESTRO[[#This Row],[UNIDAD]]),"")</f>
        <v>46275</v>
      </c>
      <c r="J16" s="165">
        <f>IFERROR(SUMIF(CONTROL[UNIDAD],MAESTRO[[#This Row],[UNIDAD]],CONTROL[VALOR]),0)</f>
        <v>4659250</v>
      </c>
    </row>
    <row r="17" spans="1:10">
      <c r="A17" s="116" t="s">
        <v>37</v>
      </c>
      <c r="B17" s="116" t="s">
        <v>39</v>
      </c>
      <c r="C17" s="116" t="s">
        <v>21</v>
      </c>
      <c r="D17" t="str">
        <f>IFERROR(
_xlfn.XLOOKUP(MAESTRO[[#This Row],[UNIDAD]],BITACORA[UNIDAD],BITACORA[ESTADO RESULTANTE],"",0,-1),
"")</f>
        <v>OPERATIVA</v>
      </c>
      <c r="E17" s="50">
        <f>IFERROR(_xlfn.MAXIFS(BITACORA[FECHA],BITACORA[UNIDAD],MAESTRO[[#This Row],[UNIDAD]],BITACORA[ESTADO RESULTANTE],"FUERA_SERVICIO"),"")</f>
        <v>0</v>
      </c>
      <c r="F17" s="204">
        <f t="shared" ca="1" si="0"/>
        <v>0</v>
      </c>
      <c r="G17" s="116" t="str" cm="1">
        <f t="array" ref="G17">IF(OR(MAESTRO[[#This Row],[ESTADO]]="TALLER",MAESTRO[[#This Row],[ESTADO]]="FUERA_SERVICIO"), IFERROR( _xlfn.XLOOKUP( 1, (BITACORA[UNIDAD]=MAESTRO[[#This Row],[UNIDAD]])* ((BITACORA[ESTADO RESULTANTE]="TALLER")+(BITACORA[ESTADO RESULTANTE]="FUERA_SERVICIO")), BITACORA[Servicio Realizado], "", 0, -1 ), ""), "")</f>
        <v/>
      </c>
      <c r="H17" s="116" t="s">
        <v>14</v>
      </c>
      <c r="I17" s="50">
        <f>IFERROR(_xlfn.MAXIFS(PREVENTIVOS_DB[FECHA],PREVENTIVOS_DB[UNIDAD],MAESTRO[[#This Row],[UNIDAD]]),"")</f>
        <v>46327</v>
      </c>
      <c r="J17" s="165">
        <f>IFERROR(SUMIF(CONTROL[UNIDAD],MAESTRO[[#This Row],[UNIDAD]],CONTROL[VALOR]),0)</f>
        <v>2153354</v>
      </c>
    </row>
    <row r="18" spans="1:10">
      <c r="A18" s="116" t="s">
        <v>37</v>
      </c>
      <c r="B18" s="116" t="s">
        <v>40</v>
      </c>
      <c r="C18" s="116" t="s">
        <v>41</v>
      </c>
      <c r="D18" t="str">
        <f>IFERROR(
_xlfn.XLOOKUP(MAESTRO[[#This Row],[UNIDAD]],BITACORA[UNIDAD],BITACORA[ESTADO RESULTANTE],"",0,-1),
"")</f>
        <v>OPERATIVA</v>
      </c>
      <c r="E18" s="50">
        <f>IFERROR(_xlfn.MAXIFS(BITACORA[FECHA],BITACORA[UNIDAD],MAESTRO[[#This Row],[UNIDAD]],BITACORA[ESTADO RESULTANTE],"FUERA_SERVICIO"),"")</f>
        <v>46175</v>
      </c>
      <c r="F18" s="204">
        <f t="shared" ca="1" si="0"/>
        <v>0</v>
      </c>
      <c r="G18" s="116" t="str" cm="1">
        <f t="array" ref="G18">IF(OR(MAESTRO[[#This Row],[ESTADO]]="TALLER",MAESTRO[[#This Row],[ESTADO]]="FUERA_SERVICIO"), IFERROR( _xlfn.XLOOKUP( 1, (BITACORA[UNIDAD]=MAESTRO[[#This Row],[UNIDAD]])* ((BITACORA[ESTADO RESULTANTE]="TALLER")+(BITACORA[ESTADO RESULTANTE]="FUERA_SERVICIO")), BITACORA[Servicio Realizado], "", 0, -1 ), ""), "")</f>
        <v/>
      </c>
      <c r="H18" s="116" t="s">
        <v>14</v>
      </c>
      <c r="I18" s="50">
        <f>IFERROR(_xlfn.MAXIFS(PREVENTIVOS_DB[FECHA],PREVENTIVOS_DB[UNIDAD],MAESTRO[[#This Row],[UNIDAD]]),"")</f>
        <v>45793</v>
      </c>
      <c r="J18" s="165">
        <f>IFERROR(SUMIF(CONTROL[UNIDAD],MAESTRO[[#This Row],[UNIDAD]],CONTROL[VALOR]),0)</f>
        <v>2169479</v>
      </c>
    </row>
    <row r="19" spans="1:10">
      <c r="A19" s="116" t="s">
        <v>42</v>
      </c>
      <c r="B19" s="116" t="s">
        <v>43</v>
      </c>
      <c r="C19" s="116" t="s">
        <v>12</v>
      </c>
      <c r="D19" t="str">
        <f>IFERROR(
_xlfn.XLOOKUP(MAESTRO[[#This Row],[UNIDAD]],BITACORA[UNIDAD],BITACORA[ESTADO RESULTANTE],"",0,-1),
"")</f>
        <v>OPERATIVA</v>
      </c>
      <c r="E19" s="50">
        <f>IFERROR(_xlfn.MAXIFS(BITACORA[FECHA],BITACORA[UNIDAD],MAESTRO[[#This Row],[UNIDAD]],BITACORA[ESTADO RESULTANTE],"FUERA_SERVICIO"),"")</f>
        <v>0</v>
      </c>
      <c r="F19" s="204">
        <f t="shared" ca="1" si="0"/>
        <v>0</v>
      </c>
      <c r="G19" s="116" t="str" cm="1">
        <f t="array" ref="G19">IF(OR(MAESTRO[[#This Row],[ESTADO]]="TALLER",MAESTRO[[#This Row],[ESTADO]]="FUERA_SERVICIO"), IFERROR( _xlfn.XLOOKUP( 1, (BITACORA[UNIDAD]=MAESTRO[[#This Row],[UNIDAD]])* ((BITACORA[ESTADO RESULTANTE]="TALLER")+(BITACORA[ESTADO RESULTANTE]="FUERA_SERVICIO")), BITACORA[Servicio Realizado], "", 0, -1 ), ""), "")</f>
        <v/>
      </c>
      <c r="H19" s="116" t="s">
        <v>14</v>
      </c>
      <c r="I19" s="50">
        <f>IFERROR(_xlfn.MAXIFS(PREVENTIVOS_DB[FECHA],PREVENTIVOS_DB[UNIDAD],MAESTRO[[#This Row],[UNIDAD]]),"")</f>
        <v>45901</v>
      </c>
      <c r="J19" s="165">
        <f>IFERROR(SUMIF(CONTROL[UNIDAD],MAESTRO[[#This Row],[UNIDAD]],CONTROL[VALOR]),0)</f>
        <v>19713197</v>
      </c>
    </row>
    <row r="20" spans="1:10">
      <c r="A20" s="116" t="s">
        <v>42</v>
      </c>
      <c r="B20" s="116" t="s">
        <v>44</v>
      </c>
      <c r="C20" s="116" t="s">
        <v>12</v>
      </c>
      <c r="D20" t="str">
        <f>IFERROR(
_xlfn.XLOOKUP(MAESTRO[[#This Row],[UNIDAD]],BITACORA[UNIDAD],BITACORA[ESTADO RESULTANTE],"",0,-1),
"")</f>
        <v>OPERATIVA</v>
      </c>
      <c r="E20" s="50">
        <f>IFERROR(_xlfn.MAXIFS(BITACORA[FECHA],BITACORA[UNIDAD],MAESTRO[[#This Row],[UNIDAD]],BITACORA[ESTADO RESULTANTE],"FUERA_SERVICIO"),"")</f>
        <v>46258</v>
      </c>
      <c r="F20" s="204">
        <f t="shared" ca="1" si="0"/>
        <v>0</v>
      </c>
      <c r="G20" s="116" t="str" cm="1">
        <f t="array" ref="G20">IF(OR(MAESTRO[[#This Row],[ESTADO]]="TALLER",MAESTRO[[#This Row],[ESTADO]]="FUERA_SERVICIO"), IFERROR( _xlfn.XLOOKUP( 1, (BITACORA[UNIDAD]=MAESTRO[[#This Row],[UNIDAD]])* ((BITACORA[ESTADO RESULTANTE]="TALLER")+(BITACORA[ESTADO RESULTANTE]="FUERA_SERVICIO")), BITACORA[Servicio Realizado], "", 0, -1 ), ""), "")</f>
        <v/>
      </c>
      <c r="H20" s="116" t="s">
        <v>14</v>
      </c>
      <c r="I20" s="50">
        <f>IFERROR(_xlfn.MAXIFS(PREVENTIVOS_DB[FECHA],PREVENTIVOS_DB[UNIDAD],MAESTRO[[#This Row],[UNIDAD]]),"")</f>
        <v>45901</v>
      </c>
      <c r="J20" s="165">
        <f>IFERROR(SUMIF(CONTROL[UNIDAD],MAESTRO[[#This Row],[UNIDAD]],CONTROL[VALOR]),0)</f>
        <v>6633018</v>
      </c>
    </row>
    <row r="21" spans="1:10">
      <c r="A21" s="116" t="s">
        <v>42</v>
      </c>
      <c r="B21" s="116" t="s">
        <v>45</v>
      </c>
      <c r="C21" s="116" t="s">
        <v>30</v>
      </c>
      <c r="D21" t="str">
        <f>IFERROR(
_xlfn.XLOOKUP(MAESTRO[[#This Row],[UNIDAD]],BITACORA[UNIDAD],BITACORA[ESTADO RESULTANTE],"",0,-1),
"")</f>
        <v>OPERATIVA</v>
      </c>
      <c r="E21" s="50">
        <f>IFERROR(_xlfn.MAXIFS(BITACORA[FECHA],BITACORA[UNIDAD],MAESTRO[[#This Row],[UNIDAD]],BITACORA[ESTADO RESULTANTE],"FUERA_SERVICIO"),"")</f>
        <v>0</v>
      </c>
      <c r="F21" s="204">
        <f t="shared" ca="1" si="0"/>
        <v>0</v>
      </c>
      <c r="G21" s="116" t="str" cm="1">
        <f t="array" ref="G21">IF(OR(MAESTRO[[#This Row],[ESTADO]]="TALLER",MAESTRO[[#This Row],[ESTADO]]="FUERA_SERVICIO"), IFERROR( _xlfn.XLOOKUP( 1, (BITACORA[UNIDAD]=MAESTRO[[#This Row],[UNIDAD]])* ((BITACORA[ESTADO RESULTANTE]="TALLER")+(BITACORA[ESTADO RESULTANTE]="FUERA_SERVICIO")), BITACORA[Servicio Realizado], "", 0, -1 ), ""), "")</f>
        <v/>
      </c>
      <c r="H21" s="116" t="s">
        <v>31</v>
      </c>
      <c r="I21" s="50">
        <f>IFERROR(_xlfn.MAXIFS(PREVENTIVOS_DB[FECHA],PREVENTIVOS_DB[UNIDAD],MAESTRO[[#This Row],[UNIDAD]]),"")</f>
        <v>45779</v>
      </c>
      <c r="J21" s="165">
        <f>IFERROR(SUMIF(CONTROL[UNIDAD],MAESTRO[[#This Row],[UNIDAD]],CONTROL[VALOR]),0)</f>
        <v>0</v>
      </c>
    </row>
    <row r="22" spans="1:10">
      <c r="A22" s="116" t="s">
        <v>46</v>
      </c>
      <c r="B22" s="116" t="s">
        <v>47</v>
      </c>
      <c r="C22" s="116" t="s">
        <v>12</v>
      </c>
      <c r="D22" t="str">
        <f>IFERROR(
_xlfn.XLOOKUP(MAESTRO[[#This Row],[UNIDAD]],BITACORA[UNIDAD],BITACORA[ESTADO RESULTANTE],"",0,-1),
"")</f>
        <v>OPERATIVA</v>
      </c>
      <c r="E22" s="50">
        <f>IFERROR(_xlfn.MAXIFS(BITACORA[FECHA],BITACORA[UNIDAD],MAESTRO[[#This Row],[UNIDAD]],BITACORA[ESTADO RESULTANTE],"FUERA_SERVICIO"),"")</f>
        <v>46070</v>
      </c>
      <c r="F22" s="204">
        <f t="shared" ca="1" si="0"/>
        <v>0</v>
      </c>
      <c r="G22" s="116" t="str" cm="1">
        <f t="array" ref="G22">IF(OR(MAESTRO[[#This Row],[ESTADO]]="TALLER",MAESTRO[[#This Row],[ESTADO]]="FUERA_SERVICIO"), IFERROR( _xlfn.XLOOKUP( 1, (BITACORA[UNIDAD]=MAESTRO[[#This Row],[UNIDAD]])* ((BITACORA[ESTADO RESULTANTE]="TALLER")+(BITACORA[ESTADO RESULTANTE]="FUERA_SERVICIO")), BITACORA[Servicio Realizado], "", 0, -1 ), ""), "")</f>
        <v/>
      </c>
      <c r="H22" s="116" t="s">
        <v>14</v>
      </c>
      <c r="I22" s="50">
        <f>IFERROR(_xlfn.MAXIFS(PREVENTIVOS_DB[FECHA],PREVENTIVOS_DB[UNIDAD],MAESTRO[[#This Row],[UNIDAD]]),"")</f>
        <v>46058</v>
      </c>
      <c r="J22" s="165">
        <f>IFERROR(SUMIF(CONTROL[UNIDAD],MAESTRO[[#This Row],[UNIDAD]],CONTROL[VALOR]),0)</f>
        <v>8450124</v>
      </c>
    </row>
    <row r="23" spans="1:10">
      <c r="A23" s="116" t="s">
        <v>48</v>
      </c>
      <c r="B23" s="116" t="s">
        <v>49</v>
      </c>
      <c r="C23" s="116" t="s">
        <v>12</v>
      </c>
      <c r="D23" t="str">
        <f>IFERROR(
_xlfn.XLOOKUP(MAESTRO[[#This Row],[UNIDAD]],BITACORA[UNIDAD],BITACORA[ESTADO RESULTANTE],"",0,-1),
"")</f>
        <v>OPERATIVA</v>
      </c>
      <c r="E23" s="50">
        <f>IFERROR(_xlfn.MAXIFS(BITACORA[FECHA],BITACORA[UNIDAD],MAESTRO[[#This Row],[UNIDAD]],BITACORA[ESTADO RESULTANTE],"FUERA_SERVICIO"),"")</f>
        <v>46190</v>
      </c>
      <c r="F23" s="204">
        <f t="shared" ca="1" si="0"/>
        <v>0</v>
      </c>
      <c r="G23" s="116" t="str" cm="1">
        <f t="array" ref="G23">IF(OR(MAESTRO[[#This Row],[ESTADO]]="TALLER",MAESTRO[[#This Row],[ESTADO]]="FUERA_SERVICIO"), IFERROR( _xlfn.XLOOKUP( 1, (BITACORA[UNIDAD]=MAESTRO[[#This Row],[UNIDAD]])* ((BITACORA[ESTADO RESULTANTE]="TALLER")+(BITACORA[ESTADO RESULTANTE]="FUERA_SERVICIO")), BITACORA[Servicio Realizado], "", 0, -1 ), ""), "")</f>
        <v/>
      </c>
      <c r="H23" s="116" t="s">
        <v>14</v>
      </c>
      <c r="I23" s="50">
        <f>IFERROR(_xlfn.MAXIFS(PREVENTIVOS_DB[FECHA],PREVENTIVOS_DB[UNIDAD],MAESTRO[[#This Row],[UNIDAD]]),"")</f>
        <v>45826</v>
      </c>
      <c r="J23" s="165">
        <f>IFERROR(SUMIF(CONTROL[UNIDAD],MAESTRO[[#This Row],[UNIDAD]],CONTROL[VALOR]),0)</f>
        <v>9868919</v>
      </c>
    </row>
    <row r="24" spans="1:10">
      <c r="A24" s="116" t="s">
        <v>48</v>
      </c>
      <c r="B24" s="116" t="s">
        <v>50</v>
      </c>
      <c r="C24" s="116" t="s">
        <v>36</v>
      </c>
      <c r="D24" t="str">
        <f>IFERROR(
_xlfn.XLOOKUP(MAESTRO[[#This Row],[UNIDAD]],BITACORA[UNIDAD],BITACORA[ESTADO RESULTANTE],"",0,-1),
"")</f>
        <v>OPERATIVA</v>
      </c>
      <c r="E24" s="50">
        <f>IFERROR(_xlfn.MAXIFS(BITACORA[FECHA],BITACORA[UNIDAD],MAESTRO[[#This Row],[UNIDAD]],BITACORA[ESTADO RESULTANTE],"FUERA_SERVICIO"),"")</f>
        <v>0</v>
      </c>
      <c r="F24" s="204">
        <f t="shared" ca="1" si="0"/>
        <v>0</v>
      </c>
      <c r="G24" s="116" t="str" cm="1">
        <f t="array" ref="G24">IF(OR(MAESTRO[[#This Row],[ESTADO]]="TALLER",MAESTRO[[#This Row],[ESTADO]]="FUERA_SERVICIO"), IFERROR( _xlfn.XLOOKUP( 1, (BITACORA[UNIDAD]=MAESTRO[[#This Row],[UNIDAD]])* ((BITACORA[ESTADO RESULTANTE]="TALLER")+(BITACORA[ESTADO RESULTANTE]="FUERA_SERVICIO")), BITACORA[Servicio Realizado], "", 0, -1 ), ""), "")</f>
        <v/>
      </c>
      <c r="H24" s="116" t="s">
        <v>31</v>
      </c>
      <c r="I24" s="50">
        <f>IFERROR(_xlfn.MAXIFS(PREVENTIVOS_DB[FECHA],PREVENTIVOS_DB[UNIDAD],MAESTRO[[#This Row],[UNIDAD]]),"")</f>
        <v>45677</v>
      </c>
      <c r="J24" s="165">
        <f>IFERROR(SUMIF(CONTROL[UNIDAD],MAESTRO[[#This Row],[UNIDAD]],CONTROL[VALOR]),0)</f>
        <v>594315</v>
      </c>
    </row>
    <row r="25" spans="1:10">
      <c r="A25" s="116" t="s">
        <v>51</v>
      </c>
      <c r="B25" s="116" t="s">
        <v>52</v>
      </c>
      <c r="C25" s="116" t="s">
        <v>30</v>
      </c>
      <c r="D25" t="str">
        <f>IFERROR(
_xlfn.XLOOKUP(MAESTRO[[#This Row],[UNIDAD]],BITACORA[UNIDAD],BITACORA[ESTADO RESULTANTE],"",0,-1),
"")</f>
        <v>OPERATIVA</v>
      </c>
      <c r="E25" s="50">
        <f>IFERROR(_xlfn.MAXIFS(BITACORA[FECHA],BITACORA[UNIDAD],MAESTRO[[#This Row],[UNIDAD]],BITACORA[ESTADO RESULTANTE],"FUERA_SERVICIO"),"")</f>
        <v>0</v>
      </c>
      <c r="F25" s="204">
        <f t="shared" ca="1" si="0"/>
        <v>0</v>
      </c>
      <c r="G25" s="116" t="str" cm="1">
        <f t="array" ref="G25">IF(OR(MAESTRO[[#This Row],[ESTADO]]="TALLER",MAESTRO[[#This Row],[ESTADO]]="FUERA_SERVICIO"), IFERROR( _xlfn.XLOOKUP( 1, (BITACORA[UNIDAD]=MAESTRO[[#This Row],[UNIDAD]])* ((BITACORA[ESTADO RESULTANTE]="TALLER")+(BITACORA[ESTADO RESULTANTE]="FUERA_SERVICIO")), BITACORA[Servicio Realizado], "", 0, -1 ), ""), "")</f>
        <v/>
      </c>
      <c r="H25" s="116" t="s">
        <v>31</v>
      </c>
      <c r="I25" s="50">
        <f>IFERROR(_xlfn.MAXIFS(PREVENTIVOS_DB[FECHA],PREVENTIVOS_DB[UNIDAD],MAESTRO[[#This Row],[UNIDAD]]),"")</f>
        <v>45870</v>
      </c>
      <c r="J25" s="165">
        <f>IFERROR(SUMIF(CONTROL[UNIDAD],MAESTRO[[#This Row],[UNIDAD]],CONTROL[VALOR]),0)</f>
        <v>1728008</v>
      </c>
    </row>
    <row r="26" spans="1:10">
      <c r="A26" s="116" t="s">
        <v>51</v>
      </c>
      <c r="B26" s="116" t="s">
        <v>53</v>
      </c>
      <c r="C26" s="116" t="s">
        <v>30</v>
      </c>
      <c r="D26" t="str">
        <f>IFERROR(
_xlfn.XLOOKUP(MAESTRO[[#This Row],[UNIDAD]],BITACORA[UNIDAD],BITACORA[ESTADO RESULTANTE],"",0,-1),
"")</f>
        <v>OPERATIVA</v>
      </c>
      <c r="E26" s="50">
        <f>IFERROR(_xlfn.MAXIFS(BITACORA[FECHA],BITACORA[UNIDAD],MAESTRO[[#This Row],[UNIDAD]],BITACORA[ESTADO RESULTANTE],"FUERA_SERVICIO"),"")</f>
        <v>0</v>
      </c>
      <c r="F26" s="204">
        <f t="shared" ca="1" si="0"/>
        <v>0</v>
      </c>
      <c r="G26" s="116" t="str" cm="1">
        <f t="array" ref="G26">IF(OR(MAESTRO[[#This Row],[ESTADO]]="TALLER",MAESTRO[[#This Row],[ESTADO]]="FUERA_SERVICIO"), IFERROR( _xlfn.XLOOKUP( 1, (BITACORA[UNIDAD]=MAESTRO[[#This Row],[UNIDAD]])* ((BITACORA[ESTADO RESULTANTE]="TALLER")+(BITACORA[ESTADO RESULTANTE]="FUERA_SERVICIO")), BITACORA[Servicio Realizado], "", 0, -1 ), ""), "")</f>
        <v/>
      </c>
      <c r="H26" s="116" t="s">
        <v>31</v>
      </c>
      <c r="I26" s="50">
        <f>IFERROR(_xlfn.MAXIFS(PREVENTIVOS_DB[FECHA],PREVENTIVOS_DB[UNIDAD],MAESTRO[[#This Row],[UNIDAD]]),"")</f>
        <v>46041</v>
      </c>
      <c r="J26" s="165">
        <f>IFERROR(SUMIF(CONTROL[UNIDAD],MAESTRO[[#This Row],[UNIDAD]],CONTROL[VALOR]),0)</f>
        <v>412505</v>
      </c>
    </row>
    <row r="27" spans="1:10">
      <c r="A27" s="116" t="s">
        <v>51</v>
      </c>
      <c r="B27" s="116" t="s">
        <v>54</v>
      </c>
      <c r="C27" s="116" t="s">
        <v>30</v>
      </c>
      <c r="D27" t="str">
        <f>IFERROR(
_xlfn.XLOOKUP(MAESTRO[[#This Row],[UNIDAD]],BITACORA[UNIDAD],BITACORA[ESTADO RESULTANTE],"",0,-1),
"")</f>
        <v>OPERATIVA</v>
      </c>
      <c r="E27" s="50">
        <f>IFERROR(_xlfn.MAXIFS(BITACORA[FECHA],BITACORA[UNIDAD],MAESTRO[[#This Row],[UNIDAD]],BITACORA[ESTADO RESULTANTE],"FUERA_SERVICIO"),"")</f>
        <v>0</v>
      </c>
      <c r="F27" s="204">
        <f t="shared" ca="1" si="0"/>
        <v>0</v>
      </c>
      <c r="G27" s="116" t="str" cm="1">
        <f t="array" ref="G27">IF(OR(MAESTRO[[#This Row],[ESTADO]]="TALLER",MAESTRO[[#This Row],[ESTADO]]="FUERA_SERVICIO"), IFERROR( _xlfn.XLOOKUP( 1, (BITACORA[UNIDAD]=MAESTRO[[#This Row],[UNIDAD]])* ((BITACORA[ESTADO RESULTANTE]="TALLER")+(BITACORA[ESTADO RESULTANTE]="FUERA_SERVICIO")), BITACORA[Servicio Realizado], "", 0, -1 ), ""), "")</f>
        <v/>
      </c>
      <c r="H27" s="116" t="s">
        <v>31</v>
      </c>
      <c r="I27" s="50">
        <f>IFERROR(_xlfn.MAXIFS(PREVENTIVOS_DB[FECHA],PREVENTIVOS_DB[UNIDAD],MAESTRO[[#This Row],[UNIDAD]]),"")</f>
        <v>45383</v>
      </c>
      <c r="J27" s="165">
        <f>IFERROR(SUMIF(CONTROL[UNIDAD],MAESTRO[[#This Row],[UNIDAD]],CONTROL[VALOR]),0)</f>
        <v>1111931</v>
      </c>
    </row>
    <row r="28" spans="1:10">
      <c r="A28" s="116" t="s">
        <v>51</v>
      </c>
      <c r="B28" s="116" t="s">
        <v>55</v>
      </c>
      <c r="C28" s="116" t="s">
        <v>56</v>
      </c>
      <c r="D28" t="str">
        <f>IFERROR(
_xlfn.XLOOKUP(MAESTRO[[#This Row],[UNIDAD]],BITACORA[UNIDAD],BITACORA[ESTADO RESULTANTE],"",0,-1),
"")</f>
        <v>OPERATIVA</v>
      </c>
      <c r="E28" s="50">
        <f>IFERROR(_xlfn.MAXIFS(BITACORA[FECHA],BITACORA[UNIDAD],MAESTRO[[#This Row],[UNIDAD]],BITACORA[ESTADO RESULTANTE],"FUERA_SERVICIO"),"")</f>
        <v>46146</v>
      </c>
      <c r="F28" s="204">
        <f t="shared" ca="1" si="0"/>
        <v>0</v>
      </c>
      <c r="G28" s="116" t="str" cm="1">
        <f t="array" ref="G28">IF(OR(MAESTRO[[#This Row],[ESTADO]]="TALLER",MAESTRO[[#This Row],[ESTADO]]="FUERA_SERVICIO"), IFERROR( _xlfn.XLOOKUP( 1, (BITACORA[UNIDAD]=MAESTRO[[#This Row],[UNIDAD]])* ((BITACORA[ESTADO RESULTANTE]="TALLER")+(BITACORA[ESTADO RESULTANTE]="FUERA_SERVICIO")), BITACORA[Servicio Realizado], "", 0, -1 ), ""), "")</f>
        <v/>
      </c>
      <c r="H28" s="116" t="s">
        <v>31</v>
      </c>
      <c r="I28" s="50">
        <f>IFERROR(_xlfn.MAXIFS(PREVENTIVOS_DB[FECHA],PREVENTIVOS_DB[UNIDAD],MAESTRO[[#This Row],[UNIDAD]]),"")</f>
        <v>45962</v>
      </c>
      <c r="J28" s="165">
        <f>IFERROR(SUMIF(CONTROL[UNIDAD],MAESTRO[[#This Row],[UNIDAD]],CONTROL[VALOR]),0)</f>
        <v>898188</v>
      </c>
    </row>
    <row r="29" spans="1:10">
      <c r="A29" s="116" t="s">
        <v>51</v>
      </c>
      <c r="B29" s="116" t="s">
        <v>57</v>
      </c>
      <c r="C29" s="116" t="s">
        <v>58</v>
      </c>
      <c r="D29" t="str">
        <f>IFERROR(
_xlfn.XLOOKUP(MAESTRO[[#This Row],[UNIDAD]],BITACORA[UNIDAD],BITACORA[ESTADO RESULTANTE],"",0,-1),
"")</f>
        <v>OPERATIVA</v>
      </c>
      <c r="E29" s="50">
        <f>IFERROR(_xlfn.MAXIFS(BITACORA[FECHA],BITACORA[UNIDAD],MAESTRO[[#This Row],[UNIDAD]],BITACORA[ESTADO RESULTANTE],"FUERA_SERVICIO"),"")</f>
        <v>0</v>
      </c>
      <c r="F29" s="204">
        <f t="shared" ca="1" si="0"/>
        <v>0</v>
      </c>
      <c r="G29" s="116" t="str" cm="1">
        <f t="array" ref="G29">IF(OR(MAESTRO[[#This Row],[ESTADO]]="TALLER",MAESTRO[[#This Row],[ESTADO]]="FUERA_SERVICIO"), IFERROR( _xlfn.XLOOKUP( 1, (BITACORA[UNIDAD]=MAESTRO[[#This Row],[UNIDAD]])* ((BITACORA[ESTADO RESULTANTE]="TALLER")+(BITACORA[ESTADO RESULTANTE]="FUERA_SERVICIO")), BITACORA[Servicio Realizado], "", 0, -1 ), ""), "")</f>
        <v/>
      </c>
      <c r="H29" s="116" t="s">
        <v>31</v>
      </c>
      <c r="I29" s="50">
        <f>IFERROR(_xlfn.MAXIFS(PREVENTIVOS_DB[FECHA],PREVENTIVOS_DB[UNIDAD],MAESTRO[[#This Row],[UNIDAD]]),"")</f>
        <v>46023</v>
      </c>
      <c r="J29" s="165">
        <f>IFERROR(SUMIF(CONTROL[UNIDAD],MAESTRO[[#This Row],[UNIDAD]],CONTROL[VALOR]),0)</f>
        <v>6059423</v>
      </c>
    </row>
    <row r="30" spans="1:10">
      <c r="A30" s="116" t="s">
        <v>51</v>
      </c>
      <c r="B30" s="116" t="s">
        <v>59</v>
      </c>
      <c r="C30" s="116" t="s">
        <v>60</v>
      </c>
      <c r="D30" t="str">
        <f>IFERROR(
_xlfn.XLOOKUP(MAESTRO[[#This Row],[UNIDAD]],BITACORA[UNIDAD],BITACORA[ESTADO RESULTANTE],"",0,-1),
"")</f>
        <v>OPERATIVA</v>
      </c>
      <c r="E30" s="50">
        <f>IFERROR(_xlfn.MAXIFS(BITACORA[FECHA],BITACORA[UNIDAD],MAESTRO[[#This Row],[UNIDAD]],BITACORA[ESTADO RESULTANTE],"FUERA_SERVICIO"),"")</f>
        <v>0</v>
      </c>
      <c r="F30" s="204">
        <f t="shared" ca="1" si="0"/>
        <v>0</v>
      </c>
      <c r="G30" s="116" t="str" cm="1">
        <f t="array" ref="G30">IF(OR(MAESTRO[[#This Row],[ESTADO]]="TALLER",MAESTRO[[#This Row],[ESTADO]]="FUERA_SERVICIO"), IFERROR( _xlfn.XLOOKUP( 1, (BITACORA[UNIDAD]=MAESTRO[[#This Row],[UNIDAD]])* ((BITACORA[ESTADO RESULTANTE]="TALLER")+(BITACORA[ESTADO RESULTANTE]="FUERA_SERVICIO")), BITACORA[Servicio Realizado], "", 0, -1 ), ""), "")</f>
        <v/>
      </c>
      <c r="H30" s="116" t="s">
        <v>31</v>
      </c>
      <c r="I30" s="50">
        <f>IFERROR(_xlfn.MAXIFS(PREVENTIVOS_DB[FECHA],PREVENTIVOS_DB[UNIDAD],MAESTRO[[#This Row],[UNIDAD]]),"")</f>
        <v>45870</v>
      </c>
      <c r="J30" s="165">
        <f>IFERROR(SUMIF(CONTROL[UNIDAD],MAESTRO[[#This Row],[UNIDAD]],CONTROL[VALOR]),0)</f>
        <v>1430265</v>
      </c>
    </row>
    <row r="31" spans="1:10">
      <c r="A31" s="116" t="s">
        <v>51</v>
      </c>
      <c r="B31" s="116" t="s">
        <v>61</v>
      </c>
      <c r="C31" s="116" t="s">
        <v>41</v>
      </c>
      <c r="D31" t="str">
        <f>IFERROR(
_xlfn.XLOOKUP(MAESTRO[[#This Row],[UNIDAD]],BITACORA[UNIDAD],BITACORA[ESTADO RESULTANTE],"",0,-1),
"")</f>
        <v>OPERATIVA</v>
      </c>
      <c r="E31" s="50">
        <f>IFERROR(_xlfn.MAXIFS(BITACORA[FECHA],BITACORA[UNIDAD],MAESTRO[[#This Row],[UNIDAD]],BITACORA[ESTADO RESULTANTE],"FUERA_SERVICIO"),"")</f>
        <v>0</v>
      </c>
      <c r="F31" s="204">
        <f t="shared" ca="1" si="0"/>
        <v>0</v>
      </c>
      <c r="G31" s="116" t="str" cm="1">
        <f t="array" ref="G31">IF(OR(MAESTRO[[#This Row],[ESTADO]]="TALLER",MAESTRO[[#This Row],[ESTADO]]="FUERA_SERVICIO"), IFERROR( _xlfn.XLOOKUP( 1, (BITACORA[UNIDAD]=MAESTRO[[#This Row],[UNIDAD]])* ((BITACORA[ESTADO RESULTANTE]="TALLER")+(BITACORA[ESTADO RESULTANTE]="FUERA_SERVICIO")), BITACORA[Servicio Realizado], "", 0, -1 ), ""), "")</f>
        <v/>
      </c>
      <c r="H31" s="116" t="s">
        <v>14</v>
      </c>
      <c r="I31" s="50">
        <f>IFERROR(_xlfn.MAXIFS(PREVENTIVOS_DB[FECHA],PREVENTIVOS_DB[UNIDAD],MAESTRO[[#This Row],[UNIDAD]]),"")</f>
        <v>46062</v>
      </c>
      <c r="J31" s="165">
        <f>IFERROR(SUMIF(CONTROL[UNIDAD],MAESTRO[[#This Row],[UNIDAD]],CONTROL[VALOR]),0)</f>
        <v>1824177</v>
      </c>
    </row>
    <row r="32" spans="1:10">
      <c r="A32" s="116" t="s">
        <v>51</v>
      </c>
      <c r="B32" s="116" t="s">
        <v>62</v>
      </c>
      <c r="C32" s="116" t="s">
        <v>63</v>
      </c>
      <c r="D32" t="str">
        <f>IFERROR(
_xlfn.XLOOKUP(MAESTRO[[#This Row],[UNIDAD]],BITACORA[UNIDAD],BITACORA[ESTADO RESULTANTE],"",0,-1),
"")</f>
        <v>OPERATIVA</v>
      </c>
      <c r="E32" s="50">
        <f>IFERROR(_xlfn.MAXIFS(BITACORA[FECHA],BITACORA[UNIDAD],MAESTRO[[#This Row],[UNIDAD]],BITACORA[ESTADO RESULTANTE],"FUERA_SERVICIO"),"")</f>
        <v>0</v>
      </c>
      <c r="F32" s="204">
        <f t="shared" ca="1" si="0"/>
        <v>0</v>
      </c>
      <c r="G32" s="116" t="str" cm="1">
        <f t="array" ref="G32">IF(OR(MAESTRO[[#This Row],[ESTADO]]="TALLER",MAESTRO[[#This Row],[ESTADO]]="FUERA_SERVICIO"), IFERROR( _xlfn.XLOOKUP( 1, (BITACORA[UNIDAD]=MAESTRO[[#This Row],[UNIDAD]])* ((BITACORA[ESTADO RESULTANTE]="TALLER")+(BITACORA[ESTADO RESULTANTE]="FUERA_SERVICIO")), BITACORA[Servicio Realizado], "", 0, -1 ), ""), "")</f>
        <v/>
      </c>
      <c r="H32" s="116" t="s">
        <v>64</v>
      </c>
      <c r="I32" s="50">
        <f>IFERROR(_xlfn.MAXIFS(PREVENTIVOS_DB[FECHA],PREVENTIVOS_DB[UNIDAD],MAESTRO[[#This Row],[UNIDAD]]),"")</f>
        <v>46154</v>
      </c>
      <c r="J32" s="165">
        <f>IFERROR(SUMIF(CONTROL[UNIDAD],MAESTRO[[#This Row],[UNIDAD]],CONTROL[VALOR]),0)</f>
        <v>3061147</v>
      </c>
    </row>
    <row r="33" spans="1:10">
      <c r="A33" s="116" t="s">
        <v>51</v>
      </c>
      <c r="B33" s="116" t="s">
        <v>65</v>
      </c>
      <c r="C33" s="116" t="s">
        <v>63</v>
      </c>
      <c r="D33" t="str">
        <f>IFERROR(
_xlfn.XLOOKUP(MAESTRO[[#This Row],[UNIDAD]],BITACORA[UNIDAD],BITACORA[ESTADO RESULTANTE],"",0,-1),
"")</f>
        <v>FUERA_SERVICIO</v>
      </c>
      <c r="E33" s="50">
        <f>IFERROR(_xlfn.MAXIFS(BITACORA[FECHA],BITACORA[UNIDAD],MAESTRO[[#This Row],[UNIDAD]],BITACORA[ESTADO RESULTANTE],"FUERA_SERVICIO"),"")</f>
        <v>46277</v>
      </c>
      <c r="F33" s="204">
        <f t="shared" ca="1" si="0"/>
        <v>10</v>
      </c>
      <c r="G33" s="116" t="str" cm="1">
        <f t="array" ref="G33">IF(OR(MAESTRO[[#This Row],[ESTADO]]="TALLER",MAESTRO[[#This Row],[ESTADO]]="FUERA_SERVICIO"), IFERROR( _xlfn.XLOOKUP( 1, (BITACORA[UNIDAD]=MAESTRO[[#This Row],[UNIDAD]])* ((BITACORA[ESTADO RESULTANTE]="TALLER")+(BITACORA[ESTADO RESULTANTE]="FUERA_SERVICIO")), BITACORA[Servicio Realizado], "", 0, -1 ), ""), "")</f>
        <v xml:space="preserve">ingreso a taller por reparacion en parador y ambio de niples, lo que producia perdida de aire y una cañeria obstruida. </v>
      </c>
      <c r="H33" s="116" t="s">
        <v>64</v>
      </c>
      <c r="I33" s="50">
        <f>IFERROR(_xlfn.MAXIFS(PREVENTIVOS_DB[FECHA],PREVENTIVOS_DB[UNIDAD],MAESTRO[[#This Row],[UNIDAD]]),"")</f>
        <v>46160</v>
      </c>
      <c r="J33" s="165">
        <f>IFERROR(SUMIF(CONTROL[UNIDAD],MAESTRO[[#This Row],[UNIDAD]],CONTROL[VALOR]),0)</f>
        <v>1635301</v>
      </c>
    </row>
  </sheetData>
  <conditionalFormatting sqref="F2:F33">
    <cfRule type="cellIs" dxfId="55" priority="1" operator="between">
      <formula>5</formula>
      <formula>10</formula>
    </cfRule>
    <cfRule type="cellIs" dxfId="54" priority="2" operator="equal">
      <formula>0</formula>
    </cfRule>
    <cfRule type="cellIs" dxfId="53" priority="3" operator="greaterThan">
      <formula>10</formula>
    </cfRule>
  </conditionalFormatting>
  <hyperlinks>
    <hyperlink ref="F2" r:id="rId1" display="=SI([@ESTADO]=&quot;OPERATIVA&quot;,0,SI.ERROR(HOY()-[@[FECHA SALIDA SERVICIO]],0))" xr:uid="{9328BB25-6606-4F84-8727-90B19C30ABF4}"/>
    <hyperlink ref="F3:F33" r:id="rId2" display="=SI([@ESTADO]=&quot;OPERATIVA&quot;,0,SI.ERROR(HOY()-[@[FECHA SALIDA SERVICIO]],0))" xr:uid="{4A3EAC98-6F3A-404C-A8F5-BA240DF47BEE}"/>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3C7B1-093B-4351-9068-3C8793EF6259}">
  <dimension ref="A1:H354"/>
  <sheetViews>
    <sheetView tabSelected="1" workbookViewId="0">
      <pane ySplit="1" topLeftCell="A332" activePane="bottomLeft" state="frozen"/>
      <selection pane="bottomLeft" activeCell="F354" sqref="F354:H354"/>
      <selection activeCell="C1" sqref="C1"/>
    </sheetView>
  </sheetViews>
  <sheetFormatPr defaultRowHeight="15"/>
  <cols>
    <col min="1" max="1" width="14" style="50" customWidth="1"/>
    <col min="2" max="2" width="14" customWidth="1"/>
    <col min="3" max="3" width="19.140625" bestFit="1" customWidth="1"/>
    <col min="4" max="4" width="22.85546875" bestFit="1" customWidth="1"/>
    <col min="5" max="5" width="103.5703125" customWidth="1"/>
    <col min="6" max="6" width="27.42578125" bestFit="1" customWidth="1"/>
    <col min="7" max="7" width="15.42578125" customWidth="1"/>
    <col min="8" max="8" width="32.28515625" customWidth="1"/>
  </cols>
  <sheetData>
    <row r="1" spans="1:8">
      <c r="A1" s="170" t="s">
        <v>66</v>
      </c>
      <c r="B1" s="170" t="s">
        <v>1</v>
      </c>
      <c r="C1" s="170" t="s">
        <v>67</v>
      </c>
      <c r="D1" s="170" t="s">
        <v>68</v>
      </c>
      <c r="E1" s="170" t="s">
        <v>69</v>
      </c>
      <c r="F1" s="170" t="s">
        <v>70</v>
      </c>
      <c r="G1" s="170" t="s">
        <v>71</v>
      </c>
      <c r="H1" s="170" t="s">
        <v>72</v>
      </c>
    </row>
    <row r="2" spans="1:8">
      <c r="A2" s="50">
        <v>45659</v>
      </c>
      <c r="B2" t="s">
        <v>27</v>
      </c>
      <c r="E2" t="s">
        <v>73</v>
      </c>
      <c r="F2" t="s">
        <v>74</v>
      </c>
      <c r="G2" t="s">
        <v>75</v>
      </c>
      <c r="H2" t="s">
        <v>76</v>
      </c>
    </row>
    <row r="3" spans="1:8">
      <c r="A3" s="50">
        <v>45665</v>
      </c>
      <c r="B3" t="s">
        <v>39</v>
      </c>
      <c r="E3" t="s">
        <v>77</v>
      </c>
      <c r="F3" t="s">
        <v>78</v>
      </c>
      <c r="G3" t="s">
        <v>75</v>
      </c>
      <c r="H3" t="s">
        <v>79</v>
      </c>
    </row>
    <row r="4" spans="1:8">
      <c r="A4" s="50">
        <v>45667</v>
      </c>
      <c r="B4" t="s">
        <v>38</v>
      </c>
      <c r="E4" t="s">
        <v>80</v>
      </c>
      <c r="F4" t="s">
        <v>81</v>
      </c>
      <c r="G4" t="s">
        <v>75</v>
      </c>
      <c r="H4" t="s">
        <v>82</v>
      </c>
    </row>
    <row r="5" spans="1:8">
      <c r="A5" s="50">
        <v>45671</v>
      </c>
      <c r="B5" t="s">
        <v>24</v>
      </c>
      <c r="E5" t="s">
        <v>83</v>
      </c>
      <c r="F5" t="s">
        <v>84</v>
      </c>
      <c r="G5" t="s">
        <v>75</v>
      </c>
      <c r="H5" t="s">
        <v>76</v>
      </c>
    </row>
    <row r="6" spans="1:8">
      <c r="A6" s="50">
        <v>45674</v>
      </c>
      <c r="B6" t="s">
        <v>13</v>
      </c>
      <c r="E6" t="s">
        <v>85</v>
      </c>
      <c r="F6" t="s">
        <v>74</v>
      </c>
      <c r="G6" t="s">
        <v>75</v>
      </c>
      <c r="H6" t="s">
        <v>76</v>
      </c>
    </row>
    <row r="7" spans="1:8">
      <c r="A7" s="50">
        <v>45677</v>
      </c>
      <c r="B7" t="s">
        <v>47</v>
      </c>
      <c r="E7" t="s">
        <v>86</v>
      </c>
      <c r="F7" t="s">
        <v>87</v>
      </c>
      <c r="G7" t="s">
        <v>88</v>
      </c>
      <c r="H7" t="s">
        <v>76</v>
      </c>
    </row>
    <row r="8" spans="1:8">
      <c r="A8" s="50">
        <v>45677</v>
      </c>
      <c r="B8" t="s">
        <v>61</v>
      </c>
      <c r="E8" t="s">
        <v>89</v>
      </c>
      <c r="F8" t="s">
        <v>78</v>
      </c>
      <c r="G8" t="s">
        <v>90</v>
      </c>
      <c r="H8" t="s">
        <v>79</v>
      </c>
    </row>
    <row r="9" spans="1:8">
      <c r="A9" s="50">
        <v>45677</v>
      </c>
      <c r="B9" t="s">
        <v>55</v>
      </c>
      <c r="C9" s="77"/>
      <c r="D9" s="77"/>
      <c r="E9" t="s">
        <v>91</v>
      </c>
      <c r="F9" t="s">
        <v>78</v>
      </c>
      <c r="G9" t="s">
        <v>90</v>
      </c>
      <c r="H9" t="s">
        <v>79</v>
      </c>
    </row>
    <row r="10" spans="1:8">
      <c r="A10" s="50">
        <v>45677</v>
      </c>
      <c r="B10" t="s">
        <v>50</v>
      </c>
      <c r="C10" s="77" t="s">
        <v>92</v>
      </c>
      <c r="D10" s="77"/>
      <c r="E10" t="s">
        <v>93</v>
      </c>
      <c r="F10" t="s">
        <v>78</v>
      </c>
      <c r="G10" t="s">
        <v>90</v>
      </c>
      <c r="H10" t="s">
        <v>79</v>
      </c>
    </row>
    <row r="11" spans="1:8">
      <c r="A11" s="50">
        <v>45677</v>
      </c>
      <c r="B11" t="s">
        <v>49</v>
      </c>
      <c r="C11" s="77"/>
      <c r="D11" s="77"/>
      <c r="E11" t="s">
        <v>94</v>
      </c>
      <c r="F11" t="s">
        <v>78</v>
      </c>
      <c r="G11" t="s">
        <v>90</v>
      </c>
      <c r="H11" t="s">
        <v>79</v>
      </c>
    </row>
    <row r="12" spans="1:8">
      <c r="A12" s="50">
        <v>45678</v>
      </c>
      <c r="B12" t="s">
        <v>33</v>
      </c>
      <c r="E12" t="s">
        <v>95</v>
      </c>
      <c r="F12" t="s">
        <v>96</v>
      </c>
      <c r="G12" t="s">
        <v>90</v>
      </c>
      <c r="H12" t="s">
        <v>79</v>
      </c>
    </row>
    <row r="13" spans="1:8">
      <c r="A13" s="50">
        <v>45679</v>
      </c>
      <c r="B13" t="s">
        <v>62</v>
      </c>
      <c r="E13" t="s">
        <v>97</v>
      </c>
      <c r="F13" t="s">
        <v>87</v>
      </c>
      <c r="G13" t="s">
        <v>98</v>
      </c>
      <c r="H13" t="s">
        <v>79</v>
      </c>
    </row>
    <row r="14" spans="1:8">
      <c r="A14" s="50">
        <v>45685</v>
      </c>
      <c r="B14" t="s">
        <v>99</v>
      </c>
      <c r="E14" t="s">
        <v>100</v>
      </c>
      <c r="F14" t="s">
        <v>87</v>
      </c>
      <c r="G14" t="s">
        <v>101</v>
      </c>
      <c r="H14" t="s">
        <v>76</v>
      </c>
    </row>
    <row r="15" spans="1:8">
      <c r="A15" s="50">
        <v>45685</v>
      </c>
      <c r="B15" t="s">
        <v>40</v>
      </c>
      <c r="E15" t="s">
        <v>102</v>
      </c>
      <c r="F15" t="s">
        <v>103</v>
      </c>
      <c r="G15" t="s">
        <v>88</v>
      </c>
      <c r="H15" t="s">
        <v>79</v>
      </c>
    </row>
    <row r="16" spans="1:8">
      <c r="A16" s="50">
        <v>45687</v>
      </c>
      <c r="B16" t="s">
        <v>18</v>
      </c>
      <c r="E16" t="s">
        <v>100</v>
      </c>
      <c r="F16" t="s">
        <v>84</v>
      </c>
      <c r="G16" t="s">
        <v>75</v>
      </c>
      <c r="H16" t="s">
        <v>76</v>
      </c>
    </row>
    <row r="17" spans="1:8">
      <c r="A17" s="50">
        <v>45689</v>
      </c>
      <c r="B17" t="s">
        <v>18</v>
      </c>
      <c r="E17" t="s">
        <v>104</v>
      </c>
      <c r="F17" t="s">
        <v>74</v>
      </c>
      <c r="G17" t="s">
        <v>75</v>
      </c>
      <c r="H17" t="s">
        <v>79</v>
      </c>
    </row>
    <row r="18" spans="1:8">
      <c r="A18" s="50">
        <v>45694</v>
      </c>
      <c r="B18" t="s">
        <v>105</v>
      </c>
      <c r="E18" t="s">
        <v>106</v>
      </c>
      <c r="F18" t="s">
        <v>107</v>
      </c>
      <c r="G18" t="s">
        <v>108</v>
      </c>
      <c r="H18" t="s">
        <v>109</v>
      </c>
    </row>
    <row r="19" spans="1:8">
      <c r="A19" s="50">
        <v>45695</v>
      </c>
      <c r="B19" t="s">
        <v>50</v>
      </c>
      <c r="E19" t="s">
        <v>110</v>
      </c>
      <c r="F19" t="s">
        <v>107</v>
      </c>
      <c r="G19" t="s">
        <v>75</v>
      </c>
      <c r="H19" t="s">
        <v>79</v>
      </c>
    </row>
    <row r="20" spans="1:8">
      <c r="A20" s="50">
        <v>45695</v>
      </c>
      <c r="B20" t="s">
        <v>111</v>
      </c>
      <c r="E20" t="s">
        <v>112</v>
      </c>
      <c r="F20" t="s">
        <v>107</v>
      </c>
      <c r="G20" t="s">
        <v>108</v>
      </c>
      <c r="H20" t="s">
        <v>109</v>
      </c>
    </row>
    <row r="21" spans="1:8">
      <c r="A21" s="50">
        <v>45698</v>
      </c>
      <c r="B21" t="s">
        <v>38</v>
      </c>
      <c r="E21" t="s">
        <v>113</v>
      </c>
      <c r="F21" t="s">
        <v>74</v>
      </c>
      <c r="G21" t="s">
        <v>75</v>
      </c>
      <c r="H21" t="s">
        <v>79</v>
      </c>
    </row>
    <row r="22" spans="1:8">
      <c r="A22" s="50">
        <v>45698</v>
      </c>
      <c r="B22" t="s">
        <v>38</v>
      </c>
      <c r="E22" t="s">
        <v>114</v>
      </c>
      <c r="F22" t="s">
        <v>103</v>
      </c>
      <c r="G22" t="s">
        <v>75</v>
      </c>
      <c r="H22" t="s">
        <v>79</v>
      </c>
    </row>
    <row r="23" spans="1:8">
      <c r="A23" s="50">
        <v>45699</v>
      </c>
      <c r="B23" t="s">
        <v>11</v>
      </c>
      <c r="E23" t="s">
        <v>115</v>
      </c>
      <c r="F23" t="s">
        <v>107</v>
      </c>
      <c r="G23" t="s">
        <v>75</v>
      </c>
      <c r="H23" t="s">
        <v>79</v>
      </c>
    </row>
    <row r="24" spans="1:8">
      <c r="A24" s="50">
        <v>45699</v>
      </c>
      <c r="B24" t="s">
        <v>116</v>
      </c>
      <c r="E24" t="s">
        <v>117</v>
      </c>
      <c r="F24" t="s">
        <v>107</v>
      </c>
      <c r="G24" t="s">
        <v>108</v>
      </c>
      <c r="H24" t="s">
        <v>109</v>
      </c>
    </row>
    <row r="25" spans="1:8">
      <c r="A25" s="50">
        <v>45700</v>
      </c>
      <c r="B25" t="s">
        <v>118</v>
      </c>
      <c r="E25" t="s">
        <v>119</v>
      </c>
      <c r="F25" t="s">
        <v>107</v>
      </c>
      <c r="G25" t="s">
        <v>108</v>
      </c>
      <c r="H25" t="s">
        <v>109</v>
      </c>
    </row>
    <row r="26" spans="1:8">
      <c r="A26" s="50">
        <v>45701</v>
      </c>
      <c r="B26" t="s">
        <v>33</v>
      </c>
      <c r="E26" t="s">
        <v>120</v>
      </c>
      <c r="F26" t="s">
        <v>74</v>
      </c>
      <c r="G26" t="s">
        <v>75</v>
      </c>
      <c r="H26" t="s">
        <v>79</v>
      </c>
    </row>
    <row r="27" spans="1:8">
      <c r="A27" s="50">
        <v>45708</v>
      </c>
      <c r="B27" t="s">
        <v>47</v>
      </c>
      <c r="E27" t="s">
        <v>121</v>
      </c>
      <c r="F27" t="s">
        <v>87</v>
      </c>
      <c r="G27" t="s">
        <v>75</v>
      </c>
      <c r="H27" t="s">
        <v>122</v>
      </c>
    </row>
    <row r="28" spans="1:8">
      <c r="A28" s="50">
        <v>45713</v>
      </c>
      <c r="B28" t="s">
        <v>47</v>
      </c>
      <c r="E28" t="s">
        <v>123</v>
      </c>
      <c r="F28" t="s">
        <v>107</v>
      </c>
      <c r="G28" t="s">
        <v>75</v>
      </c>
      <c r="H28" t="s">
        <v>79</v>
      </c>
    </row>
    <row r="29" spans="1:8">
      <c r="A29" s="50">
        <v>45717</v>
      </c>
      <c r="B29" t="s">
        <v>24</v>
      </c>
      <c r="E29" t="s">
        <v>124</v>
      </c>
      <c r="F29" t="s">
        <v>107</v>
      </c>
      <c r="G29" t="s">
        <v>108</v>
      </c>
      <c r="H29" t="s">
        <v>125</v>
      </c>
    </row>
    <row r="30" spans="1:8">
      <c r="A30" s="50">
        <v>45719</v>
      </c>
      <c r="B30" t="s">
        <v>11</v>
      </c>
      <c r="E30" t="s">
        <v>126</v>
      </c>
      <c r="F30" t="s">
        <v>107</v>
      </c>
      <c r="G30" t="s">
        <v>75</v>
      </c>
      <c r="H30" t="s">
        <v>79</v>
      </c>
    </row>
    <row r="31" spans="1:8">
      <c r="A31" s="50">
        <v>45357</v>
      </c>
      <c r="B31" t="s">
        <v>24</v>
      </c>
      <c r="E31" t="s">
        <v>127</v>
      </c>
      <c r="F31" t="s">
        <v>107</v>
      </c>
      <c r="G31" t="s">
        <v>75</v>
      </c>
      <c r="H31" t="s">
        <v>76</v>
      </c>
    </row>
    <row r="32" spans="1:8">
      <c r="A32" s="50">
        <v>45726</v>
      </c>
      <c r="B32" t="s">
        <v>47</v>
      </c>
      <c r="E32" t="s">
        <v>128</v>
      </c>
      <c r="F32" t="s">
        <v>107</v>
      </c>
      <c r="G32" t="s">
        <v>75</v>
      </c>
      <c r="H32" t="s">
        <v>79</v>
      </c>
    </row>
    <row r="33" spans="1:8">
      <c r="A33" s="50">
        <v>45726</v>
      </c>
      <c r="B33" t="s">
        <v>23</v>
      </c>
      <c r="E33" t="s">
        <v>129</v>
      </c>
      <c r="F33" t="s">
        <v>107</v>
      </c>
      <c r="G33" t="s">
        <v>75</v>
      </c>
      <c r="H33" t="s">
        <v>79</v>
      </c>
    </row>
    <row r="34" spans="1:8">
      <c r="A34" s="50">
        <v>45730</v>
      </c>
      <c r="B34" t="s">
        <v>130</v>
      </c>
      <c r="E34" t="s">
        <v>131</v>
      </c>
      <c r="F34" t="s">
        <v>107</v>
      </c>
      <c r="G34" t="s">
        <v>132</v>
      </c>
      <c r="H34" t="s">
        <v>132</v>
      </c>
    </row>
    <row r="35" spans="1:8">
      <c r="A35" s="50">
        <v>45734</v>
      </c>
      <c r="B35" t="s">
        <v>47</v>
      </c>
      <c r="E35" t="s">
        <v>133</v>
      </c>
      <c r="F35" t="s">
        <v>107</v>
      </c>
      <c r="G35" t="s">
        <v>75</v>
      </c>
      <c r="H35" t="s">
        <v>79</v>
      </c>
    </row>
    <row r="36" spans="1:8">
      <c r="A36" s="50">
        <v>45742</v>
      </c>
      <c r="B36" t="s">
        <v>34</v>
      </c>
      <c r="E36" t="s">
        <v>134</v>
      </c>
      <c r="F36" t="s">
        <v>107</v>
      </c>
      <c r="G36" s="70" t="s">
        <v>75</v>
      </c>
      <c r="H36" t="s">
        <v>76</v>
      </c>
    </row>
    <row r="37" spans="1:8">
      <c r="A37" s="50">
        <v>45690</v>
      </c>
      <c r="B37" t="s">
        <v>40</v>
      </c>
      <c r="E37" t="s">
        <v>135</v>
      </c>
      <c r="F37" t="s">
        <v>107</v>
      </c>
      <c r="G37" t="s">
        <v>136</v>
      </c>
      <c r="H37" t="s">
        <v>79</v>
      </c>
    </row>
    <row r="38" spans="1:8">
      <c r="A38" s="50">
        <v>45751</v>
      </c>
      <c r="B38" t="s">
        <v>23</v>
      </c>
      <c r="E38" t="s">
        <v>137</v>
      </c>
      <c r="F38" t="s">
        <v>107</v>
      </c>
      <c r="G38" t="s">
        <v>136</v>
      </c>
      <c r="H38" t="s">
        <v>79</v>
      </c>
    </row>
    <row r="39" spans="1:8">
      <c r="A39" s="50">
        <v>45754</v>
      </c>
      <c r="B39" t="s">
        <v>40</v>
      </c>
      <c r="E39" t="s">
        <v>138</v>
      </c>
      <c r="F39" t="s">
        <v>107</v>
      </c>
      <c r="G39" t="s">
        <v>136</v>
      </c>
      <c r="H39" t="s">
        <v>79</v>
      </c>
    </row>
    <row r="40" spans="1:8">
      <c r="A40" s="50">
        <v>45754</v>
      </c>
      <c r="B40" t="s">
        <v>47</v>
      </c>
      <c r="E40" t="s">
        <v>139</v>
      </c>
      <c r="F40" t="s">
        <v>107</v>
      </c>
      <c r="G40" t="s">
        <v>136</v>
      </c>
      <c r="H40" t="s">
        <v>140</v>
      </c>
    </row>
    <row r="41" spans="1:8">
      <c r="A41" s="50">
        <v>45755</v>
      </c>
      <c r="B41" t="s">
        <v>26</v>
      </c>
      <c r="E41" t="s">
        <v>141</v>
      </c>
      <c r="F41" t="s">
        <v>142</v>
      </c>
      <c r="G41" t="s">
        <v>136</v>
      </c>
      <c r="H41" t="s">
        <v>140</v>
      </c>
    </row>
    <row r="42" spans="1:8">
      <c r="A42" s="50">
        <v>45755</v>
      </c>
      <c r="B42" t="s">
        <v>27</v>
      </c>
      <c r="E42" t="s">
        <v>143</v>
      </c>
      <c r="F42" t="s">
        <v>107</v>
      </c>
      <c r="G42" t="s">
        <v>75</v>
      </c>
      <c r="H42" t="s">
        <v>79</v>
      </c>
    </row>
    <row r="43" spans="1:8">
      <c r="A43" s="50">
        <v>45755</v>
      </c>
      <c r="B43" t="s">
        <v>99</v>
      </c>
      <c r="E43" t="s">
        <v>144</v>
      </c>
      <c r="F43" t="s">
        <v>103</v>
      </c>
      <c r="G43" t="s">
        <v>132</v>
      </c>
      <c r="H43" t="s">
        <v>132</v>
      </c>
    </row>
    <row r="44" spans="1:8">
      <c r="A44" s="50">
        <v>45769</v>
      </c>
      <c r="B44" t="s">
        <v>28</v>
      </c>
      <c r="E44" t="s">
        <v>145</v>
      </c>
      <c r="F44" t="s">
        <v>107</v>
      </c>
      <c r="G44" t="s">
        <v>136</v>
      </c>
      <c r="H44" t="s">
        <v>79</v>
      </c>
    </row>
    <row r="45" spans="1:8">
      <c r="A45" s="50">
        <v>45770</v>
      </c>
      <c r="B45" t="s">
        <v>28</v>
      </c>
      <c r="E45" t="s">
        <v>146</v>
      </c>
      <c r="F45" t="s">
        <v>107</v>
      </c>
      <c r="G45" t="s">
        <v>136</v>
      </c>
      <c r="H45" t="s">
        <v>79</v>
      </c>
    </row>
    <row r="46" spans="1:8">
      <c r="A46" s="50">
        <v>45771</v>
      </c>
      <c r="B46" t="s">
        <v>27</v>
      </c>
      <c r="E46" t="s">
        <v>147</v>
      </c>
      <c r="F46" t="s">
        <v>107</v>
      </c>
      <c r="G46" t="s">
        <v>132</v>
      </c>
      <c r="H46" t="s">
        <v>140</v>
      </c>
    </row>
    <row r="47" spans="1:8">
      <c r="A47" s="50">
        <v>45771</v>
      </c>
      <c r="B47" t="s">
        <v>39</v>
      </c>
      <c r="E47" t="s">
        <v>148</v>
      </c>
      <c r="F47" t="s">
        <v>107</v>
      </c>
      <c r="G47" t="s">
        <v>136</v>
      </c>
      <c r="H47" t="s">
        <v>140</v>
      </c>
    </row>
    <row r="48" spans="1:8">
      <c r="A48" s="50">
        <v>45802</v>
      </c>
      <c r="B48" t="s">
        <v>39</v>
      </c>
      <c r="E48" t="s">
        <v>149</v>
      </c>
      <c r="F48" t="s">
        <v>107</v>
      </c>
      <c r="G48" t="s">
        <v>75</v>
      </c>
      <c r="H48" t="s">
        <v>79</v>
      </c>
    </row>
    <row r="49" spans="1:8">
      <c r="A49" s="50">
        <v>45775</v>
      </c>
      <c r="B49" t="s">
        <v>18</v>
      </c>
      <c r="E49" t="s">
        <v>150</v>
      </c>
      <c r="F49" t="s">
        <v>107</v>
      </c>
      <c r="G49" t="s">
        <v>136</v>
      </c>
      <c r="H49" t="s">
        <v>79</v>
      </c>
    </row>
    <row r="50" spans="1:8">
      <c r="A50" s="50">
        <v>45776</v>
      </c>
      <c r="B50" t="s">
        <v>11</v>
      </c>
      <c r="E50" t="s">
        <v>151</v>
      </c>
      <c r="F50" t="s">
        <v>107</v>
      </c>
      <c r="G50" t="s">
        <v>75</v>
      </c>
      <c r="H50" t="s">
        <v>76</v>
      </c>
    </row>
    <row r="51" spans="1:8">
      <c r="A51" s="50">
        <v>45776</v>
      </c>
      <c r="B51" t="s">
        <v>15</v>
      </c>
      <c r="E51" t="s">
        <v>151</v>
      </c>
      <c r="F51" t="s">
        <v>107</v>
      </c>
      <c r="G51" t="s">
        <v>75</v>
      </c>
      <c r="H51" t="s">
        <v>76</v>
      </c>
    </row>
    <row r="52" spans="1:8">
      <c r="A52" s="50">
        <v>45779</v>
      </c>
      <c r="B52" s="50" t="s">
        <v>45</v>
      </c>
      <c r="C52" t="s">
        <v>152</v>
      </c>
      <c r="D52" t="s">
        <v>153</v>
      </c>
      <c r="E52" t="s">
        <v>154</v>
      </c>
      <c r="F52" t="s">
        <v>155</v>
      </c>
      <c r="G52" t="s">
        <v>132</v>
      </c>
      <c r="H52" t="s">
        <v>156</v>
      </c>
    </row>
    <row r="53" spans="1:8">
      <c r="A53" s="50">
        <v>45779</v>
      </c>
      <c r="B53" t="s">
        <v>11</v>
      </c>
      <c r="E53" t="s">
        <v>157</v>
      </c>
      <c r="F53" t="s">
        <v>158</v>
      </c>
      <c r="G53" t="s">
        <v>136</v>
      </c>
      <c r="H53" t="s">
        <v>79</v>
      </c>
    </row>
    <row r="54" spans="1:8">
      <c r="A54" s="50">
        <v>45780</v>
      </c>
      <c r="B54" t="s">
        <v>11</v>
      </c>
      <c r="E54" t="s">
        <v>159</v>
      </c>
      <c r="F54" t="s">
        <v>158</v>
      </c>
      <c r="G54" t="s">
        <v>75</v>
      </c>
      <c r="H54" t="s">
        <v>79</v>
      </c>
    </row>
    <row r="55" spans="1:8">
      <c r="A55" s="50">
        <v>45780</v>
      </c>
      <c r="B55" t="s">
        <v>28</v>
      </c>
      <c r="C55" t="s">
        <v>160</v>
      </c>
      <c r="D55" t="s">
        <v>153</v>
      </c>
      <c r="E55" t="s">
        <v>161</v>
      </c>
      <c r="F55" t="s">
        <v>107</v>
      </c>
      <c r="G55" t="s">
        <v>162</v>
      </c>
      <c r="H55" t="s">
        <v>163</v>
      </c>
    </row>
    <row r="56" spans="1:8">
      <c r="A56" s="50">
        <v>45782</v>
      </c>
      <c r="B56" t="s">
        <v>27</v>
      </c>
      <c r="E56" t="s">
        <v>164</v>
      </c>
      <c r="F56" t="s">
        <v>107</v>
      </c>
      <c r="G56" t="s">
        <v>75</v>
      </c>
      <c r="H56" t="s">
        <v>79</v>
      </c>
    </row>
    <row r="57" spans="1:8">
      <c r="A57" s="50">
        <v>45783</v>
      </c>
      <c r="B57" t="s">
        <v>49</v>
      </c>
      <c r="E57" t="s">
        <v>165</v>
      </c>
      <c r="F57" t="s">
        <v>107</v>
      </c>
      <c r="G57" t="s">
        <v>75</v>
      </c>
      <c r="H57" t="s">
        <v>79</v>
      </c>
    </row>
    <row r="58" spans="1:8">
      <c r="A58" s="50">
        <v>45815</v>
      </c>
      <c r="B58" t="s">
        <v>62</v>
      </c>
      <c r="E58" t="s">
        <v>166</v>
      </c>
      <c r="F58" t="s">
        <v>107</v>
      </c>
      <c r="G58" t="s">
        <v>75</v>
      </c>
      <c r="H58" t="s">
        <v>79</v>
      </c>
    </row>
    <row r="59" spans="1:8">
      <c r="A59" s="50">
        <v>45847</v>
      </c>
      <c r="B59" t="s">
        <v>40</v>
      </c>
      <c r="E59" t="s">
        <v>151</v>
      </c>
      <c r="F59" t="s">
        <v>107</v>
      </c>
      <c r="G59" t="s">
        <v>75</v>
      </c>
      <c r="H59" t="s">
        <v>76</v>
      </c>
    </row>
    <row r="60" spans="1:8">
      <c r="A60" s="50">
        <v>45789</v>
      </c>
      <c r="B60" t="s">
        <v>47</v>
      </c>
      <c r="E60" t="s">
        <v>167</v>
      </c>
      <c r="F60" t="s">
        <v>168</v>
      </c>
      <c r="G60" t="s">
        <v>75</v>
      </c>
      <c r="H60" t="s">
        <v>79</v>
      </c>
    </row>
    <row r="61" spans="1:8">
      <c r="A61" s="50">
        <v>45789</v>
      </c>
      <c r="B61" t="s">
        <v>23</v>
      </c>
      <c r="E61" t="s">
        <v>169</v>
      </c>
      <c r="F61" t="s">
        <v>170</v>
      </c>
      <c r="G61" t="s">
        <v>75</v>
      </c>
      <c r="H61" t="s">
        <v>79</v>
      </c>
    </row>
    <row r="62" spans="1:8">
      <c r="A62" s="50">
        <v>45789</v>
      </c>
      <c r="B62" t="s">
        <v>18</v>
      </c>
      <c r="E62" t="s">
        <v>171</v>
      </c>
      <c r="F62" t="s">
        <v>170</v>
      </c>
      <c r="G62" t="s">
        <v>136</v>
      </c>
      <c r="H62" t="s">
        <v>140</v>
      </c>
    </row>
    <row r="63" spans="1:8">
      <c r="A63" s="50">
        <v>45790</v>
      </c>
      <c r="B63" t="s">
        <v>47</v>
      </c>
      <c r="E63" t="s">
        <v>172</v>
      </c>
      <c r="F63" t="s">
        <v>107</v>
      </c>
      <c r="G63" t="s">
        <v>136</v>
      </c>
      <c r="H63" t="s">
        <v>132</v>
      </c>
    </row>
    <row r="64" spans="1:8">
      <c r="A64" s="50">
        <v>45791</v>
      </c>
      <c r="B64" t="s">
        <v>99</v>
      </c>
      <c r="E64" t="s">
        <v>173</v>
      </c>
      <c r="F64" t="s">
        <v>107</v>
      </c>
      <c r="G64" t="s">
        <v>75</v>
      </c>
      <c r="H64" t="s">
        <v>79</v>
      </c>
    </row>
    <row r="65" spans="1:8">
      <c r="A65" s="50">
        <v>45793</v>
      </c>
      <c r="B65" t="s">
        <v>40</v>
      </c>
      <c r="E65" t="s">
        <v>151</v>
      </c>
      <c r="F65" t="s">
        <v>107</v>
      </c>
      <c r="G65" t="s">
        <v>75</v>
      </c>
      <c r="H65" t="s">
        <v>76</v>
      </c>
    </row>
    <row r="66" spans="1:8">
      <c r="A66" s="50">
        <v>45793</v>
      </c>
      <c r="B66" t="s">
        <v>61</v>
      </c>
      <c r="E66" t="s">
        <v>151</v>
      </c>
      <c r="F66" t="s">
        <v>107</v>
      </c>
      <c r="G66" t="s">
        <v>75</v>
      </c>
      <c r="H66" t="s">
        <v>76</v>
      </c>
    </row>
    <row r="67" spans="1:8">
      <c r="A67" s="50">
        <v>45799</v>
      </c>
      <c r="B67" t="s">
        <v>49</v>
      </c>
      <c r="E67" t="s">
        <v>174</v>
      </c>
      <c r="F67" t="s">
        <v>107</v>
      </c>
      <c r="G67" t="s">
        <v>75</v>
      </c>
      <c r="H67" t="s">
        <v>76</v>
      </c>
    </row>
    <row r="68" spans="1:8">
      <c r="A68" s="50">
        <v>45799</v>
      </c>
      <c r="B68" t="s">
        <v>62</v>
      </c>
      <c r="F68" t="s">
        <v>107</v>
      </c>
      <c r="G68" t="s">
        <v>75</v>
      </c>
      <c r="H68" t="s">
        <v>76</v>
      </c>
    </row>
    <row r="69" spans="1:8">
      <c r="A69" s="50">
        <v>45804</v>
      </c>
      <c r="B69" t="s">
        <v>23</v>
      </c>
      <c r="E69" t="s">
        <v>175</v>
      </c>
      <c r="F69" t="s">
        <v>107</v>
      </c>
      <c r="G69" t="s">
        <v>75</v>
      </c>
      <c r="H69" t="s">
        <v>79</v>
      </c>
    </row>
    <row r="70" spans="1:8">
      <c r="A70" s="50">
        <v>45804</v>
      </c>
      <c r="B70" t="s">
        <v>27</v>
      </c>
      <c r="F70" t="s">
        <v>107</v>
      </c>
      <c r="G70" t="s">
        <v>75</v>
      </c>
      <c r="H70" t="s">
        <v>79</v>
      </c>
    </row>
    <row r="71" spans="1:8">
      <c r="A71" s="50">
        <v>45804</v>
      </c>
      <c r="B71" t="s">
        <v>39</v>
      </c>
      <c r="E71" t="s">
        <v>176</v>
      </c>
      <c r="F71" t="s">
        <v>107</v>
      </c>
      <c r="G71" t="s">
        <v>75</v>
      </c>
      <c r="H71" t="s">
        <v>79</v>
      </c>
    </row>
    <row r="72" spans="1:8">
      <c r="A72" s="50">
        <v>45811</v>
      </c>
      <c r="B72" t="s">
        <v>34</v>
      </c>
      <c r="E72" t="s">
        <v>177</v>
      </c>
      <c r="F72" t="s">
        <v>107</v>
      </c>
      <c r="G72" t="s">
        <v>75</v>
      </c>
      <c r="H72" t="s">
        <v>79</v>
      </c>
    </row>
    <row r="73" spans="1:8">
      <c r="A73" s="50">
        <v>45812</v>
      </c>
      <c r="B73" t="s">
        <v>178</v>
      </c>
      <c r="E73" t="s">
        <v>179</v>
      </c>
      <c r="F73" t="s">
        <v>107</v>
      </c>
      <c r="G73" t="s">
        <v>180</v>
      </c>
      <c r="H73" t="s">
        <v>132</v>
      </c>
    </row>
    <row r="74" spans="1:8">
      <c r="A74" s="50">
        <v>45817</v>
      </c>
      <c r="B74" t="s">
        <v>34</v>
      </c>
      <c r="E74" t="s">
        <v>181</v>
      </c>
      <c r="F74" t="s">
        <v>107</v>
      </c>
      <c r="G74" t="s">
        <v>136</v>
      </c>
      <c r="H74" t="s">
        <v>140</v>
      </c>
    </row>
    <row r="75" spans="1:8">
      <c r="A75" s="50">
        <v>45817</v>
      </c>
      <c r="B75" t="s">
        <v>33</v>
      </c>
      <c r="E75" t="s">
        <v>182</v>
      </c>
      <c r="F75" t="s">
        <v>107</v>
      </c>
      <c r="G75" t="s">
        <v>183</v>
      </c>
      <c r="H75" t="s">
        <v>140</v>
      </c>
    </row>
    <row r="76" spans="1:8">
      <c r="A76" s="50">
        <v>45818</v>
      </c>
      <c r="B76" t="s">
        <v>99</v>
      </c>
      <c r="E76" t="s">
        <v>184</v>
      </c>
      <c r="F76" t="s">
        <v>185</v>
      </c>
      <c r="G76" t="s">
        <v>136</v>
      </c>
      <c r="H76" t="s">
        <v>79</v>
      </c>
    </row>
    <row r="77" spans="1:8">
      <c r="A77" s="50">
        <v>45818</v>
      </c>
      <c r="B77" t="s">
        <v>11</v>
      </c>
      <c r="E77" t="s">
        <v>186</v>
      </c>
      <c r="F77" t="s">
        <v>107</v>
      </c>
      <c r="G77" t="s">
        <v>132</v>
      </c>
      <c r="H77" t="s">
        <v>140</v>
      </c>
    </row>
    <row r="78" spans="1:8">
      <c r="A78" s="50">
        <v>45819</v>
      </c>
      <c r="B78" t="s">
        <v>49</v>
      </c>
      <c r="E78" t="s">
        <v>187</v>
      </c>
      <c r="F78" t="s">
        <v>107</v>
      </c>
      <c r="G78" t="s">
        <v>75</v>
      </c>
      <c r="H78" t="s">
        <v>79</v>
      </c>
    </row>
    <row r="79" spans="1:8">
      <c r="A79" s="50">
        <v>45819</v>
      </c>
      <c r="B79" t="s">
        <v>44</v>
      </c>
      <c r="E79" t="s">
        <v>188</v>
      </c>
      <c r="F79" t="s">
        <v>107</v>
      </c>
      <c r="G79" t="s">
        <v>75</v>
      </c>
      <c r="H79" t="s">
        <v>79</v>
      </c>
    </row>
    <row r="80" spans="1:8">
      <c r="A80" s="50">
        <v>45819</v>
      </c>
      <c r="B80" t="s">
        <v>99</v>
      </c>
      <c r="E80" t="s">
        <v>189</v>
      </c>
      <c r="F80" t="s">
        <v>107</v>
      </c>
      <c r="G80" t="s">
        <v>75</v>
      </c>
      <c r="H80" t="s">
        <v>79</v>
      </c>
    </row>
    <row r="81" spans="1:8">
      <c r="A81" s="50">
        <v>45821</v>
      </c>
      <c r="B81" t="s">
        <v>43</v>
      </c>
      <c r="E81" t="s">
        <v>190</v>
      </c>
      <c r="F81" t="s">
        <v>185</v>
      </c>
      <c r="G81" t="s">
        <v>75</v>
      </c>
      <c r="H81" t="s">
        <v>79</v>
      </c>
    </row>
    <row r="82" spans="1:8">
      <c r="A82" s="50">
        <v>45820</v>
      </c>
      <c r="B82" t="s">
        <v>23</v>
      </c>
      <c r="E82" t="s">
        <v>191</v>
      </c>
      <c r="F82" t="s">
        <v>185</v>
      </c>
      <c r="G82" t="s">
        <v>132</v>
      </c>
      <c r="H82" t="s">
        <v>140</v>
      </c>
    </row>
    <row r="83" spans="1:8">
      <c r="A83" s="50">
        <v>45824</v>
      </c>
      <c r="B83" t="s">
        <v>18</v>
      </c>
      <c r="E83" t="s">
        <v>192</v>
      </c>
      <c r="F83" t="s">
        <v>107</v>
      </c>
      <c r="G83" t="s">
        <v>75</v>
      </c>
      <c r="H83" t="s">
        <v>79</v>
      </c>
    </row>
    <row r="84" spans="1:8">
      <c r="A84" s="50">
        <v>45824</v>
      </c>
      <c r="B84" t="s">
        <v>43</v>
      </c>
      <c r="E84" t="s">
        <v>193</v>
      </c>
      <c r="F84" t="s">
        <v>185</v>
      </c>
      <c r="G84" t="s">
        <v>75</v>
      </c>
      <c r="H84" t="s">
        <v>194</v>
      </c>
    </row>
    <row r="85" spans="1:8">
      <c r="A85" s="50">
        <v>45825</v>
      </c>
      <c r="B85" t="s">
        <v>47</v>
      </c>
      <c r="E85" t="s">
        <v>195</v>
      </c>
      <c r="F85" t="s">
        <v>107</v>
      </c>
      <c r="G85" t="s">
        <v>132</v>
      </c>
      <c r="H85" t="s">
        <v>140</v>
      </c>
    </row>
    <row r="86" spans="1:8">
      <c r="A86" s="50">
        <v>45825</v>
      </c>
      <c r="B86" t="s">
        <v>11</v>
      </c>
      <c r="E86" t="s">
        <v>196</v>
      </c>
      <c r="F86" t="s">
        <v>185</v>
      </c>
      <c r="G86" t="s">
        <v>75</v>
      </c>
      <c r="H86" t="s">
        <v>79</v>
      </c>
    </row>
    <row r="87" spans="1:8">
      <c r="A87" s="50">
        <v>45826</v>
      </c>
      <c r="B87" t="s">
        <v>34</v>
      </c>
      <c r="E87" t="s">
        <v>197</v>
      </c>
      <c r="F87" t="s">
        <v>107</v>
      </c>
      <c r="G87" t="s">
        <v>75</v>
      </c>
      <c r="H87" t="s">
        <v>79</v>
      </c>
    </row>
    <row r="88" spans="1:8">
      <c r="A88" s="50">
        <v>45826</v>
      </c>
      <c r="B88" t="s">
        <v>49</v>
      </c>
      <c r="E88" t="s">
        <v>198</v>
      </c>
      <c r="F88" t="s">
        <v>107</v>
      </c>
      <c r="G88" t="s">
        <v>132</v>
      </c>
      <c r="H88" t="s">
        <v>140</v>
      </c>
    </row>
    <row r="89" spans="1:8">
      <c r="A89" s="50">
        <v>45827</v>
      </c>
      <c r="B89" t="s">
        <v>49</v>
      </c>
      <c r="E89" t="s">
        <v>199</v>
      </c>
      <c r="F89" t="s">
        <v>107</v>
      </c>
      <c r="G89" t="s">
        <v>75</v>
      </c>
      <c r="H89" t="s">
        <v>79</v>
      </c>
    </row>
    <row r="90" spans="1:8">
      <c r="A90" s="50">
        <v>45828</v>
      </c>
      <c r="B90" t="s">
        <v>44</v>
      </c>
      <c r="E90" t="s">
        <v>200</v>
      </c>
      <c r="F90" t="s">
        <v>201</v>
      </c>
      <c r="G90" t="s">
        <v>132</v>
      </c>
      <c r="H90" t="s">
        <v>132</v>
      </c>
    </row>
    <row r="91" spans="1:8">
      <c r="A91" s="50">
        <v>45831</v>
      </c>
      <c r="B91" t="s">
        <v>44</v>
      </c>
      <c r="E91" t="s">
        <v>202</v>
      </c>
      <c r="F91" t="s">
        <v>107</v>
      </c>
      <c r="G91" t="s">
        <v>132</v>
      </c>
      <c r="H91" t="s">
        <v>140</v>
      </c>
    </row>
    <row r="92" spans="1:8">
      <c r="A92" s="50">
        <v>45831</v>
      </c>
      <c r="B92" t="s">
        <v>33</v>
      </c>
      <c r="E92" t="s">
        <v>203</v>
      </c>
      <c r="F92" t="s">
        <v>204</v>
      </c>
      <c r="G92" t="s">
        <v>75</v>
      </c>
      <c r="H92" t="s">
        <v>79</v>
      </c>
    </row>
    <row r="93" spans="1:8">
      <c r="A93" s="50">
        <v>45835</v>
      </c>
      <c r="B93" t="s">
        <v>61</v>
      </c>
      <c r="E93" t="s">
        <v>205</v>
      </c>
      <c r="F93" t="s">
        <v>206</v>
      </c>
      <c r="G93" t="s">
        <v>132</v>
      </c>
      <c r="H93" t="s">
        <v>140</v>
      </c>
    </row>
    <row r="94" spans="1:8">
      <c r="A94" s="50">
        <v>45838</v>
      </c>
      <c r="B94" t="s">
        <v>39</v>
      </c>
      <c r="E94" t="s">
        <v>207</v>
      </c>
      <c r="F94" t="s">
        <v>107</v>
      </c>
      <c r="G94" t="s">
        <v>75</v>
      </c>
      <c r="H94" t="s">
        <v>208</v>
      </c>
    </row>
    <row r="95" spans="1:8">
      <c r="A95" s="50">
        <v>45838</v>
      </c>
      <c r="B95" t="s">
        <v>62</v>
      </c>
      <c r="E95" t="s">
        <v>209</v>
      </c>
      <c r="F95" t="s">
        <v>107</v>
      </c>
      <c r="G95" t="s">
        <v>136</v>
      </c>
      <c r="H95" t="s">
        <v>140</v>
      </c>
    </row>
    <row r="96" spans="1:8">
      <c r="A96" s="50">
        <v>45838</v>
      </c>
      <c r="B96" t="s">
        <v>62</v>
      </c>
      <c r="E96" t="s">
        <v>210</v>
      </c>
      <c r="F96" t="s">
        <v>107</v>
      </c>
      <c r="G96" t="s">
        <v>211</v>
      </c>
      <c r="H96" t="s">
        <v>79</v>
      </c>
    </row>
    <row r="97" spans="1:8">
      <c r="A97" s="50">
        <v>45839</v>
      </c>
      <c r="B97" t="s">
        <v>11</v>
      </c>
      <c r="E97" t="s">
        <v>212</v>
      </c>
      <c r="F97" t="s">
        <v>107</v>
      </c>
      <c r="G97" t="s">
        <v>132</v>
      </c>
      <c r="H97" t="s">
        <v>132</v>
      </c>
    </row>
    <row r="98" spans="1:8">
      <c r="A98" s="50">
        <v>45839</v>
      </c>
      <c r="B98" t="s">
        <v>11</v>
      </c>
      <c r="E98" t="s">
        <v>213</v>
      </c>
      <c r="F98" t="s">
        <v>107</v>
      </c>
      <c r="G98" t="s">
        <v>75</v>
      </c>
      <c r="H98" t="s">
        <v>79</v>
      </c>
    </row>
    <row r="99" spans="1:8">
      <c r="A99" s="50">
        <v>45840</v>
      </c>
      <c r="B99" t="s">
        <v>62</v>
      </c>
      <c r="E99" t="s">
        <v>214</v>
      </c>
      <c r="F99" t="s">
        <v>107</v>
      </c>
      <c r="G99" t="s">
        <v>132</v>
      </c>
      <c r="H99" t="s">
        <v>140</v>
      </c>
    </row>
    <row r="100" spans="1:8">
      <c r="A100" s="50">
        <v>45842</v>
      </c>
      <c r="B100" t="s">
        <v>57</v>
      </c>
      <c r="E100" t="s">
        <v>215</v>
      </c>
      <c r="F100" t="s">
        <v>185</v>
      </c>
      <c r="G100" t="s">
        <v>136</v>
      </c>
      <c r="H100" t="s">
        <v>140</v>
      </c>
    </row>
    <row r="101" spans="1:8">
      <c r="A101" s="50">
        <v>45845</v>
      </c>
      <c r="B101" t="s">
        <v>99</v>
      </c>
      <c r="E101" t="s">
        <v>216</v>
      </c>
      <c r="F101" t="s">
        <v>185</v>
      </c>
      <c r="G101" t="s">
        <v>136</v>
      </c>
      <c r="H101" t="s">
        <v>79</v>
      </c>
    </row>
    <row r="102" spans="1:8">
      <c r="A102" s="50">
        <v>45845</v>
      </c>
      <c r="B102" t="s">
        <v>23</v>
      </c>
      <c r="E102" t="s">
        <v>217</v>
      </c>
      <c r="F102" t="s">
        <v>185</v>
      </c>
      <c r="G102" t="s">
        <v>75</v>
      </c>
      <c r="H102" t="s">
        <v>79</v>
      </c>
    </row>
    <row r="103" spans="1:8">
      <c r="A103" s="50">
        <v>45853</v>
      </c>
      <c r="B103" t="s">
        <v>18</v>
      </c>
      <c r="E103" t="s">
        <v>218</v>
      </c>
      <c r="F103" t="s">
        <v>185</v>
      </c>
      <c r="G103" t="s">
        <v>136</v>
      </c>
      <c r="H103" t="s">
        <v>79</v>
      </c>
    </row>
    <row r="104" spans="1:8">
      <c r="A104" s="50">
        <v>45853</v>
      </c>
      <c r="B104" t="s">
        <v>23</v>
      </c>
      <c r="E104" t="s">
        <v>219</v>
      </c>
      <c r="F104" t="s">
        <v>185</v>
      </c>
      <c r="G104" t="s">
        <v>136</v>
      </c>
      <c r="H104" t="s">
        <v>79</v>
      </c>
    </row>
    <row r="105" spans="1:8">
      <c r="A105" s="50">
        <v>45857</v>
      </c>
      <c r="B105" t="s">
        <v>11</v>
      </c>
      <c r="E105" t="s">
        <v>220</v>
      </c>
      <c r="F105" t="s">
        <v>185</v>
      </c>
      <c r="G105" t="s">
        <v>136</v>
      </c>
      <c r="H105" t="s">
        <v>79</v>
      </c>
    </row>
    <row r="106" spans="1:8">
      <c r="A106" s="50">
        <v>45857</v>
      </c>
      <c r="B106" t="s">
        <v>43</v>
      </c>
      <c r="E106" t="s">
        <v>221</v>
      </c>
      <c r="F106" t="s">
        <v>168</v>
      </c>
      <c r="G106" t="s">
        <v>180</v>
      </c>
      <c r="H106" t="s">
        <v>132</v>
      </c>
    </row>
    <row r="107" spans="1:8">
      <c r="A107" s="50">
        <v>45859</v>
      </c>
      <c r="B107" t="s">
        <v>222</v>
      </c>
      <c r="E107" t="s">
        <v>223</v>
      </c>
      <c r="F107" t="s">
        <v>185</v>
      </c>
      <c r="G107" t="s">
        <v>132</v>
      </c>
      <c r="H107" t="s">
        <v>132</v>
      </c>
    </row>
    <row r="108" spans="1:8">
      <c r="A108" s="50">
        <v>45863</v>
      </c>
      <c r="B108" t="s">
        <v>18</v>
      </c>
      <c r="E108" t="s">
        <v>224</v>
      </c>
      <c r="F108" t="s">
        <v>225</v>
      </c>
      <c r="G108" t="s">
        <v>136</v>
      </c>
      <c r="H108" t="s">
        <v>79</v>
      </c>
    </row>
    <row r="109" spans="1:8">
      <c r="A109" s="50">
        <v>45864</v>
      </c>
      <c r="B109" t="s">
        <v>65</v>
      </c>
      <c r="E109" t="s">
        <v>226</v>
      </c>
      <c r="F109" t="s">
        <v>227</v>
      </c>
      <c r="G109" t="s">
        <v>75</v>
      </c>
      <c r="H109" t="s">
        <v>79</v>
      </c>
    </row>
    <row r="110" spans="1:8">
      <c r="A110" s="50">
        <v>45865</v>
      </c>
      <c r="B110" t="s">
        <v>20</v>
      </c>
      <c r="E110" t="s">
        <v>228</v>
      </c>
      <c r="F110" t="s">
        <v>229</v>
      </c>
      <c r="G110" t="s">
        <v>75</v>
      </c>
      <c r="H110" t="s">
        <v>79</v>
      </c>
    </row>
    <row r="111" spans="1:8">
      <c r="A111" s="50">
        <v>45866</v>
      </c>
      <c r="B111" t="s">
        <v>55</v>
      </c>
      <c r="C111" t="s">
        <v>230</v>
      </c>
      <c r="D111" t="s">
        <v>153</v>
      </c>
      <c r="E111" t="s">
        <v>231</v>
      </c>
      <c r="F111" t="s">
        <v>232</v>
      </c>
      <c r="G111" t="s">
        <v>132</v>
      </c>
      <c r="H111" t="s">
        <v>79</v>
      </c>
    </row>
    <row r="112" spans="1:8">
      <c r="A112" s="50">
        <v>45867</v>
      </c>
      <c r="B112" t="s">
        <v>18</v>
      </c>
      <c r="E112" t="s">
        <v>233</v>
      </c>
      <c r="F112" t="s">
        <v>234</v>
      </c>
      <c r="G112" t="s">
        <v>132</v>
      </c>
      <c r="H112" t="s">
        <v>132</v>
      </c>
    </row>
    <row r="113" spans="1:8">
      <c r="A113" s="50">
        <v>45870</v>
      </c>
      <c r="B113" t="s">
        <v>57</v>
      </c>
      <c r="E113" t="s">
        <v>235</v>
      </c>
      <c r="F113" t="s">
        <v>236</v>
      </c>
      <c r="G113" t="s">
        <v>211</v>
      </c>
      <c r="H113" t="s">
        <v>132</v>
      </c>
    </row>
    <row r="114" spans="1:8">
      <c r="A114" s="50">
        <v>45874</v>
      </c>
      <c r="B114" t="s">
        <v>38</v>
      </c>
      <c r="E114" t="s">
        <v>237</v>
      </c>
      <c r="F114" t="s">
        <v>236</v>
      </c>
      <c r="G114" t="s">
        <v>132</v>
      </c>
      <c r="H114" t="s">
        <v>140</v>
      </c>
    </row>
    <row r="115" spans="1:8">
      <c r="A115" s="50">
        <v>45875</v>
      </c>
      <c r="B115" t="s">
        <v>49</v>
      </c>
      <c r="E115" t="s">
        <v>238</v>
      </c>
      <c r="F115" t="s">
        <v>227</v>
      </c>
      <c r="G115" t="s">
        <v>75</v>
      </c>
      <c r="H115" t="s">
        <v>79</v>
      </c>
    </row>
    <row r="116" spans="1:8">
      <c r="A116" s="50">
        <v>45875</v>
      </c>
      <c r="B116" t="s">
        <v>20</v>
      </c>
      <c r="E116" t="s">
        <v>239</v>
      </c>
      <c r="F116" t="s">
        <v>225</v>
      </c>
      <c r="G116" t="s">
        <v>132</v>
      </c>
      <c r="H116" t="s">
        <v>140</v>
      </c>
    </row>
    <row r="117" spans="1:8">
      <c r="A117" s="50">
        <v>45881</v>
      </c>
      <c r="B117" t="s">
        <v>49</v>
      </c>
      <c r="E117" t="s">
        <v>240</v>
      </c>
      <c r="F117" t="s">
        <v>241</v>
      </c>
      <c r="G117" t="s">
        <v>75</v>
      </c>
      <c r="H117" t="s">
        <v>79</v>
      </c>
    </row>
    <row r="118" spans="1:8">
      <c r="A118" s="50">
        <v>45882</v>
      </c>
      <c r="B118" t="s">
        <v>222</v>
      </c>
      <c r="E118" t="s">
        <v>242</v>
      </c>
      <c r="F118" t="s">
        <v>155</v>
      </c>
      <c r="G118" t="s">
        <v>132</v>
      </c>
      <c r="H118" t="s">
        <v>132</v>
      </c>
    </row>
    <row r="119" spans="1:8">
      <c r="A119" s="50">
        <v>45882</v>
      </c>
      <c r="B119" t="s">
        <v>18</v>
      </c>
      <c r="E119" t="s">
        <v>243</v>
      </c>
      <c r="F119" t="s">
        <v>225</v>
      </c>
      <c r="G119" t="s">
        <v>244</v>
      </c>
      <c r="H119" t="s">
        <v>245</v>
      </c>
    </row>
    <row r="120" spans="1:8">
      <c r="A120" s="50">
        <v>45518</v>
      </c>
      <c r="B120" t="s">
        <v>20</v>
      </c>
      <c r="E120" t="s">
        <v>246</v>
      </c>
      <c r="F120" t="s">
        <v>81</v>
      </c>
      <c r="G120" t="s">
        <v>75</v>
      </c>
      <c r="H120" t="s">
        <v>82</v>
      </c>
    </row>
    <row r="121" spans="1:8">
      <c r="A121" s="103" t="s">
        <v>247</v>
      </c>
      <c r="B121" t="s">
        <v>20</v>
      </c>
      <c r="E121" t="s">
        <v>248</v>
      </c>
      <c r="F121" t="s">
        <v>225</v>
      </c>
      <c r="G121" t="s">
        <v>244</v>
      </c>
      <c r="H121" t="s">
        <v>245</v>
      </c>
    </row>
    <row r="122" spans="1:8">
      <c r="A122" s="103" t="s">
        <v>247</v>
      </c>
      <c r="B122" t="s">
        <v>249</v>
      </c>
      <c r="E122" t="s">
        <v>250</v>
      </c>
      <c r="F122" t="s">
        <v>251</v>
      </c>
      <c r="G122" t="s">
        <v>244</v>
      </c>
      <c r="H122" t="s">
        <v>245</v>
      </c>
    </row>
    <row r="123" spans="1:8">
      <c r="A123" s="103" t="s">
        <v>247</v>
      </c>
      <c r="B123" t="s">
        <v>249</v>
      </c>
      <c r="E123" t="s">
        <v>252</v>
      </c>
      <c r="F123" t="s">
        <v>225</v>
      </c>
      <c r="G123" t="s">
        <v>132</v>
      </c>
      <c r="H123" t="s">
        <v>140</v>
      </c>
    </row>
    <row r="124" spans="1:8">
      <c r="A124" s="50">
        <v>45891</v>
      </c>
      <c r="B124" t="s">
        <v>23</v>
      </c>
      <c r="E124" t="s">
        <v>253</v>
      </c>
      <c r="F124" t="s">
        <v>155</v>
      </c>
      <c r="G124" t="s">
        <v>132</v>
      </c>
      <c r="H124" t="s">
        <v>132</v>
      </c>
    </row>
    <row r="125" spans="1:8">
      <c r="A125" s="50">
        <v>45892</v>
      </c>
      <c r="B125" t="s">
        <v>18</v>
      </c>
      <c r="E125" t="s">
        <v>254</v>
      </c>
      <c r="F125" t="s">
        <v>225</v>
      </c>
      <c r="G125" t="s">
        <v>244</v>
      </c>
      <c r="H125" t="s">
        <v>245</v>
      </c>
    </row>
    <row r="126" spans="1:8">
      <c r="A126" s="50">
        <v>45892</v>
      </c>
      <c r="B126" t="s">
        <v>23</v>
      </c>
      <c r="E126" t="s">
        <v>255</v>
      </c>
      <c r="F126" t="s">
        <v>225</v>
      </c>
      <c r="G126" t="s">
        <v>132</v>
      </c>
      <c r="H126" t="s">
        <v>140</v>
      </c>
    </row>
    <row r="127" spans="1:8">
      <c r="A127" s="50">
        <v>45893</v>
      </c>
      <c r="B127" t="s">
        <v>57</v>
      </c>
      <c r="E127" t="s">
        <v>256</v>
      </c>
      <c r="F127" t="s">
        <v>257</v>
      </c>
      <c r="G127" t="s">
        <v>258</v>
      </c>
      <c r="H127" t="s">
        <v>132</v>
      </c>
    </row>
    <row r="128" spans="1:8">
      <c r="A128" s="50">
        <v>45894</v>
      </c>
      <c r="B128" t="s">
        <v>20</v>
      </c>
      <c r="E128" t="s">
        <v>259</v>
      </c>
      <c r="F128" t="s">
        <v>225</v>
      </c>
      <c r="G128" t="s">
        <v>244</v>
      </c>
      <c r="H128" t="s">
        <v>245</v>
      </c>
    </row>
    <row r="129" spans="1:8">
      <c r="A129" s="50">
        <v>45895</v>
      </c>
      <c r="B129" t="s">
        <v>62</v>
      </c>
      <c r="E129" t="s">
        <v>260</v>
      </c>
      <c r="F129" t="s">
        <v>225</v>
      </c>
      <c r="G129" t="s">
        <v>244</v>
      </c>
      <c r="H129" t="s">
        <v>245</v>
      </c>
    </row>
    <row r="130" spans="1:8">
      <c r="A130" s="50">
        <v>46992</v>
      </c>
      <c r="B130" t="s">
        <v>57</v>
      </c>
      <c r="E130" t="s">
        <v>261</v>
      </c>
      <c r="F130" t="s">
        <v>225</v>
      </c>
      <c r="G130" t="s">
        <v>244</v>
      </c>
      <c r="H130" t="s">
        <v>245</v>
      </c>
    </row>
    <row r="131" spans="1:8">
      <c r="A131" s="50">
        <v>45898</v>
      </c>
      <c r="B131" t="s">
        <v>43</v>
      </c>
      <c r="E131" t="s">
        <v>262</v>
      </c>
      <c r="F131" t="s">
        <v>263</v>
      </c>
      <c r="G131" t="s">
        <v>244</v>
      </c>
      <c r="H131" t="s">
        <v>245</v>
      </c>
    </row>
    <row r="132" spans="1:8">
      <c r="A132" s="50">
        <v>45898</v>
      </c>
      <c r="B132" t="s">
        <v>59</v>
      </c>
      <c r="C132" t="s">
        <v>264</v>
      </c>
      <c r="D132" t="s">
        <v>153</v>
      </c>
      <c r="E132" t="s">
        <v>265</v>
      </c>
      <c r="F132" t="s">
        <v>266</v>
      </c>
      <c r="G132" t="s">
        <v>244</v>
      </c>
      <c r="H132" t="s">
        <v>245</v>
      </c>
    </row>
    <row r="133" spans="1:8">
      <c r="A133" s="50">
        <v>45899</v>
      </c>
      <c r="B133" t="s">
        <v>23</v>
      </c>
      <c r="E133" t="s">
        <v>267</v>
      </c>
      <c r="F133" t="s">
        <v>225</v>
      </c>
      <c r="G133" t="s">
        <v>244</v>
      </c>
      <c r="H133" t="s">
        <v>245</v>
      </c>
    </row>
    <row r="134" spans="1:8">
      <c r="A134" s="50">
        <v>45901</v>
      </c>
      <c r="B134" t="s">
        <v>43</v>
      </c>
      <c r="E134" t="s">
        <v>268</v>
      </c>
      <c r="F134" t="s">
        <v>168</v>
      </c>
      <c r="G134" t="s">
        <v>269</v>
      </c>
      <c r="H134" t="s">
        <v>270</v>
      </c>
    </row>
    <row r="135" spans="1:8">
      <c r="A135" s="50">
        <v>45902</v>
      </c>
      <c r="B135" t="s">
        <v>40</v>
      </c>
      <c r="E135" t="s">
        <v>271</v>
      </c>
      <c r="F135" t="s">
        <v>225</v>
      </c>
      <c r="G135" t="s">
        <v>244</v>
      </c>
      <c r="H135" t="s">
        <v>245</v>
      </c>
    </row>
    <row r="136" spans="1:8">
      <c r="A136" s="50">
        <v>45903</v>
      </c>
      <c r="B136" t="s">
        <v>26</v>
      </c>
      <c r="E136" t="s">
        <v>272</v>
      </c>
      <c r="F136" t="s">
        <v>225</v>
      </c>
      <c r="G136" t="s">
        <v>244</v>
      </c>
      <c r="H136" t="s">
        <v>245</v>
      </c>
    </row>
    <row r="137" spans="1:8">
      <c r="A137" s="50">
        <v>45903</v>
      </c>
      <c r="B137" t="s">
        <v>52</v>
      </c>
      <c r="E137" t="s">
        <v>273</v>
      </c>
      <c r="F137" t="s">
        <v>266</v>
      </c>
      <c r="G137" t="s">
        <v>244</v>
      </c>
      <c r="H137" t="s">
        <v>245</v>
      </c>
    </row>
    <row r="138" spans="1:8">
      <c r="A138" s="50">
        <v>45904</v>
      </c>
      <c r="B138" t="s">
        <v>23</v>
      </c>
      <c r="E138" t="s">
        <v>274</v>
      </c>
      <c r="F138" t="s">
        <v>225</v>
      </c>
      <c r="G138" t="s">
        <v>132</v>
      </c>
      <c r="H138" t="s">
        <v>270</v>
      </c>
    </row>
    <row r="139" spans="1:8">
      <c r="A139" s="50">
        <v>45904</v>
      </c>
      <c r="B139" t="s">
        <v>38</v>
      </c>
      <c r="E139" t="s">
        <v>275</v>
      </c>
      <c r="F139" t="s">
        <v>225</v>
      </c>
      <c r="G139" t="s">
        <v>276</v>
      </c>
      <c r="H139" t="s">
        <v>277</v>
      </c>
    </row>
    <row r="140" spans="1:8">
      <c r="A140" s="50">
        <v>45905</v>
      </c>
      <c r="B140" t="s">
        <v>49</v>
      </c>
      <c r="E140" t="s">
        <v>278</v>
      </c>
      <c r="F140" t="s">
        <v>225</v>
      </c>
      <c r="G140" t="s">
        <v>279</v>
      </c>
      <c r="H140" t="s">
        <v>245</v>
      </c>
    </row>
    <row r="141" spans="1:8">
      <c r="A141" s="50">
        <v>45908</v>
      </c>
      <c r="B141" t="s">
        <v>38</v>
      </c>
      <c r="E141" t="s">
        <v>280</v>
      </c>
      <c r="F141" t="s">
        <v>225</v>
      </c>
      <c r="G141" t="s">
        <v>244</v>
      </c>
      <c r="H141" t="s">
        <v>245</v>
      </c>
    </row>
    <row r="142" spans="1:8">
      <c r="A142" s="50">
        <v>45909</v>
      </c>
      <c r="B142" t="s">
        <v>222</v>
      </c>
      <c r="E142" t="s">
        <v>281</v>
      </c>
      <c r="F142" t="s">
        <v>155</v>
      </c>
      <c r="G142" t="s">
        <v>132</v>
      </c>
      <c r="H142" t="s">
        <v>132</v>
      </c>
    </row>
    <row r="143" spans="1:8">
      <c r="A143" s="50">
        <v>45910</v>
      </c>
      <c r="B143" t="s">
        <v>222</v>
      </c>
      <c r="E143" t="s">
        <v>282</v>
      </c>
      <c r="F143" t="s">
        <v>155</v>
      </c>
      <c r="G143" t="s">
        <v>132</v>
      </c>
      <c r="H143" t="s">
        <v>132</v>
      </c>
    </row>
    <row r="144" spans="1:8">
      <c r="A144" s="50">
        <v>45910</v>
      </c>
      <c r="B144" t="s">
        <v>39</v>
      </c>
      <c r="E144" t="s">
        <v>283</v>
      </c>
      <c r="F144" t="s">
        <v>225</v>
      </c>
      <c r="G144" t="s">
        <v>284</v>
      </c>
      <c r="H144" t="s">
        <v>285</v>
      </c>
    </row>
    <row r="145" spans="1:8">
      <c r="A145" s="50">
        <v>45911</v>
      </c>
      <c r="B145" t="s">
        <v>286</v>
      </c>
      <c r="E145" t="s">
        <v>287</v>
      </c>
      <c r="F145" t="s">
        <v>155</v>
      </c>
      <c r="G145" t="s">
        <v>132</v>
      </c>
      <c r="H145" t="s">
        <v>132</v>
      </c>
    </row>
    <row r="146" spans="1:8">
      <c r="A146" s="50">
        <v>45912</v>
      </c>
      <c r="B146" t="s">
        <v>27</v>
      </c>
      <c r="E146" t="s">
        <v>288</v>
      </c>
      <c r="F146" t="s">
        <v>225</v>
      </c>
      <c r="G146" t="s">
        <v>289</v>
      </c>
      <c r="H146" t="s">
        <v>285</v>
      </c>
    </row>
    <row r="147" spans="1:8">
      <c r="A147" s="50">
        <v>45912</v>
      </c>
      <c r="B147" t="s">
        <v>11</v>
      </c>
      <c r="E147" t="s">
        <v>290</v>
      </c>
      <c r="F147" t="s">
        <v>225</v>
      </c>
      <c r="G147" t="s">
        <v>289</v>
      </c>
      <c r="H147" t="s">
        <v>291</v>
      </c>
    </row>
    <row r="148" spans="1:8">
      <c r="A148" s="50">
        <v>45913</v>
      </c>
      <c r="B148" t="s">
        <v>11</v>
      </c>
      <c r="E148" t="s">
        <v>292</v>
      </c>
      <c r="F148" t="s">
        <v>225</v>
      </c>
      <c r="G148" t="s">
        <v>293</v>
      </c>
      <c r="H148" t="s">
        <v>79</v>
      </c>
    </row>
    <row r="149" spans="1:8">
      <c r="A149" s="50">
        <v>45916</v>
      </c>
      <c r="B149" t="s">
        <v>27</v>
      </c>
      <c r="C149" t="s">
        <v>294</v>
      </c>
      <c r="D149" t="s">
        <v>153</v>
      </c>
      <c r="E149" t="s">
        <v>295</v>
      </c>
      <c r="F149" t="s">
        <v>225</v>
      </c>
      <c r="G149" t="s">
        <v>289</v>
      </c>
      <c r="H149" t="s">
        <v>285</v>
      </c>
    </row>
    <row r="150" spans="1:8">
      <c r="A150" s="50">
        <v>45923</v>
      </c>
      <c r="B150" t="s">
        <v>23</v>
      </c>
      <c r="E150" t="s">
        <v>296</v>
      </c>
      <c r="F150" t="s">
        <v>225</v>
      </c>
      <c r="G150" t="s">
        <v>293</v>
      </c>
      <c r="H150" t="s">
        <v>79</v>
      </c>
    </row>
    <row r="151" spans="1:8">
      <c r="A151" s="50">
        <v>45923</v>
      </c>
      <c r="B151" t="s">
        <v>26</v>
      </c>
      <c r="E151" t="s">
        <v>297</v>
      </c>
      <c r="F151" t="s">
        <v>298</v>
      </c>
      <c r="G151" t="s">
        <v>293</v>
      </c>
      <c r="H151" t="s">
        <v>79</v>
      </c>
    </row>
    <row r="152" spans="1:8">
      <c r="A152" s="50">
        <v>45924</v>
      </c>
      <c r="B152" t="s">
        <v>18</v>
      </c>
      <c r="E152" t="s">
        <v>299</v>
      </c>
      <c r="F152" t="s">
        <v>225</v>
      </c>
      <c r="G152" t="s">
        <v>289</v>
      </c>
      <c r="H152" t="s">
        <v>285</v>
      </c>
    </row>
    <row r="153" spans="1:8">
      <c r="A153" s="50">
        <v>45924</v>
      </c>
      <c r="B153" t="s">
        <v>222</v>
      </c>
      <c r="E153" t="s">
        <v>300</v>
      </c>
      <c r="F153" t="s">
        <v>155</v>
      </c>
      <c r="G153" t="s">
        <v>132</v>
      </c>
      <c r="H153" t="s">
        <v>132</v>
      </c>
    </row>
    <row r="154" spans="1:8">
      <c r="A154" s="50">
        <v>45924</v>
      </c>
      <c r="B154" t="s">
        <v>23</v>
      </c>
      <c r="E154" t="s">
        <v>301</v>
      </c>
      <c r="F154" t="s">
        <v>225</v>
      </c>
      <c r="G154" t="s">
        <v>293</v>
      </c>
      <c r="H154" t="s">
        <v>79</v>
      </c>
    </row>
    <row r="155" spans="1:8">
      <c r="A155" s="50">
        <v>45925</v>
      </c>
      <c r="B155" t="s">
        <v>33</v>
      </c>
      <c r="E155" t="s">
        <v>302</v>
      </c>
      <c r="F155" t="s">
        <v>225</v>
      </c>
      <c r="G155" t="s">
        <v>293</v>
      </c>
      <c r="H155" t="s">
        <v>79</v>
      </c>
    </row>
    <row r="156" spans="1:8">
      <c r="A156" s="50">
        <v>45927</v>
      </c>
      <c r="B156" t="s">
        <v>65</v>
      </c>
      <c r="E156" t="s">
        <v>303</v>
      </c>
      <c r="F156" t="s">
        <v>304</v>
      </c>
      <c r="G156" t="s">
        <v>293</v>
      </c>
      <c r="H156" t="s">
        <v>79</v>
      </c>
    </row>
    <row r="157" spans="1:8">
      <c r="A157" s="50">
        <v>45929</v>
      </c>
      <c r="B157" t="s">
        <v>49</v>
      </c>
      <c r="E157" t="s">
        <v>305</v>
      </c>
      <c r="F157" t="s">
        <v>304</v>
      </c>
      <c r="G157" t="s">
        <v>293</v>
      </c>
      <c r="H157" t="s">
        <v>79</v>
      </c>
    </row>
    <row r="158" spans="1:8">
      <c r="A158" s="50">
        <v>45931</v>
      </c>
      <c r="B158" t="s">
        <v>34</v>
      </c>
      <c r="E158" t="s">
        <v>306</v>
      </c>
      <c r="F158" t="s">
        <v>304</v>
      </c>
      <c r="G158" t="s">
        <v>293</v>
      </c>
      <c r="H158" t="s">
        <v>79</v>
      </c>
    </row>
    <row r="159" spans="1:8">
      <c r="A159" s="50">
        <v>45944</v>
      </c>
      <c r="B159" t="s">
        <v>62</v>
      </c>
      <c r="E159" t="s">
        <v>307</v>
      </c>
      <c r="F159" t="s">
        <v>304</v>
      </c>
      <c r="G159" t="s">
        <v>293</v>
      </c>
      <c r="H159" t="s">
        <v>79</v>
      </c>
    </row>
    <row r="160" spans="1:8">
      <c r="A160" s="50">
        <v>45944</v>
      </c>
      <c r="B160" t="s">
        <v>65</v>
      </c>
      <c r="E160" t="s">
        <v>308</v>
      </c>
      <c r="F160" t="s">
        <v>304</v>
      </c>
      <c r="G160" t="s">
        <v>293</v>
      </c>
      <c r="H160" t="s">
        <v>79</v>
      </c>
    </row>
    <row r="161" spans="1:8">
      <c r="A161" s="50">
        <v>45216</v>
      </c>
      <c r="B161" t="s">
        <v>65</v>
      </c>
      <c r="E161" t="s">
        <v>309</v>
      </c>
      <c r="F161" t="s">
        <v>304</v>
      </c>
      <c r="G161" t="s">
        <v>293</v>
      </c>
      <c r="H161" t="s">
        <v>79</v>
      </c>
    </row>
    <row r="162" spans="1:8">
      <c r="A162" s="50">
        <v>45950</v>
      </c>
      <c r="B162" t="s">
        <v>65</v>
      </c>
      <c r="E162" t="s">
        <v>310</v>
      </c>
      <c r="F162" t="s">
        <v>155</v>
      </c>
      <c r="G162" t="s">
        <v>132</v>
      </c>
      <c r="H162" t="s">
        <v>132</v>
      </c>
    </row>
    <row r="163" spans="1:8">
      <c r="A163" s="50">
        <v>45951</v>
      </c>
      <c r="B163" t="s">
        <v>38</v>
      </c>
      <c r="E163" t="s">
        <v>311</v>
      </c>
      <c r="F163" t="s">
        <v>263</v>
      </c>
      <c r="G163" t="s">
        <v>289</v>
      </c>
      <c r="H163" t="s">
        <v>285</v>
      </c>
    </row>
    <row r="164" spans="1:8">
      <c r="A164" s="50">
        <v>45954</v>
      </c>
      <c r="B164" t="s">
        <v>26</v>
      </c>
      <c r="E164" t="s">
        <v>312</v>
      </c>
      <c r="F164" t="s">
        <v>313</v>
      </c>
      <c r="G164" t="s">
        <v>132</v>
      </c>
      <c r="H164" t="s">
        <v>79</v>
      </c>
    </row>
    <row r="165" spans="1:8">
      <c r="A165" s="50">
        <v>45954</v>
      </c>
      <c r="B165" t="s">
        <v>34</v>
      </c>
      <c r="E165" t="s">
        <v>314</v>
      </c>
      <c r="F165" t="s">
        <v>96</v>
      </c>
      <c r="G165" t="s">
        <v>79</v>
      </c>
      <c r="H165" t="s">
        <v>79</v>
      </c>
    </row>
    <row r="166" spans="1:8">
      <c r="A166" s="50">
        <v>45959</v>
      </c>
      <c r="B166" t="s">
        <v>11</v>
      </c>
      <c r="E166" t="s">
        <v>315</v>
      </c>
      <c r="F166" t="s">
        <v>155</v>
      </c>
      <c r="G166" t="s">
        <v>316</v>
      </c>
      <c r="H166" t="s">
        <v>316</v>
      </c>
    </row>
    <row r="167" spans="1:8">
      <c r="A167" s="50">
        <v>45965</v>
      </c>
      <c r="B167" t="s">
        <v>39</v>
      </c>
      <c r="E167" t="s">
        <v>317</v>
      </c>
      <c r="F167" t="s">
        <v>263</v>
      </c>
      <c r="G167" t="s">
        <v>289</v>
      </c>
      <c r="H167" t="s">
        <v>285</v>
      </c>
    </row>
    <row r="168" spans="1:8">
      <c r="A168" s="50">
        <v>45965</v>
      </c>
      <c r="B168" t="s">
        <v>26</v>
      </c>
      <c r="E168" t="s">
        <v>318</v>
      </c>
      <c r="F168" t="s">
        <v>225</v>
      </c>
      <c r="G168" t="s">
        <v>289</v>
      </c>
      <c r="H168" t="s">
        <v>285</v>
      </c>
    </row>
    <row r="169" spans="1:8">
      <c r="A169" s="50">
        <v>45973</v>
      </c>
      <c r="B169" t="s">
        <v>23</v>
      </c>
      <c r="E169" t="s">
        <v>319</v>
      </c>
      <c r="F169" t="s">
        <v>225</v>
      </c>
      <c r="G169" t="s">
        <v>289</v>
      </c>
      <c r="H169" t="s">
        <v>285</v>
      </c>
    </row>
    <row r="170" spans="1:8">
      <c r="A170" s="50">
        <v>45974</v>
      </c>
      <c r="B170" t="s">
        <v>47</v>
      </c>
      <c r="E170" t="s">
        <v>320</v>
      </c>
      <c r="F170" t="s">
        <v>225</v>
      </c>
      <c r="G170" t="s">
        <v>289</v>
      </c>
      <c r="H170" t="s">
        <v>270</v>
      </c>
    </row>
    <row r="171" spans="1:8">
      <c r="A171" s="50">
        <v>45975</v>
      </c>
      <c r="B171" t="s">
        <v>13</v>
      </c>
      <c r="E171" t="s">
        <v>321</v>
      </c>
      <c r="F171" t="s">
        <v>225</v>
      </c>
      <c r="G171" t="s">
        <v>289</v>
      </c>
      <c r="H171" t="s">
        <v>270</v>
      </c>
    </row>
    <row r="172" spans="1:8">
      <c r="A172" s="50">
        <v>45976</v>
      </c>
      <c r="B172" t="s">
        <v>11</v>
      </c>
      <c r="E172" t="s">
        <v>322</v>
      </c>
      <c r="F172" t="s">
        <v>225</v>
      </c>
      <c r="G172" t="s">
        <v>289</v>
      </c>
      <c r="H172" t="s">
        <v>270</v>
      </c>
    </row>
    <row r="173" spans="1:8">
      <c r="A173" s="50">
        <v>45978</v>
      </c>
      <c r="B173" t="s">
        <v>24</v>
      </c>
      <c r="E173" t="s">
        <v>323</v>
      </c>
      <c r="F173" t="s">
        <v>225</v>
      </c>
      <c r="G173" t="s">
        <v>289</v>
      </c>
      <c r="H173" t="s">
        <v>285</v>
      </c>
    </row>
    <row r="174" spans="1:8">
      <c r="A174" s="50">
        <v>45980</v>
      </c>
      <c r="B174" t="s">
        <v>24</v>
      </c>
      <c r="E174" t="s">
        <v>324</v>
      </c>
      <c r="F174" t="s">
        <v>225</v>
      </c>
      <c r="G174" t="s">
        <v>132</v>
      </c>
      <c r="H174" t="s">
        <v>132</v>
      </c>
    </row>
    <row r="175" spans="1:8">
      <c r="A175" s="50">
        <v>45982</v>
      </c>
      <c r="B175" t="s">
        <v>24</v>
      </c>
      <c r="E175" t="s">
        <v>325</v>
      </c>
      <c r="F175" t="s">
        <v>225</v>
      </c>
      <c r="G175" t="s">
        <v>132</v>
      </c>
      <c r="H175" t="s">
        <v>270</v>
      </c>
    </row>
    <row r="176" spans="1:8">
      <c r="A176" s="50">
        <v>45983</v>
      </c>
      <c r="B176" t="s">
        <v>35</v>
      </c>
      <c r="E176" t="s">
        <v>326</v>
      </c>
      <c r="F176" t="s">
        <v>155</v>
      </c>
      <c r="G176" t="s">
        <v>258</v>
      </c>
      <c r="H176" t="s">
        <v>327</v>
      </c>
    </row>
    <row r="177" spans="1:8">
      <c r="A177" s="50">
        <v>45984</v>
      </c>
      <c r="B177" t="s">
        <v>33</v>
      </c>
      <c r="E177" t="s">
        <v>328</v>
      </c>
      <c r="F177" t="s">
        <v>155</v>
      </c>
      <c r="G177" t="s">
        <v>155</v>
      </c>
      <c r="H177" t="s">
        <v>329</v>
      </c>
    </row>
    <row r="178" spans="1:8">
      <c r="A178" s="50">
        <v>45985</v>
      </c>
      <c r="B178" t="s">
        <v>33</v>
      </c>
      <c r="E178" t="s">
        <v>330</v>
      </c>
      <c r="F178" t="s">
        <v>225</v>
      </c>
      <c r="G178" t="s">
        <v>132</v>
      </c>
      <c r="H178" t="s">
        <v>270</v>
      </c>
    </row>
    <row r="179" spans="1:8">
      <c r="A179" s="50">
        <v>45985</v>
      </c>
      <c r="B179" t="s">
        <v>49</v>
      </c>
      <c r="E179" t="s">
        <v>331</v>
      </c>
      <c r="F179" t="s">
        <v>332</v>
      </c>
      <c r="G179" t="s">
        <v>289</v>
      </c>
      <c r="H179" t="s">
        <v>277</v>
      </c>
    </row>
    <row r="180" spans="1:8">
      <c r="A180" s="50">
        <v>45986</v>
      </c>
      <c r="B180" t="s">
        <v>65</v>
      </c>
      <c r="C180" t="s">
        <v>230</v>
      </c>
      <c r="D180" t="s">
        <v>153</v>
      </c>
      <c r="E180" t="s">
        <v>333</v>
      </c>
      <c r="F180" t="s">
        <v>225</v>
      </c>
      <c r="G180" t="s">
        <v>289</v>
      </c>
      <c r="H180" t="s">
        <v>277</v>
      </c>
    </row>
    <row r="181" spans="1:8">
      <c r="A181" s="50">
        <v>45987</v>
      </c>
      <c r="B181" t="s">
        <v>23</v>
      </c>
      <c r="E181" t="s">
        <v>334</v>
      </c>
      <c r="F181" t="s">
        <v>225</v>
      </c>
      <c r="G181" t="s">
        <v>289</v>
      </c>
      <c r="H181" t="s">
        <v>270</v>
      </c>
    </row>
    <row r="182" spans="1:8">
      <c r="A182" s="50">
        <v>45987</v>
      </c>
      <c r="B182" t="s">
        <v>62</v>
      </c>
      <c r="E182" t="s">
        <v>335</v>
      </c>
      <c r="F182" t="s">
        <v>155</v>
      </c>
      <c r="G182" t="s">
        <v>132</v>
      </c>
      <c r="H182" t="s">
        <v>336</v>
      </c>
    </row>
    <row r="183" spans="1:8">
      <c r="A183" s="50">
        <v>45987</v>
      </c>
      <c r="B183" t="s">
        <v>62</v>
      </c>
      <c r="E183" t="s">
        <v>337</v>
      </c>
      <c r="F183" t="s">
        <v>225</v>
      </c>
      <c r="G183" t="s">
        <v>289</v>
      </c>
      <c r="H183" t="s">
        <v>277</v>
      </c>
    </row>
    <row r="184" spans="1:8">
      <c r="A184" s="50">
        <v>45993</v>
      </c>
      <c r="B184" t="s">
        <v>11</v>
      </c>
      <c r="E184" t="s">
        <v>338</v>
      </c>
      <c r="F184" t="s">
        <v>225</v>
      </c>
      <c r="G184" t="s">
        <v>289</v>
      </c>
      <c r="H184" t="s">
        <v>277</v>
      </c>
    </row>
    <row r="185" spans="1:8">
      <c r="A185" s="50">
        <v>45995</v>
      </c>
      <c r="B185" t="s">
        <v>11</v>
      </c>
      <c r="E185" t="s">
        <v>339</v>
      </c>
      <c r="F185" t="s">
        <v>225</v>
      </c>
      <c r="G185" t="s">
        <v>289</v>
      </c>
      <c r="H185" t="s">
        <v>277</v>
      </c>
    </row>
    <row r="186" spans="1:8">
      <c r="A186" s="50">
        <v>46000</v>
      </c>
      <c r="B186" t="s">
        <v>11</v>
      </c>
      <c r="E186" t="s">
        <v>340</v>
      </c>
      <c r="F186" t="s">
        <v>225</v>
      </c>
      <c r="G186" t="s">
        <v>289</v>
      </c>
      <c r="H186" t="s">
        <v>285</v>
      </c>
    </row>
    <row r="187" spans="1:8">
      <c r="A187" s="50">
        <v>46001</v>
      </c>
      <c r="B187" t="s">
        <v>33</v>
      </c>
      <c r="E187" t="s">
        <v>341</v>
      </c>
      <c r="F187" t="s">
        <v>225</v>
      </c>
      <c r="G187" t="s">
        <v>289</v>
      </c>
      <c r="H187" t="s">
        <v>277</v>
      </c>
    </row>
    <row r="188" spans="1:8">
      <c r="A188" s="50">
        <v>46007</v>
      </c>
      <c r="B188" t="s">
        <v>61</v>
      </c>
      <c r="E188" t="s">
        <v>342</v>
      </c>
      <c r="F188" t="s">
        <v>155</v>
      </c>
      <c r="G188" t="s">
        <v>132</v>
      </c>
      <c r="H188" t="s">
        <v>270</v>
      </c>
    </row>
    <row r="189" spans="1:8">
      <c r="A189" s="50">
        <v>46006</v>
      </c>
      <c r="B189" t="s">
        <v>23</v>
      </c>
      <c r="E189" t="s">
        <v>343</v>
      </c>
      <c r="F189" t="s">
        <v>155</v>
      </c>
      <c r="G189" t="s">
        <v>258</v>
      </c>
      <c r="H189" t="s">
        <v>270</v>
      </c>
    </row>
    <row r="190" spans="1:8">
      <c r="A190" s="50">
        <v>46008</v>
      </c>
      <c r="B190" t="s">
        <v>23</v>
      </c>
      <c r="E190" t="s">
        <v>344</v>
      </c>
      <c r="F190" t="s">
        <v>345</v>
      </c>
      <c r="G190" t="s">
        <v>289</v>
      </c>
      <c r="H190" t="s">
        <v>277</v>
      </c>
    </row>
    <row r="191" spans="1:8">
      <c r="A191" s="50">
        <v>46008</v>
      </c>
      <c r="B191" t="s">
        <v>34</v>
      </c>
      <c r="E191" t="s">
        <v>346</v>
      </c>
      <c r="F191" t="s">
        <v>225</v>
      </c>
      <c r="G191" t="s">
        <v>289</v>
      </c>
      <c r="H191" t="s">
        <v>277</v>
      </c>
    </row>
    <row r="192" spans="1:8">
      <c r="A192" s="50">
        <v>46009</v>
      </c>
      <c r="B192" t="s">
        <v>11</v>
      </c>
      <c r="E192" t="s">
        <v>347</v>
      </c>
      <c r="F192" t="s">
        <v>225</v>
      </c>
      <c r="G192" t="s">
        <v>289</v>
      </c>
      <c r="H192" t="s">
        <v>277</v>
      </c>
    </row>
    <row r="193" spans="1:8">
      <c r="A193" s="50">
        <v>46013</v>
      </c>
      <c r="B193" t="s">
        <v>13</v>
      </c>
      <c r="E193" t="s">
        <v>348</v>
      </c>
      <c r="F193" t="s">
        <v>225</v>
      </c>
      <c r="G193" t="s">
        <v>289</v>
      </c>
      <c r="H193" t="s">
        <v>277</v>
      </c>
    </row>
    <row r="194" spans="1:8">
      <c r="A194" s="50">
        <v>46020</v>
      </c>
      <c r="B194" t="s">
        <v>43</v>
      </c>
      <c r="E194" t="s">
        <v>349</v>
      </c>
      <c r="F194" t="s">
        <v>350</v>
      </c>
      <c r="G194" t="s">
        <v>289</v>
      </c>
      <c r="H194" t="s">
        <v>293</v>
      </c>
    </row>
    <row r="195" spans="1:8">
      <c r="A195" s="50">
        <v>46020</v>
      </c>
      <c r="B195" t="s">
        <v>11</v>
      </c>
      <c r="E195" t="s">
        <v>351</v>
      </c>
      <c r="F195" t="s">
        <v>225</v>
      </c>
      <c r="G195" t="s">
        <v>352</v>
      </c>
      <c r="H195" t="s">
        <v>293</v>
      </c>
    </row>
    <row r="196" spans="1:8">
      <c r="A196" s="50">
        <v>46027</v>
      </c>
      <c r="B196" t="s">
        <v>26</v>
      </c>
      <c r="E196" t="s">
        <v>353</v>
      </c>
      <c r="F196" t="s">
        <v>225</v>
      </c>
      <c r="G196" t="s">
        <v>352</v>
      </c>
      <c r="H196" t="s">
        <v>293</v>
      </c>
    </row>
    <row r="197" spans="1:8">
      <c r="A197" s="50">
        <v>46027</v>
      </c>
      <c r="B197" t="s">
        <v>13</v>
      </c>
      <c r="E197" t="s">
        <v>354</v>
      </c>
      <c r="F197" t="s">
        <v>225</v>
      </c>
      <c r="G197" t="s">
        <v>352</v>
      </c>
      <c r="H197" t="s">
        <v>293</v>
      </c>
    </row>
    <row r="198" spans="1:8">
      <c r="A198" s="50">
        <v>46029</v>
      </c>
      <c r="B198" t="s">
        <v>33</v>
      </c>
      <c r="E198" t="s">
        <v>355</v>
      </c>
      <c r="F198" t="s">
        <v>225</v>
      </c>
      <c r="G198" t="s">
        <v>352</v>
      </c>
      <c r="H198" t="s">
        <v>356</v>
      </c>
    </row>
    <row r="199" spans="1:8">
      <c r="A199" s="50">
        <v>46031</v>
      </c>
      <c r="B199" t="s">
        <v>26</v>
      </c>
      <c r="E199" t="s">
        <v>357</v>
      </c>
      <c r="F199" t="s">
        <v>225</v>
      </c>
      <c r="G199" t="s">
        <v>352</v>
      </c>
      <c r="H199" t="s">
        <v>293</v>
      </c>
    </row>
    <row r="200" spans="1:8">
      <c r="A200" s="50">
        <v>46031</v>
      </c>
      <c r="B200" t="s">
        <v>65</v>
      </c>
      <c r="C200" t="s">
        <v>230</v>
      </c>
      <c r="D200" t="s">
        <v>153</v>
      </c>
      <c r="E200" t="s">
        <v>358</v>
      </c>
      <c r="F200" t="s">
        <v>225</v>
      </c>
      <c r="G200" t="s">
        <v>132</v>
      </c>
      <c r="H200" t="s">
        <v>359</v>
      </c>
    </row>
    <row r="201" spans="1:8">
      <c r="A201" s="50">
        <v>46033</v>
      </c>
      <c r="B201" t="s">
        <v>61</v>
      </c>
      <c r="E201" t="s">
        <v>360</v>
      </c>
      <c r="F201" t="s">
        <v>361</v>
      </c>
      <c r="G201" t="s">
        <v>289</v>
      </c>
      <c r="H201" t="s">
        <v>277</v>
      </c>
    </row>
    <row r="202" spans="1:8">
      <c r="A202" s="50">
        <v>46034</v>
      </c>
      <c r="B202" t="s">
        <v>33</v>
      </c>
      <c r="E202" t="s">
        <v>362</v>
      </c>
      <c r="F202" t="s">
        <v>363</v>
      </c>
      <c r="G202" t="s">
        <v>132</v>
      </c>
      <c r="H202" t="s">
        <v>270</v>
      </c>
    </row>
    <row r="203" spans="1:8">
      <c r="A203" s="50">
        <v>46035</v>
      </c>
      <c r="B203" t="s">
        <v>26</v>
      </c>
      <c r="E203" t="s">
        <v>364</v>
      </c>
      <c r="F203" t="s">
        <v>225</v>
      </c>
      <c r="G203" t="s">
        <v>352</v>
      </c>
      <c r="H203" t="s">
        <v>277</v>
      </c>
    </row>
    <row r="204" spans="1:8">
      <c r="A204" s="50">
        <v>46041</v>
      </c>
      <c r="B204" t="s">
        <v>53</v>
      </c>
      <c r="E204" t="s">
        <v>365</v>
      </c>
      <c r="F204" t="s">
        <v>366</v>
      </c>
      <c r="G204" t="s">
        <v>289</v>
      </c>
      <c r="H204" t="s">
        <v>367</v>
      </c>
    </row>
    <row r="205" spans="1:8">
      <c r="A205" s="50">
        <v>46042</v>
      </c>
      <c r="B205" t="s">
        <v>50</v>
      </c>
      <c r="E205" t="s">
        <v>368</v>
      </c>
      <c r="F205" t="s">
        <v>366</v>
      </c>
      <c r="G205" t="s">
        <v>289</v>
      </c>
      <c r="H205" t="s">
        <v>367</v>
      </c>
    </row>
    <row r="206" spans="1:8">
      <c r="A206" s="50">
        <v>46043</v>
      </c>
      <c r="B206" t="s">
        <v>23</v>
      </c>
      <c r="E206" t="s">
        <v>369</v>
      </c>
      <c r="F206" t="s">
        <v>168</v>
      </c>
      <c r="G206" t="s">
        <v>289</v>
      </c>
      <c r="H206" t="s">
        <v>277</v>
      </c>
    </row>
    <row r="207" spans="1:8">
      <c r="A207" s="50">
        <v>46049</v>
      </c>
      <c r="B207" t="s">
        <v>34</v>
      </c>
      <c r="C207" t="s">
        <v>152</v>
      </c>
      <c r="D207" t="s">
        <v>153</v>
      </c>
      <c r="E207" t="s">
        <v>370</v>
      </c>
      <c r="F207" t="s">
        <v>371</v>
      </c>
      <c r="G207" t="s">
        <v>289</v>
      </c>
      <c r="H207" t="s">
        <v>372</v>
      </c>
    </row>
    <row r="208" spans="1:8">
      <c r="A208" s="50">
        <v>46050</v>
      </c>
      <c r="B208" t="s">
        <v>13</v>
      </c>
      <c r="E208" t="s">
        <v>373</v>
      </c>
      <c r="F208" t="s">
        <v>225</v>
      </c>
      <c r="G208" t="s">
        <v>352</v>
      </c>
      <c r="H208" t="s">
        <v>359</v>
      </c>
    </row>
    <row r="209" spans="1:8">
      <c r="A209" s="50">
        <v>46050</v>
      </c>
      <c r="B209" t="s">
        <v>52</v>
      </c>
      <c r="C209" t="s">
        <v>264</v>
      </c>
      <c r="D209" t="s">
        <v>153</v>
      </c>
      <c r="E209" t="s">
        <v>374</v>
      </c>
      <c r="F209" t="s">
        <v>375</v>
      </c>
      <c r="G209" t="s">
        <v>289</v>
      </c>
      <c r="H209" t="s">
        <v>376</v>
      </c>
    </row>
    <row r="210" spans="1:8">
      <c r="A210" s="50">
        <v>46057</v>
      </c>
      <c r="B210" t="s">
        <v>39</v>
      </c>
      <c r="E210" t="s">
        <v>377</v>
      </c>
      <c r="F210" t="s">
        <v>155</v>
      </c>
      <c r="G210" t="s">
        <v>206</v>
      </c>
      <c r="H210" t="s">
        <v>378</v>
      </c>
    </row>
    <row r="211" spans="1:8">
      <c r="A211" s="50">
        <v>46058</v>
      </c>
      <c r="B211" t="s">
        <v>57</v>
      </c>
      <c r="E211" t="s">
        <v>379</v>
      </c>
      <c r="F211" t="s">
        <v>366</v>
      </c>
      <c r="G211" t="s">
        <v>289</v>
      </c>
      <c r="H211" t="s">
        <v>367</v>
      </c>
    </row>
    <row r="212" spans="1:8">
      <c r="A212" s="50">
        <v>46058</v>
      </c>
      <c r="B212" t="s">
        <v>47</v>
      </c>
      <c r="C212" t="s">
        <v>230</v>
      </c>
      <c r="D212" t="s">
        <v>380</v>
      </c>
      <c r="E212" t="s">
        <v>381</v>
      </c>
      <c r="F212" t="s">
        <v>225</v>
      </c>
      <c r="G212" t="s">
        <v>352</v>
      </c>
      <c r="H212" t="s">
        <v>367</v>
      </c>
    </row>
    <row r="213" spans="1:8">
      <c r="A213" s="50">
        <v>46062</v>
      </c>
      <c r="B213" s="50" t="s">
        <v>35</v>
      </c>
      <c r="C213" t="s">
        <v>152</v>
      </c>
      <c r="D213" t="s">
        <v>153</v>
      </c>
      <c r="E213" t="s">
        <v>382</v>
      </c>
      <c r="F213" t="s">
        <v>155</v>
      </c>
      <c r="G213" t="s">
        <v>132</v>
      </c>
      <c r="H213" t="s">
        <v>156</v>
      </c>
    </row>
    <row r="214" spans="1:8">
      <c r="A214" s="50">
        <v>46062</v>
      </c>
      <c r="B214" t="s">
        <v>38</v>
      </c>
      <c r="E214" t="s">
        <v>383</v>
      </c>
      <c r="F214" t="s">
        <v>155</v>
      </c>
      <c r="G214" t="s">
        <v>352</v>
      </c>
      <c r="H214" t="s">
        <v>384</v>
      </c>
    </row>
    <row r="215" spans="1:8">
      <c r="A215" s="50">
        <v>46062</v>
      </c>
      <c r="B215" t="s">
        <v>61</v>
      </c>
      <c r="E215" t="s">
        <v>383</v>
      </c>
      <c r="F215" t="s">
        <v>155</v>
      </c>
      <c r="G215" t="s">
        <v>352</v>
      </c>
      <c r="H215" t="s">
        <v>384</v>
      </c>
    </row>
    <row r="216" spans="1:8">
      <c r="A216" s="50">
        <v>46062</v>
      </c>
      <c r="B216" t="s">
        <v>20</v>
      </c>
      <c r="E216" t="s">
        <v>385</v>
      </c>
      <c r="F216" t="s">
        <v>225</v>
      </c>
      <c r="G216" t="s">
        <v>352</v>
      </c>
      <c r="H216" t="s">
        <v>384</v>
      </c>
    </row>
    <row r="217" spans="1:8">
      <c r="A217" s="50">
        <v>46063</v>
      </c>
      <c r="B217" t="s">
        <v>23</v>
      </c>
      <c r="E217" t="s">
        <v>386</v>
      </c>
      <c r="F217" t="s">
        <v>387</v>
      </c>
      <c r="G217" t="s">
        <v>289</v>
      </c>
      <c r="H217" t="s">
        <v>388</v>
      </c>
    </row>
    <row r="218" spans="1:8">
      <c r="A218" s="50">
        <v>46063</v>
      </c>
      <c r="B218" t="s">
        <v>15</v>
      </c>
      <c r="E218" t="s">
        <v>386</v>
      </c>
      <c r="F218" t="s">
        <v>387</v>
      </c>
      <c r="G218" t="s">
        <v>289</v>
      </c>
      <c r="H218" t="s">
        <v>388</v>
      </c>
    </row>
    <row r="219" spans="1:8">
      <c r="A219" s="50">
        <v>46064</v>
      </c>
      <c r="B219" t="s">
        <v>11</v>
      </c>
      <c r="E219" t="s">
        <v>389</v>
      </c>
      <c r="F219" t="s">
        <v>225</v>
      </c>
      <c r="G219" t="s">
        <v>284</v>
      </c>
    </row>
    <row r="220" spans="1:8">
      <c r="A220" s="50">
        <v>46065</v>
      </c>
      <c r="B220" t="s">
        <v>26</v>
      </c>
      <c r="C220" t="s">
        <v>264</v>
      </c>
      <c r="D220" t="s">
        <v>153</v>
      </c>
      <c r="E220" t="s">
        <v>390</v>
      </c>
      <c r="F220" t="s">
        <v>387</v>
      </c>
      <c r="G220" t="s">
        <v>289</v>
      </c>
      <c r="H220" t="s">
        <v>388</v>
      </c>
    </row>
    <row r="221" spans="1:8">
      <c r="A221" s="50">
        <v>46065</v>
      </c>
      <c r="B221" t="s">
        <v>50</v>
      </c>
      <c r="E221" t="s">
        <v>386</v>
      </c>
      <c r="F221" t="s">
        <v>387</v>
      </c>
      <c r="G221" t="s">
        <v>289</v>
      </c>
      <c r="H221" t="s">
        <v>388</v>
      </c>
    </row>
    <row r="222" spans="1:8">
      <c r="A222" s="50">
        <v>46065</v>
      </c>
      <c r="B222" t="s">
        <v>61</v>
      </c>
      <c r="E222" t="s">
        <v>391</v>
      </c>
      <c r="F222" t="s">
        <v>387</v>
      </c>
      <c r="G222" t="s">
        <v>289</v>
      </c>
      <c r="H222" t="s">
        <v>388</v>
      </c>
    </row>
    <row r="223" spans="1:8">
      <c r="A223" s="50">
        <v>46066</v>
      </c>
      <c r="B223" t="s">
        <v>49</v>
      </c>
      <c r="C223" t="s">
        <v>230</v>
      </c>
      <c r="D223" t="s">
        <v>380</v>
      </c>
      <c r="E223" t="s">
        <v>392</v>
      </c>
      <c r="F223" t="s">
        <v>393</v>
      </c>
      <c r="G223" t="s">
        <v>352</v>
      </c>
      <c r="H223" t="s">
        <v>394</v>
      </c>
    </row>
    <row r="224" spans="1:8">
      <c r="A224" s="50">
        <v>46069</v>
      </c>
      <c r="B224" t="s">
        <v>40</v>
      </c>
      <c r="C224" t="s">
        <v>230</v>
      </c>
      <c r="D224" t="s">
        <v>153</v>
      </c>
      <c r="E224" t="s">
        <v>395</v>
      </c>
      <c r="F224" t="s">
        <v>225</v>
      </c>
      <c r="G224" t="s">
        <v>352</v>
      </c>
      <c r="H224" t="s">
        <v>394</v>
      </c>
    </row>
    <row r="225" spans="1:8">
      <c r="A225" s="50">
        <v>46070</v>
      </c>
      <c r="B225" t="s">
        <v>47</v>
      </c>
      <c r="C225" t="s">
        <v>264</v>
      </c>
      <c r="D225" t="s">
        <v>380</v>
      </c>
      <c r="E225" t="s">
        <v>396</v>
      </c>
      <c r="F225" t="s">
        <v>387</v>
      </c>
      <c r="G225" t="s">
        <v>352</v>
      </c>
      <c r="H225" t="s">
        <v>79</v>
      </c>
    </row>
    <row r="226" spans="1:8">
      <c r="A226" s="50">
        <v>46070</v>
      </c>
      <c r="B226" t="s">
        <v>24</v>
      </c>
      <c r="E226" t="s">
        <v>397</v>
      </c>
      <c r="F226" t="s">
        <v>225</v>
      </c>
      <c r="G226" t="s">
        <v>352</v>
      </c>
      <c r="H226" t="s">
        <v>79</v>
      </c>
    </row>
    <row r="227" spans="1:8">
      <c r="A227" s="50">
        <v>46072</v>
      </c>
      <c r="B227" t="s">
        <v>38</v>
      </c>
      <c r="E227" t="s">
        <v>398</v>
      </c>
      <c r="F227" t="s">
        <v>225</v>
      </c>
      <c r="G227" t="s">
        <v>352</v>
      </c>
      <c r="H227" t="s">
        <v>79</v>
      </c>
    </row>
    <row r="228" spans="1:8">
      <c r="A228" s="50">
        <v>46073</v>
      </c>
      <c r="B228" t="s">
        <v>20</v>
      </c>
      <c r="C228" t="s">
        <v>230</v>
      </c>
      <c r="D228" t="s">
        <v>153</v>
      </c>
      <c r="E228" t="s">
        <v>399</v>
      </c>
      <c r="F228" t="s">
        <v>225</v>
      </c>
      <c r="G228" t="s">
        <v>352</v>
      </c>
      <c r="H228" t="s">
        <v>79</v>
      </c>
    </row>
    <row r="229" spans="1:8">
      <c r="A229" s="50">
        <v>46078</v>
      </c>
      <c r="B229" t="s">
        <v>18</v>
      </c>
      <c r="E229" t="s">
        <v>400</v>
      </c>
      <c r="F229" t="s">
        <v>225</v>
      </c>
      <c r="G229" t="s">
        <v>352</v>
      </c>
      <c r="H229" t="s">
        <v>79</v>
      </c>
    </row>
    <row r="230" spans="1:8">
      <c r="A230" s="50">
        <v>46078</v>
      </c>
      <c r="B230" t="s">
        <v>53</v>
      </c>
      <c r="C230" t="s">
        <v>230</v>
      </c>
      <c r="D230" t="s">
        <v>153</v>
      </c>
      <c r="E230" t="s">
        <v>401</v>
      </c>
      <c r="F230" t="s">
        <v>402</v>
      </c>
      <c r="G230" t="s">
        <v>352</v>
      </c>
      <c r="H230" t="s">
        <v>79</v>
      </c>
    </row>
    <row r="231" spans="1:8">
      <c r="A231" s="50">
        <v>46080</v>
      </c>
      <c r="B231" t="s">
        <v>39</v>
      </c>
      <c r="C231" t="s">
        <v>230</v>
      </c>
      <c r="D231" t="s">
        <v>153</v>
      </c>
      <c r="E231" t="s">
        <v>403</v>
      </c>
      <c r="F231" t="s">
        <v>225</v>
      </c>
      <c r="G231" t="s">
        <v>352</v>
      </c>
      <c r="H231" t="s">
        <v>79</v>
      </c>
    </row>
    <row r="232" spans="1:8">
      <c r="A232" s="50">
        <v>46080</v>
      </c>
      <c r="B232" t="s">
        <v>47</v>
      </c>
      <c r="E232" t="s">
        <v>404</v>
      </c>
      <c r="F232" t="s">
        <v>225</v>
      </c>
      <c r="G232" t="s">
        <v>352</v>
      </c>
      <c r="H232" t="s">
        <v>79</v>
      </c>
    </row>
    <row r="233" spans="1:8">
      <c r="A233" s="50">
        <v>46086</v>
      </c>
      <c r="B233" t="s">
        <v>24</v>
      </c>
      <c r="E233" t="s">
        <v>405</v>
      </c>
      <c r="F233" t="s">
        <v>225</v>
      </c>
      <c r="G233" t="s">
        <v>352</v>
      </c>
      <c r="H233" t="s">
        <v>79</v>
      </c>
    </row>
    <row r="234" spans="1:8">
      <c r="A234" s="50">
        <v>46087</v>
      </c>
      <c r="B234" t="s">
        <v>33</v>
      </c>
      <c r="E234" t="s">
        <v>406</v>
      </c>
      <c r="F234" t="s">
        <v>407</v>
      </c>
      <c r="G234" t="s">
        <v>352</v>
      </c>
      <c r="H234" t="s">
        <v>408</v>
      </c>
    </row>
    <row r="235" spans="1:8">
      <c r="A235" s="50">
        <v>46093</v>
      </c>
      <c r="B235" t="s">
        <v>57</v>
      </c>
      <c r="C235" t="s">
        <v>264</v>
      </c>
      <c r="D235" t="s">
        <v>153</v>
      </c>
      <c r="E235" t="s">
        <v>409</v>
      </c>
      <c r="F235" t="s">
        <v>225</v>
      </c>
      <c r="G235" t="s">
        <v>352</v>
      </c>
      <c r="H235" t="s">
        <v>270</v>
      </c>
    </row>
    <row r="236" spans="1:8">
      <c r="A236" s="50">
        <v>46093</v>
      </c>
      <c r="B236" t="s">
        <v>20</v>
      </c>
      <c r="C236" t="s">
        <v>264</v>
      </c>
      <c r="D236" t="s">
        <v>153</v>
      </c>
      <c r="E236" t="s">
        <v>410</v>
      </c>
      <c r="F236" t="s">
        <v>407</v>
      </c>
      <c r="G236" t="s">
        <v>206</v>
      </c>
      <c r="H236" t="s">
        <v>206</v>
      </c>
    </row>
    <row r="237" spans="1:8">
      <c r="A237" s="50">
        <v>46094</v>
      </c>
      <c r="B237" t="s">
        <v>11</v>
      </c>
      <c r="E237" t="s">
        <v>411</v>
      </c>
      <c r="F237" t="s">
        <v>225</v>
      </c>
      <c r="G237" t="s">
        <v>352</v>
      </c>
      <c r="H237" t="s">
        <v>79</v>
      </c>
    </row>
    <row r="238" spans="1:8">
      <c r="A238" s="50">
        <v>46097</v>
      </c>
      <c r="B238" t="s">
        <v>20</v>
      </c>
      <c r="E238" t="s">
        <v>412</v>
      </c>
      <c r="F238" t="s">
        <v>155</v>
      </c>
      <c r="G238" t="s">
        <v>352</v>
      </c>
      <c r="H238" t="s">
        <v>413</v>
      </c>
    </row>
    <row r="239" spans="1:8">
      <c r="A239" s="50">
        <v>46099</v>
      </c>
      <c r="B239" t="s">
        <v>47</v>
      </c>
      <c r="E239" t="s">
        <v>414</v>
      </c>
      <c r="F239" t="s">
        <v>225</v>
      </c>
      <c r="G239" t="s">
        <v>352</v>
      </c>
      <c r="H239" t="s">
        <v>79</v>
      </c>
    </row>
    <row r="240" spans="1:8">
      <c r="A240" s="50">
        <v>46101</v>
      </c>
      <c r="B240" t="s">
        <v>20</v>
      </c>
      <c r="C240" t="s">
        <v>230</v>
      </c>
      <c r="D240" t="s">
        <v>153</v>
      </c>
      <c r="E240" t="s">
        <v>415</v>
      </c>
      <c r="F240" t="s">
        <v>225</v>
      </c>
      <c r="G240" t="s">
        <v>352</v>
      </c>
      <c r="H240" t="s">
        <v>79</v>
      </c>
    </row>
    <row r="241" spans="1:8">
      <c r="A241" s="50">
        <v>46101</v>
      </c>
      <c r="B241" t="s">
        <v>62</v>
      </c>
      <c r="E241" t="s">
        <v>416</v>
      </c>
      <c r="F241" t="s">
        <v>225</v>
      </c>
      <c r="G241" t="s">
        <v>352</v>
      </c>
      <c r="H241" t="s">
        <v>79</v>
      </c>
    </row>
    <row r="242" spans="1:8">
      <c r="A242" s="50">
        <v>46101</v>
      </c>
      <c r="B242" t="s">
        <v>23</v>
      </c>
      <c r="E242" t="s">
        <v>417</v>
      </c>
      <c r="F242" t="s">
        <v>225</v>
      </c>
      <c r="G242" t="s">
        <v>352</v>
      </c>
      <c r="H242" t="s">
        <v>79</v>
      </c>
    </row>
    <row r="243" spans="1:8">
      <c r="A243" s="50">
        <v>46101</v>
      </c>
      <c r="B243" t="s">
        <v>47</v>
      </c>
      <c r="C243" t="s">
        <v>264</v>
      </c>
      <c r="D243" t="s">
        <v>70</v>
      </c>
      <c r="E243" t="s">
        <v>404</v>
      </c>
      <c r="F243" t="s">
        <v>155</v>
      </c>
      <c r="G243" t="s">
        <v>352</v>
      </c>
      <c r="H243" t="s">
        <v>270</v>
      </c>
    </row>
    <row r="244" spans="1:8">
      <c r="A244" s="50">
        <v>46103</v>
      </c>
      <c r="B244" t="s">
        <v>13</v>
      </c>
      <c r="E244" t="s">
        <v>418</v>
      </c>
      <c r="F244" t="s">
        <v>419</v>
      </c>
      <c r="G244" t="s">
        <v>352</v>
      </c>
      <c r="H244" t="s">
        <v>420</v>
      </c>
    </row>
    <row r="245" spans="1:8">
      <c r="A245" s="50">
        <v>46104</v>
      </c>
      <c r="B245" t="s">
        <v>13</v>
      </c>
      <c r="E245" t="s">
        <v>421</v>
      </c>
      <c r="F245" t="s">
        <v>225</v>
      </c>
      <c r="G245" t="s">
        <v>352</v>
      </c>
      <c r="H245" t="s">
        <v>79</v>
      </c>
    </row>
    <row r="246" spans="1:8">
      <c r="A246" s="50">
        <v>46104</v>
      </c>
      <c r="B246" t="s">
        <v>18</v>
      </c>
      <c r="C246" t="s">
        <v>230</v>
      </c>
      <c r="D246" t="s">
        <v>153</v>
      </c>
      <c r="E246" t="s">
        <v>422</v>
      </c>
      <c r="F246" t="s">
        <v>155</v>
      </c>
      <c r="G246" t="s">
        <v>284</v>
      </c>
      <c r="H246" t="s">
        <v>270</v>
      </c>
    </row>
    <row r="247" spans="1:8">
      <c r="A247" s="50">
        <v>46106</v>
      </c>
      <c r="B247" t="s">
        <v>13</v>
      </c>
      <c r="E247" t="s">
        <v>423</v>
      </c>
      <c r="F247" t="s">
        <v>375</v>
      </c>
      <c r="G247" t="s">
        <v>352</v>
      </c>
      <c r="H247" t="s">
        <v>79</v>
      </c>
    </row>
    <row r="248" spans="1:8">
      <c r="A248" s="50">
        <v>46106</v>
      </c>
      <c r="B248" t="s">
        <v>23</v>
      </c>
      <c r="C248" t="s">
        <v>230</v>
      </c>
      <c r="D248" t="s">
        <v>153</v>
      </c>
      <c r="E248" t="s">
        <v>424</v>
      </c>
      <c r="F248" t="s">
        <v>155</v>
      </c>
      <c r="G248" t="s">
        <v>284</v>
      </c>
      <c r="H248" t="s">
        <v>270</v>
      </c>
    </row>
    <row r="249" spans="1:8">
      <c r="A249" s="50">
        <v>46111</v>
      </c>
      <c r="B249" t="s">
        <v>43</v>
      </c>
      <c r="E249" t="s">
        <v>425</v>
      </c>
      <c r="F249" t="s">
        <v>426</v>
      </c>
      <c r="G249" t="s">
        <v>352</v>
      </c>
      <c r="H249" t="s">
        <v>270</v>
      </c>
    </row>
    <row r="250" spans="1:8">
      <c r="A250" s="50">
        <v>46106</v>
      </c>
      <c r="B250" t="s">
        <v>13</v>
      </c>
      <c r="E250" t="s">
        <v>427</v>
      </c>
      <c r="F250" t="s">
        <v>225</v>
      </c>
      <c r="G250" t="s">
        <v>289</v>
      </c>
      <c r="H250" t="s">
        <v>79</v>
      </c>
    </row>
    <row r="251" spans="1:8">
      <c r="A251" s="50">
        <v>46108</v>
      </c>
      <c r="B251" t="s">
        <v>38</v>
      </c>
      <c r="E251" t="s">
        <v>428</v>
      </c>
      <c r="F251" t="s">
        <v>225</v>
      </c>
      <c r="G251" t="s">
        <v>352</v>
      </c>
      <c r="H251" t="s">
        <v>79</v>
      </c>
    </row>
    <row r="252" spans="1:8">
      <c r="A252" s="50">
        <v>46118</v>
      </c>
      <c r="B252" t="s">
        <v>43</v>
      </c>
      <c r="E252" t="s">
        <v>429</v>
      </c>
      <c r="F252" t="s">
        <v>168</v>
      </c>
      <c r="G252" t="s">
        <v>284</v>
      </c>
      <c r="H252" t="s">
        <v>394</v>
      </c>
    </row>
    <row r="253" spans="1:8">
      <c r="A253" s="50">
        <v>46121</v>
      </c>
      <c r="B253" t="s">
        <v>130</v>
      </c>
      <c r="E253" t="s">
        <v>430</v>
      </c>
      <c r="F253" t="s">
        <v>393</v>
      </c>
      <c r="G253" t="s">
        <v>352</v>
      </c>
      <c r="H253" t="s">
        <v>394</v>
      </c>
    </row>
    <row r="254" spans="1:8">
      <c r="A254" s="50">
        <v>46123</v>
      </c>
      <c r="B254" t="s">
        <v>43</v>
      </c>
      <c r="C254" t="s">
        <v>431</v>
      </c>
      <c r="D254" t="s">
        <v>153</v>
      </c>
      <c r="E254" t="s">
        <v>432</v>
      </c>
      <c r="F254" t="s">
        <v>263</v>
      </c>
      <c r="G254" t="s">
        <v>352</v>
      </c>
      <c r="H254" t="s">
        <v>394</v>
      </c>
    </row>
    <row r="255" spans="1:8">
      <c r="A255" s="50">
        <v>46130</v>
      </c>
      <c r="B255" t="s">
        <v>50</v>
      </c>
      <c r="E255" t="s">
        <v>433</v>
      </c>
      <c r="F255" t="s">
        <v>155</v>
      </c>
      <c r="G255" t="s">
        <v>132</v>
      </c>
      <c r="H255" t="s">
        <v>434</v>
      </c>
    </row>
    <row r="256" spans="1:8">
      <c r="A256" s="50">
        <v>46130</v>
      </c>
      <c r="B256" t="s">
        <v>44</v>
      </c>
      <c r="E256" t="s">
        <v>435</v>
      </c>
      <c r="F256" t="s">
        <v>155</v>
      </c>
      <c r="G256" t="s">
        <v>132</v>
      </c>
      <c r="H256" t="s">
        <v>434</v>
      </c>
    </row>
    <row r="257" spans="1:8">
      <c r="A257" s="50">
        <v>46132</v>
      </c>
      <c r="B257" s="50" t="s">
        <v>15</v>
      </c>
      <c r="C257" t="s">
        <v>160</v>
      </c>
      <c r="D257" t="s">
        <v>380</v>
      </c>
      <c r="E257" t="s">
        <v>436</v>
      </c>
    </row>
    <row r="258" spans="1:8">
      <c r="A258" s="50">
        <v>46133</v>
      </c>
      <c r="B258" t="s">
        <v>11</v>
      </c>
      <c r="C258" t="s">
        <v>230</v>
      </c>
      <c r="D258" t="s">
        <v>70</v>
      </c>
      <c r="E258" t="s">
        <v>437</v>
      </c>
      <c r="F258" t="s">
        <v>393</v>
      </c>
      <c r="G258" t="s">
        <v>352</v>
      </c>
      <c r="H258" t="s">
        <v>394</v>
      </c>
    </row>
    <row r="259" spans="1:8">
      <c r="A259" s="50">
        <v>46136</v>
      </c>
      <c r="B259" t="s">
        <v>24</v>
      </c>
      <c r="C259" t="s">
        <v>230</v>
      </c>
      <c r="D259" t="s">
        <v>153</v>
      </c>
      <c r="E259" t="s">
        <v>438</v>
      </c>
      <c r="F259" t="s">
        <v>375</v>
      </c>
      <c r="G259" t="s">
        <v>289</v>
      </c>
      <c r="H259" t="s">
        <v>277</v>
      </c>
    </row>
    <row r="260" spans="1:8">
      <c r="A260" s="50">
        <v>46136</v>
      </c>
      <c r="B260" t="s">
        <v>50</v>
      </c>
      <c r="C260" t="s">
        <v>264</v>
      </c>
      <c r="D260" t="s">
        <v>153</v>
      </c>
      <c r="E260" t="s">
        <v>439</v>
      </c>
      <c r="F260" t="s">
        <v>440</v>
      </c>
      <c r="G260" t="s">
        <v>289</v>
      </c>
      <c r="H260" t="s">
        <v>356</v>
      </c>
    </row>
    <row r="261" spans="1:8">
      <c r="A261" s="50">
        <v>46137</v>
      </c>
      <c r="B261" t="s">
        <v>44</v>
      </c>
      <c r="C261" t="s">
        <v>264</v>
      </c>
      <c r="D261" t="s">
        <v>153</v>
      </c>
      <c r="E261" t="s">
        <v>441</v>
      </c>
      <c r="F261" t="s">
        <v>225</v>
      </c>
      <c r="G261" t="s">
        <v>289</v>
      </c>
      <c r="H261" t="s">
        <v>356</v>
      </c>
    </row>
    <row r="262" spans="1:8">
      <c r="A262" s="50">
        <v>46137</v>
      </c>
      <c r="B262" t="s">
        <v>44</v>
      </c>
      <c r="C262" t="s">
        <v>264</v>
      </c>
      <c r="D262" t="s">
        <v>153</v>
      </c>
      <c r="E262" t="s">
        <v>442</v>
      </c>
      <c r="F262" t="s">
        <v>155</v>
      </c>
      <c r="G262" t="s">
        <v>443</v>
      </c>
      <c r="H262" t="s">
        <v>444</v>
      </c>
    </row>
    <row r="263" spans="1:8">
      <c r="A263" s="50">
        <v>46139</v>
      </c>
      <c r="B263" t="s">
        <v>38</v>
      </c>
      <c r="C263" t="s">
        <v>160</v>
      </c>
      <c r="D263" t="s">
        <v>380</v>
      </c>
      <c r="E263" t="s">
        <v>445</v>
      </c>
      <c r="F263" t="s">
        <v>407</v>
      </c>
      <c r="G263" t="s">
        <v>443</v>
      </c>
      <c r="H263" t="s">
        <v>446</v>
      </c>
    </row>
    <row r="264" spans="1:8">
      <c r="A264" s="50">
        <v>46139</v>
      </c>
      <c r="B264" t="s">
        <v>38</v>
      </c>
      <c r="C264" t="s">
        <v>230</v>
      </c>
      <c r="D264" t="s">
        <v>70</v>
      </c>
      <c r="E264" t="s">
        <v>447</v>
      </c>
      <c r="F264" t="s">
        <v>155</v>
      </c>
      <c r="G264" t="s">
        <v>448</v>
      </c>
      <c r="H264" t="s">
        <v>270</v>
      </c>
    </row>
    <row r="265" spans="1:8">
      <c r="A265" s="50">
        <v>46141</v>
      </c>
      <c r="B265" t="s">
        <v>18</v>
      </c>
      <c r="C265" t="s">
        <v>152</v>
      </c>
      <c r="D265" t="s">
        <v>153</v>
      </c>
      <c r="E265" t="s">
        <v>449</v>
      </c>
      <c r="F265" t="s">
        <v>375</v>
      </c>
      <c r="G265" t="s">
        <v>289</v>
      </c>
      <c r="H265" t="s">
        <v>450</v>
      </c>
    </row>
    <row r="266" spans="1:8">
      <c r="A266" s="50">
        <v>46142</v>
      </c>
      <c r="B266" t="s">
        <v>23</v>
      </c>
      <c r="C266" t="s">
        <v>230</v>
      </c>
      <c r="D266" t="s">
        <v>153</v>
      </c>
      <c r="E266" t="s">
        <v>451</v>
      </c>
      <c r="F266" t="s">
        <v>225</v>
      </c>
      <c r="G266" t="s">
        <v>289</v>
      </c>
      <c r="H266" t="s">
        <v>79</v>
      </c>
    </row>
    <row r="267" spans="1:8">
      <c r="A267" s="50">
        <v>46144</v>
      </c>
      <c r="B267" t="s">
        <v>13</v>
      </c>
      <c r="C267" t="s">
        <v>160</v>
      </c>
      <c r="D267" t="s">
        <v>380</v>
      </c>
      <c r="E267" t="s">
        <v>452</v>
      </c>
      <c r="F267" t="s">
        <v>155</v>
      </c>
      <c r="G267" t="s">
        <v>448</v>
      </c>
      <c r="H267" t="s">
        <v>270</v>
      </c>
    </row>
    <row r="268" spans="1:8">
      <c r="A268" s="50">
        <v>46146</v>
      </c>
      <c r="B268" t="s">
        <v>13</v>
      </c>
      <c r="C268" t="s">
        <v>264</v>
      </c>
      <c r="D268" t="s">
        <v>380</v>
      </c>
      <c r="E268" t="s">
        <v>453</v>
      </c>
      <c r="F268" t="s">
        <v>225</v>
      </c>
      <c r="G268" t="s">
        <v>289</v>
      </c>
      <c r="H268" t="s">
        <v>79</v>
      </c>
    </row>
    <row r="269" spans="1:8">
      <c r="A269" s="50">
        <v>46146</v>
      </c>
      <c r="B269" s="50" t="s">
        <v>55</v>
      </c>
      <c r="C269" t="s">
        <v>152</v>
      </c>
      <c r="D269" t="s">
        <v>380</v>
      </c>
      <c r="E269" t="s">
        <v>454</v>
      </c>
      <c r="F269" t="s">
        <v>155</v>
      </c>
      <c r="G269" t="s">
        <v>132</v>
      </c>
      <c r="H269" t="s">
        <v>270</v>
      </c>
    </row>
    <row r="270" spans="1:8">
      <c r="A270" s="50">
        <v>46178</v>
      </c>
      <c r="B270" t="s">
        <v>61</v>
      </c>
      <c r="C270" t="s">
        <v>264</v>
      </c>
      <c r="D270" t="s">
        <v>153</v>
      </c>
      <c r="E270" t="s">
        <v>455</v>
      </c>
      <c r="F270" t="s">
        <v>225</v>
      </c>
      <c r="G270" t="s">
        <v>289</v>
      </c>
      <c r="H270" t="s">
        <v>79</v>
      </c>
    </row>
    <row r="271" spans="1:8">
      <c r="A271" s="50">
        <v>46178</v>
      </c>
      <c r="B271" t="s">
        <v>62</v>
      </c>
      <c r="C271" t="s">
        <v>264</v>
      </c>
      <c r="D271" t="s">
        <v>153</v>
      </c>
      <c r="E271" t="s">
        <v>456</v>
      </c>
      <c r="F271" t="s">
        <v>225</v>
      </c>
      <c r="G271" t="s">
        <v>289</v>
      </c>
      <c r="H271" t="s">
        <v>79</v>
      </c>
    </row>
    <row r="272" spans="1:8">
      <c r="A272" s="50">
        <v>46154</v>
      </c>
      <c r="B272" t="s">
        <v>62</v>
      </c>
      <c r="C272" t="s">
        <v>294</v>
      </c>
      <c r="D272" t="s">
        <v>153</v>
      </c>
      <c r="E272" t="s">
        <v>457</v>
      </c>
      <c r="F272" t="s">
        <v>225</v>
      </c>
      <c r="G272" t="s">
        <v>289</v>
      </c>
      <c r="H272" t="s">
        <v>367</v>
      </c>
    </row>
    <row r="273" spans="1:8">
      <c r="A273" s="50">
        <v>46154</v>
      </c>
      <c r="B273" s="50" t="s">
        <v>29</v>
      </c>
      <c r="C273" t="s">
        <v>152</v>
      </c>
      <c r="D273" t="s">
        <v>153</v>
      </c>
      <c r="E273" t="s">
        <v>458</v>
      </c>
      <c r="F273" t="s">
        <v>155</v>
      </c>
      <c r="G273" t="s">
        <v>132</v>
      </c>
      <c r="H273" t="s">
        <v>156</v>
      </c>
    </row>
    <row r="274" spans="1:8">
      <c r="A274" s="50">
        <v>46155</v>
      </c>
      <c r="B274" s="50" t="s">
        <v>24</v>
      </c>
      <c r="C274" t="s">
        <v>152</v>
      </c>
      <c r="D274" t="s">
        <v>380</v>
      </c>
      <c r="E274" t="s">
        <v>459</v>
      </c>
      <c r="F274" t="s">
        <v>155</v>
      </c>
      <c r="G274" t="s">
        <v>132</v>
      </c>
      <c r="H274" t="s">
        <v>460</v>
      </c>
    </row>
    <row r="275" spans="1:8">
      <c r="A275" s="50">
        <v>46155</v>
      </c>
      <c r="B275" s="50" t="s">
        <v>23</v>
      </c>
      <c r="C275" t="s">
        <v>230</v>
      </c>
      <c r="D275" t="s">
        <v>153</v>
      </c>
      <c r="E275" t="s">
        <v>461</v>
      </c>
      <c r="F275" t="s">
        <v>225</v>
      </c>
      <c r="G275" t="s">
        <v>289</v>
      </c>
      <c r="H275" t="s">
        <v>277</v>
      </c>
    </row>
    <row r="276" spans="1:8">
      <c r="A276" s="50">
        <v>46155</v>
      </c>
      <c r="B276" s="50" t="s">
        <v>33</v>
      </c>
      <c r="C276" t="s">
        <v>230</v>
      </c>
      <c r="D276" t="s">
        <v>70</v>
      </c>
      <c r="E276" t="s">
        <v>462</v>
      </c>
      <c r="F276" t="s">
        <v>225</v>
      </c>
      <c r="G276" t="s">
        <v>289</v>
      </c>
      <c r="H276" t="s">
        <v>367</v>
      </c>
    </row>
    <row r="277" spans="1:8">
      <c r="A277" s="50">
        <v>46155</v>
      </c>
      <c r="B277" s="50" t="s">
        <v>33</v>
      </c>
      <c r="C277" t="s">
        <v>294</v>
      </c>
      <c r="D277" t="s">
        <v>380</v>
      </c>
      <c r="E277" t="s">
        <v>463</v>
      </c>
      <c r="F277" t="s">
        <v>225</v>
      </c>
      <c r="G277" t="s">
        <v>289</v>
      </c>
      <c r="H277" t="s">
        <v>367</v>
      </c>
    </row>
    <row r="278" spans="1:8">
      <c r="A278" s="50">
        <v>46155</v>
      </c>
      <c r="B278" s="50" t="s">
        <v>33</v>
      </c>
      <c r="C278" t="s">
        <v>431</v>
      </c>
      <c r="D278" t="s">
        <v>153</v>
      </c>
      <c r="E278" t="s">
        <v>464</v>
      </c>
      <c r="G278" t="s">
        <v>289</v>
      </c>
      <c r="H278" t="s">
        <v>367</v>
      </c>
    </row>
    <row r="279" spans="1:8">
      <c r="A279" s="50">
        <v>46156</v>
      </c>
      <c r="B279" s="50" t="s">
        <v>55</v>
      </c>
      <c r="C279" t="s">
        <v>264</v>
      </c>
      <c r="D279" t="s">
        <v>153</v>
      </c>
      <c r="E279" t="s">
        <v>465</v>
      </c>
      <c r="F279" t="s">
        <v>155</v>
      </c>
      <c r="G279" t="s">
        <v>289</v>
      </c>
      <c r="H279" t="s">
        <v>277</v>
      </c>
    </row>
    <row r="280" spans="1:8">
      <c r="A280" s="50">
        <v>46157</v>
      </c>
      <c r="B280" s="50" t="s">
        <v>24</v>
      </c>
      <c r="C280" t="s">
        <v>230</v>
      </c>
      <c r="D280" t="s">
        <v>153</v>
      </c>
      <c r="E280" t="s">
        <v>466</v>
      </c>
      <c r="F280" t="s">
        <v>467</v>
      </c>
      <c r="G280" t="s">
        <v>289</v>
      </c>
      <c r="H280" t="s">
        <v>277</v>
      </c>
    </row>
    <row r="281" spans="1:8">
      <c r="A281" s="50">
        <v>46158</v>
      </c>
      <c r="B281" s="50" t="s">
        <v>52</v>
      </c>
      <c r="C281" t="s">
        <v>152</v>
      </c>
      <c r="D281" t="s">
        <v>153</v>
      </c>
      <c r="E281" t="s">
        <v>468</v>
      </c>
      <c r="F281" t="s">
        <v>155</v>
      </c>
      <c r="G281" t="s">
        <v>132</v>
      </c>
      <c r="H281" t="s">
        <v>270</v>
      </c>
    </row>
    <row r="282" spans="1:8">
      <c r="A282" s="50">
        <v>46160</v>
      </c>
      <c r="B282" s="50" t="s">
        <v>65</v>
      </c>
      <c r="C282" t="s">
        <v>230</v>
      </c>
      <c r="D282" t="s">
        <v>70</v>
      </c>
      <c r="E282" t="s">
        <v>469</v>
      </c>
      <c r="F282" t="s">
        <v>225</v>
      </c>
      <c r="G282" s="117" t="s">
        <v>289</v>
      </c>
      <c r="H282" t="s">
        <v>367</v>
      </c>
    </row>
    <row r="283" spans="1:8">
      <c r="A283" s="50">
        <v>46160</v>
      </c>
      <c r="B283" s="50" t="s">
        <v>65</v>
      </c>
      <c r="C283" t="s">
        <v>294</v>
      </c>
      <c r="D283" t="s">
        <v>380</v>
      </c>
      <c r="E283" t="s">
        <v>469</v>
      </c>
      <c r="F283" t="s">
        <v>225</v>
      </c>
      <c r="G283" s="117" t="s">
        <v>289</v>
      </c>
      <c r="H283" t="s">
        <v>367</v>
      </c>
    </row>
    <row r="284" spans="1:8">
      <c r="A284" s="50">
        <v>46160</v>
      </c>
      <c r="B284" s="50" t="s">
        <v>65</v>
      </c>
      <c r="C284" t="s">
        <v>431</v>
      </c>
      <c r="D284" t="s">
        <v>153</v>
      </c>
      <c r="E284" t="s">
        <v>457</v>
      </c>
      <c r="F284" t="s">
        <v>225</v>
      </c>
      <c r="G284" t="s">
        <v>289</v>
      </c>
      <c r="H284" t="s">
        <v>367</v>
      </c>
    </row>
    <row r="285" spans="1:8">
      <c r="A285" s="50">
        <v>46167</v>
      </c>
      <c r="B285" s="50" t="s">
        <v>222</v>
      </c>
      <c r="E285" t="s">
        <v>470</v>
      </c>
      <c r="F285" s="118" t="s">
        <v>155</v>
      </c>
      <c r="G285" t="s">
        <v>132</v>
      </c>
      <c r="H285" t="s">
        <v>471</v>
      </c>
    </row>
    <row r="286" spans="1:8">
      <c r="A286" s="50">
        <v>46168</v>
      </c>
      <c r="B286" s="50" t="s">
        <v>18</v>
      </c>
      <c r="C286" t="s">
        <v>152</v>
      </c>
      <c r="D286" t="s">
        <v>153</v>
      </c>
      <c r="E286" t="s">
        <v>472</v>
      </c>
      <c r="F286" s="118" t="s">
        <v>155</v>
      </c>
      <c r="G286" t="s">
        <v>132</v>
      </c>
      <c r="H286" t="s">
        <v>473</v>
      </c>
    </row>
    <row r="287" spans="1:8">
      <c r="A287" s="50">
        <v>46171</v>
      </c>
      <c r="B287" s="50" t="s">
        <v>11</v>
      </c>
      <c r="C287" t="s">
        <v>431</v>
      </c>
      <c r="D287" t="s">
        <v>153</v>
      </c>
      <c r="E287" t="s">
        <v>474</v>
      </c>
      <c r="F287" t="s">
        <v>393</v>
      </c>
      <c r="G287" t="s">
        <v>289</v>
      </c>
      <c r="H287" t="s">
        <v>475</v>
      </c>
    </row>
    <row r="288" spans="1:8">
      <c r="A288" s="50">
        <v>46171</v>
      </c>
      <c r="B288" s="50" t="s">
        <v>38</v>
      </c>
      <c r="C288" t="s">
        <v>431</v>
      </c>
      <c r="D288" t="s">
        <v>153</v>
      </c>
      <c r="E288" t="s">
        <v>476</v>
      </c>
      <c r="F288" t="s">
        <v>225</v>
      </c>
      <c r="G288" t="s">
        <v>289</v>
      </c>
      <c r="H288" t="s">
        <v>475</v>
      </c>
    </row>
    <row r="289" spans="1:8">
      <c r="A289" s="50">
        <v>46172</v>
      </c>
      <c r="B289" s="50" t="s">
        <v>40</v>
      </c>
      <c r="C289" t="s">
        <v>152</v>
      </c>
      <c r="D289" t="s">
        <v>380</v>
      </c>
      <c r="E289" t="s">
        <v>477</v>
      </c>
      <c r="F289" t="s">
        <v>155</v>
      </c>
      <c r="G289" t="s">
        <v>132</v>
      </c>
      <c r="H289" t="s">
        <v>478</v>
      </c>
    </row>
    <row r="290" spans="1:8">
      <c r="A290" s="50">
        <v>46175</v>
      </c>
      <c r="B290" s="50" t="s">
        <v>40</v>
      </c>
      <c r="C290" t="s">
        <v>230</v>
      </c>
      <c r="D290" t="s">
        <v>380</v>
      </c>
      <c r="E290" t="s">
        <v>479</v>
      </c>
      <c r="F290" t="s">
        <v>225</v>
      </c>
      <c r="G290" t="s">
        <v>289</v>
      </c>
      <c r="H290" t="s">
        <v>277</v>
      </c>
    </row>
    <row r="291" spans="1:8">
      <c r="A291" s="50">
        <v>46175</v>
      </c>
      <c r="B291" s="50" t="s">
        <v>11</v>
      </c>
      <c r="C291" t="s">
        <v>230</v>
      </c>
      <c r="D291" t="s">
        <v>153</v>
      </c>
      <c r="E291" t="s">
        <v>480</v>
      </c>
      <c r="F291" t="s">
        <v>225</v>
      </c>
      <c r="G291" t="s">
        <v>289</v>
      </c>
      <c r="H291" t="s">
        <v>277</v>
      </c>
    </row>
    <row r="292" spans="1:8">
      <c r="A292" s="50">
        <v>46176</v>
      </c>
      <c r="B292" s="50" t="s">
        <v>40</v>
      </c>
      <c r="C292" t="s">
        <v>431</v>
      </c>
      <c r="D292" t="s">
        <v>153</v>
      </c>
      <c r="E292" t="s">
        <v>481</v>
      </c>
      <c r="F292" t="s">
        <v>225</v>
      </c>
      <c r="G292" t="s">
        <v>289</v>
      </c>
      <c r="H292" t="s">
        <v>277</v>
      </c>
    </row>
    <row r="293" spans="1:8">
      <c r="A293" s="50">
        <v>46182</v>
      </c>
      <c r="B293" s="50" t="s">
        <v>26</v>
      </c>
      <c r="C293" t="s">
        <v>264</v>
      </c>
      <c r="D293" t="s">
        <v>153</v>
      </c>
      <c r="E293" t="s">
        <v>482</v>
      </c>
      <c r="F293" t="s">
        <v>225</v>
      </c>
      <c r="G293" t="s">
        <v>289</v>
      </c>
      <c r="H293" t="s">
        <v>277</v>
      </c>
    </row>
    <row r="294" spans="1:8">
      <c r="A294" s="50">
        <v>46182</v>
      </c>
      <c r="B294" s="50" t="s">
        <v>27</v>
      </c>
      <c r="C294" t="s">
        <v>264</v>
      </c>
      <c r="D294" t="s">
        <v>153</v>
      </c>
      <c r="E294" t="s">
        <v>482</v>
      </c>
      <c r="F294" t="s">
        <v>225</v>
      </c>
      <c r="G294" t="s">
        <v>289</v>
      </c>
      <c r="H294" t="s">
        <v>277</v>
      </c>
    </row>
    <row r="295" spans="1:8">
      <c r="A295" s="50">
        <v>46183</v>
      </c>
      <c r="B295" s="50" t="s">
        <v>49</v>
      </c>
      <c r="C295" t="s">
        <v>230</v>
      </c>
      <c r="D295" t="s">
        <v>153</v>
      </c>
      <c r="E295" t="s">
        <v>483</v>
      </c>
      <c r="F295" t="s">
        <v>225</v>
      </c>
      <c r="G295" t="s">
        <v>289</v>
      </c>
      <c r="H295" t="s">
        <v>245</v>
      </c>
    </row>
    <row r="296" spans="1:8">
      <c r="A296" s="50">
        <v>46186</v>
      </c>
      <c r="B296" s="50" t="s">
        <v>47</v>
      </c>
      <c r="C296" t="s">
        <v>431</v>
      </c>
      <c r="D296" t="s">
        <v>153</v>
      </c>
      <c r="E296" t="s">
        <v>484</v>
      </c>
      <c r="F296" t="s">
        <v>225</v>
      </c>
      <c r="G296" t="s">
        <v>289</v>
      </c>
      <c r="H296" t="s">
        <v>245</v>
      </c>
    </row>
    <row r="297" spans="1:8">
      <c r="A297" s="50">
        <v>46189</v>
      </c>
      <c r="B297" s="50" t="s">
        <v>24</v>
      </c>
      <c r="C297" t="s">
        <v>230</v>
      </c>
      <c r="D297" t="s">
        <v>380</v>
      </c>
      <c r="E297" t="s">
        <v>485</v>
      </c>
      <c r="F297" t="s">
        <v>225</v>
      </c>
      <c r="G297" t="s">
        <v>289</v>
      </c>
      <c r="H297" t="s">
        <v>245</v>
      </c>
    </row>
    <row r="298" spans="1:8">
      <c r="A298" s="50">
        <v>46190</v>
      </c>
      <c r="B298" s="50" t="s">
        <v>49</v>
      </c>
      <c r="C298" t="s">
        <v>230</v>
      </c>
      <c r="D298" t="s">
        <v>380</v>
      </c>
      <c r="E298" t="s">
        <v>486</v>
      </c>
      <c r="F298" t="s">
        <v>393</v>
      </c>
      <c r="G298" t="s">
        <v>289</v>
      </c>
      <c r="H298" t="s">
        <v>487</v>
      </c>
    </row>
    <row r="299" spans="1:8">
      <c r="A299" s="50">
        <v>46190</v>
      </c>
      <c r="B299" s="50" t="s">
        <v>24</v>
      </c>
      <c r="C299" t="s">
        <v>230</v>
      </c>
      <c r="D299" t="s">
        <v>380</v>
      </c>
      <c r="E299" t="s">
        <v>488</v>
      </c>
      <c r="G299" t="s">
        <v>289</v>
      </c>
      <c r="H299" t="s">
        <v>245</v>
      </c>
    </row>
    <row r="300" spans="1:8">
      <c r="A300" s="50">
        <v>46190</v>
      </c>
      <c r="B300" s="50" t="s">
        <v>24</v>
      </c>
      <c r="C300" t="s">
        <v>230</v>
      </c>
      <c r="D300" t="s">
        <v>153</v>
      </c>
      <c r="E300" t="s">
        <v>489</v>
      </c>
      <c r="G300" t="s">
        <v>289</v>
      </c>
      <c r="H300" t="s">
        <v>245</v>
      </c>
    </row>
    <row r="301" spans="1:8">
      <c r="A301" s="50">
        <v>46191</v>
      </c>
      <c r="B301" s="50" t="s">
        <v>49</v>
      </c>
      <c r="C301" t="s">
        <v>294</v>
      </c>
      <c r="D301" t="s">
        <v>70</v>
      </c>
      <c r="E301" t="s">
        <v>490</v>
      </c>
      <c r="F301" t="s">
        <v>225</v>
      </c>
      <c r="G301" s="117" t="s">
        <v>289</v>
      </c>
      <c r="H301" t="s">
        <v>367</v>
      </c>
    </row>
    <row r="302" spans="1:8">
      <c r="A302" s="50">
        <v>46191</v>
      </c>
      <c r="B302" s="50" t="s">
        <v>49</v>
      </c>
      <c r="C302" t="s">
        <v>294</v>
      </c>
      <c r="D302" t="s">
        <v>153</v>
      </c>
      <c r="E302" t="s">
        <v>491</v>
      </c>
      <c r="F302" t="s">
        <v>225</v>
      </c>
      <c r="G302" s="117" t="s">
        <v>289</v>
      </c>
      <c r="H302" t="s">
        <v>367</v>
      </c>
    </row>
    <row r="303" spans="1:8">
      <c r="A303" s="50">
        <v>46195</v>
      </c>
      <c r="B303" s="50" t="s">
        <v>23</v>
      </c>
      <c r="C303" t="s">
        <v>230</v>
      </c>
      <c r="D303" t="s">
        <v>153</v>
      </c>
      <c r="E303" t="s">
        <v>492</v>
      </c>
      <c r="F303" t="s">
        <v>225</v>
      </c>
      <c r="G303" t="s">
        <v>289</v>
      </c>
      <c r="H303" t="s">
        <v>493</v>
      </c>
    </row>
    <row r="304" spans="1:8">
      <c r="A304" s="50">
        <v>46195</v>
      </c>
      <c r="B304" s="50" t="s">
        <v>13</v>
      </c>
      <c r="C304" t="s">
        <v>230</v>
      </c>
      <c r="E304" t="s">
        <v>494</v>
      </c>
      <c r="F304" t="s">
        <v>225</v>
      </c>
      <c r="G304" t="s">
        <v>289</v>
      </c>
      <c r="H304" t="s">
        <v>245</v>
      </c>
    </row>
    <row r="305" spans="1:8">
      <c r="A305" s="50">
        <v>46199</v>
      </c>
      <c r="B305" s="50" t="s">
        <v>23</v>
      </c>
      <c r="C305" t="s">
        <v>230</v>
      </c>
      <c r="D305" t="s">
        <v>380</v>
      </c>
      <c r="E305" t="s">
        <v>495</v>
      </c>
      <c r="F305" t="s">
        <v>225</v>
      </c>
      <c r="G305" t="s">
        <v>289</v>
      </c>
      <c r="H305" t="s">
        <v>493</v>
      </c>
    </row>
    <row r="306" spans="1:8">
      <c r="A306" s="50">
        <v>46199</v>
      </c>
      <c r="B306" s="50" t="s">
        <v>33</v>
      </c>
      <c r="C306" t="s">
        <v>160</v>
      </c>
      <c r="D306" t="s">
        <v>380</v>
      </c>
      <c r="E306" t="s">
        <v>496</v>
      </c>
      <c r="F306" t="s">
        <v>407</v>
      </c>
      <c r="G306" t="s">
        <v>258</v>
      </c>
      <c r="H306" t="s">
        <v>443</v>
      </c>
    </row>
    <row r="307" spans="1:8">
      <c r="A307" s="50">
        <v>46203</v>
      </c>
      <c r="B307" s="50" t="s">
        <v>11</v>
      </c>
      <c r="C307" t="s">
        <v>264</v>
      </c>
      <c r="D307" t="s">
        <v>153</v>
      </c>
      <c r="E307" t="s">
        <v>497</v>
      </c>
      <c r="F307" t="s">
        <v>155</v>
      </c>
      <c r="G307" t="s">
        <v>258</v>
      </c>
      <c r="H307" t="s">
        <v>443</v>
      </c>
    </row>
    <row r="308" spans="1:8">
      <c r="A308" s="50">
        <v>46203</v>
      </c>
      <c r="B308" s="50" t="s">
        <v>28</v>
      </c>
      <c r="C308" t="s">
        <v>264</v>
      </c>
      <c r="D308" t="s">
        <v>380</v>
      </c>
      <c r="E308" t="s">
        <v>498</v>
      </c>
      <c r="F308" t="s">
        <v>155</v>
      </c>
      <c r="G308" t="s">
        <v>258</v>
      </c>
      <c r="H308" t="s">
        <v>443</v>
      </c>
    </row>
    <row r="309" spans="1:8">
      <c r="A309" s="50">
        <v>46203</v>
      </c>
      <c r="B309" s="50" t="s">
        <v>38</v>
      </c>
      <c r="C309" t="s">
        <v>264</v>
      </c>
      <c r="D309" t="s">
        <v>380</v>
      </c>
      <c r="E309" t="s">
        <v>499</v>
      </c>
      <c r="F309" t="s">
        <v>155</v>
      </c>
      <c r="G309" t="s">
        <v>258</v>
      </c>
      <c r="H309" t="s">
        <v>443</v>
      </c>
    </row>
    <row r="310" spans="1:8">
      <c r="A310" s="50">
        <v>46204</v>
      </c>
      <c r="B310" s="50" t="s">
        <v>23</v>
      </c>
      <c r="C310" t="s">
        <v>431</v>
      </c>
      <c r="D310" t="s">
        <v>153</v>
      </c>
      <c r="E310" t="s">
        <v>500</v>
      </c>
      <c r="F310" t="s">
        <v>501</v>
      </c>
      <c r="G310" t="s">
        <v>289</v>
      </c>
      <c r="H310" t="s">
        <v>245</v>
      </c>
    </row>
    <row r="311" spans="1:8">
      <c r="A311" s="50">
        <v>46204</v>
      </c>
      <c r="B311" s="50" t="s">
        <v>33</v>
      </c>
      <c r="C311" t="s">
        <v>264</v>
      </c>
      <c r="D311" t="s">
        <v>380</v>
      </c>
      <c r="E311" t="s">
        <v>502</v>
      </c>
      <c r="F311" t="s">
        <v>225</v>
      </c>
      <c r="G311" t="s">
        <v>289</v>
      </c>
      <c r="H311" t="s">
        <v>493</v>
      </c>
    </row>
    <row r="312" spans="1:8">
      <c r="A312" s="50">
        <v>46205</v>
      </c>
      <c r="B312" s="50" t="s">
        <v>11</v>
      </c>
      <c r="C312" t="s">
        <v>230</v>
      </c>
      <c r="D312" t="s">
        <v>153</v>
      </c>
      <c r="E312" t="s">
        <v>503</v>
      </c>
      <c r="F312" t="s">
        <v>393</v>
      </c>
      <c r="G312" t="s">
        <v>289</v>
      </c>
      <c r="H312" t="s">
        <v>504</v>
      </c>
    </row>
    <row r="313" spans="1:8">
      <c r="A313" s="50">
        <v>46206</v>
      </c>
      <c r="B313" s="50" t="s">
        <v>13</v>
      </c>
      <c r="C313" t="s">
        <v>431</v>
      </c>
      <c r="D313" t="s">
        <v>153</v>
      </c>
      <c r="E313" t="s">
        <v>505</v>
      </c>
      <c r="F313" t="s">
        <v>501</v>
      </c>
      <c r="G313" t="s">
        <v>289</v>
      </c>
      <c r="H313" t="s">
        <v>245</v>
      </c>
    </row>
    <row r="314" spans="1:8">
      <c r="A314" s="50">
        <v>46207</v>
      </c>
      <c r="B314" s="50" t="s">
        <v>33</v>
      </c>
      <c r="C314" t="s">
        <v>431</v>
      </c>
      <c r="D314" t="s">
        <v>153</v>
      </c>
      <c r="E314" t="s">
        <v>506</v>
      </c>
      <c r="F314" t="s">
        <v>225</v>
      </c>
      <c r="G314" t="s">
        <v>289</v>
      </c>
      <c r="H314" t="s">
        <v>245</v>
      </c>
    </row>
    <row r="315" spans="1:8">
      <c r="A315" s="50">
        <v>46210</v>
      </c>
      <c r="B315" s="50" t="s">
        <v>54</v>
      </c>
      <c r="C315" t="s">
        <v>152</v>
      </c>
      <c r="D315" t="s">
        <v>153</v>
      </c>
      <c r="F315" t="s">
        <v>155</v>
      </c>
    </row>
    <row r="316" spans="1:8">
      <c r="A316" s="50">
        <v>46577</v>
      </c>
      <c r="B316" s="50" t="s">
        <v>38</v>
      </c>
      <c r="C316" t="s">
        <v>152</v>
      </c>
      <c r="E316" t="s">
        <v>507</v>
      </c>
      <c r="F316" t="s">
        <v>155</v>
      </c>
      <c r="G316" t="s">
        <v>258</v>
      </c>
      <c r="H316" t="s">
        <v>132</v>
      </c>
    </row>
    <row r="317" spans="1:8">
      <c r="A317" s="50">
        <v>46213</v>
      </c>
      <c r="B317" s="50"/>
      <c r="C317" t="s">
        <v>152</v>
      </c>
      <c r="E317" t="s">
        <v>508</v>
      </c>
      <c r="F317" t="s">
        <v>155</v>
      </c>
      <c r="G317" t="s">
        <v>258</v>
      </c>
      <c r="H317" t="s">
        <v>132</v>
      </c>
    </row>
    <row r="318" spans="1:8">
      <c r="A318" s="50">
        <v>46218</v>
      </c>
      <c r="B318" s="50" t="s">
        <v>28</v>
      </c>
      <c r="C318" t="s">
        <v>294</v>
      </c>
      <c r="D318" t="s">
        <v>70</v>
      </c>
      <c r="E318" t="s">
        <v>509</v>
      </c>
      <c r="F318" t="s">
        <v>263</v>
      </c>
      <c r="G318" t="s">
        <v>289</v>
      </c>
      <c r="H318" t="s">
        <v>367</v>
      </c>
    </row>
    <row r="319" spans="1:8">
      <c r="A319" s="50">
        <v>46219</v>
      </c>
      <c r="B319" s="50" t="s">
        <v>53</v>
      </c>
      <c r="C319" t="s">
        <v>152</v>
      </c>
      <c r="E319" t="s">
        <v>510</v>
      </c>
      <c r="F319" t="s">
        <v>155</v>
      </c>
      <c r="G319" t="s">
        <v>258</v>
      </c>
      <c r="H319" t="s">
        <v>132</v>
      </c>
    </row>
    <row r="320" spans="1:8">
      <c r="A320" s="103">
        <v>46220</v>
      </c>
      <c r="B320" s="50" t="s">
        <v>34</v>
      </c>
      <c r="C320" t="s">
        <v>160</v>
      </c>
      <c r="D320" t="s">
        <v>153</v>
      </c>
      <c r="E320" t="s">
        <v>511</v>
      </c>
      <c r="F320" t="s">
        <v>155</v>
      </c>
      <c r="G320" t="s">
        <v>258</v>
      </c>
      <c r="H320" t="s">
        <v>132</v>
      </c>
    </row>
    <row r="321" spans="1:8">
      <c r="A321" s="50">
        <v>46223</v>
      </c>
      <c r="B321" s="50" t="s">
        <v>33</v>
      </c>
      <c r="C321" t="s">
        <v>160</v>
      </c>
      <c r="D321" t="s">
        <v>380</v>
      </c>
      <c r="E321" t="s">
        <v>512</v>
      </c>
      <c r="F321" t="s">
        <v>155</v>
      </c>
      <c r="G321" t="s">
        <v>258</v>
      </c>
      <c r="H321" t="s">
        <v>132</v>
      </c>
    </row>
    <row r="322" spans="1:8">
      <c r="A322" s="50">
        <v>46223</v>
      </c>
      <c r="B322" s="50" t="s">
        <v>33</v>
      </c>
      <c r="C322" t="s">
        <v>152</v>
      </c>
      <c r="E322" t="s">
        <v>513</v>
      </c>
      <c r="F322" t="s">
        <v>155</v>
      </c>
      <c r="G322" t="s">
        <v>258</v>
      </c>
      <c r="H322" t="s">
        <v>132</v>
      </c>
    </row>
    <row r="323" spans="1:8">
      <c r="A323" s="50">
        <v>46225</v>
      </c>
      <c r="B323" s="50" t="s">
        <v>38</v>
      </c>
      <c r="C323" t="s">
        <v>431</v>
      </c>
      <c r="D323" t="s">
        <v>153</v>
      </c>
      <c r="E323" t="s">
        <v>514</v>
      </c>
      <c r="F323" t="s">
        <v>225</v>
      </c>
      <c r="G323" t="s">
        <v>289</v>
      </c>
      <c r="H323" t="s">
        <v>245</v>
      </c>
    </row>
    <row r="324" spans="1:8">
      <c r="A324" s="50">
        <v>46230</v>
      </c>
      <c r="B324" s="50" t="s">
        <v>11</v>
      </c>
      <c r="C324" t="s">
        <v>230</v>
      </c>
      <c r="D324" t="s">
        <v>380</v>
      </c>
      <c r="E324" t="s">
        <v>515</v>
      </c>
      <c r="F324" t="s">
        <v>155</v>
      </c>
      <c r="G324" t="s">
        <v>132</v>
      </c>
      <c r="H324" t="s">
        <v>132</v>
      </c>
    </row>
    <row r="325" spans="1:8">
      <c r="A325" s="50">
        <v>46232</v>
      </c>
      <c r="B325" s="50" t="s">
        <v>53</v>
      </c>
      <c r="C325" t="s">
        <v>152</v>
      </c>
      <c r="D325" t="s">
        <v>153</v>
      </c>
      <c r="E325" t="s">
        <v>516</v>
      </c>
      <c r="F325" t="s">
        <v>517</v>
      </c>
      <c r="G325" t="s">
        <v>289</v>
      </c>
      <c r="H325" t="s">
        <v>245</v>
      </c>
    </row>
    <row r="326" spans="1:8">
      <c r="A326" s="50">
        <v>46232</v>
      </c>
      <c r="B326" s="50" t="s">
        <v>28</v>
      </c>
      <c r="C326" t="s">
        <v>160</v>
      </c>
      <c r="D326" t="s">
        <v>70</v>
      </c>
      <c r="E326" t="s">
        <v>518</v>
      </c>
      <c r="F326" t="s">
        <v>263</v>
      </c>
      <c r="G326" t="s">
        <v>289</v>
      </c>
      <c r="H326" t="s">
        <v>245</v>
      </c>
    </row>
    <row r="327" spans="1:8">
      <c r="A327" s="50">
        <v>46237</v>
      </c>
      <c r="B327" s="50" t="s">
        <v>23</v>
      </c>
      <c r="C327" t="s">
        <v>294</v>
      </c>
      <c r="D327" t="s">
        <v>70</v>
      </c>
      <c r="E327" t="s">
        <v>519</v>
      </c>
      <c r="F327" t="s">
        <v>225</v>
      </c>
      <c r="G327" t="s">
        <v>289</v>
      </c>
      <c r="H327" t="s">
        <v>367</v>
      </c>
    </row>
    <row r="328" spans="1:8">
      <c r="A328" s="50">
        <v>46237</v>
      </c>
      <c r="B328" s="50" t="s">
        <v>33</v>
      </c>
      <c r="C328" t="s">
        <v>230</v>
      </c>
      <c r="D328" t="s">
        <v>70</v>
      </c>
      <c r="E328" t="s">
        <v>520</v>
      </c>
      <c r="F328" t="s">
        <v>225</v>
      </c>
      <c r="G328" t="s">
        <v>289</v>
      </c>
      <c r="H328" t="s">
        <v>245</v>
      </c>
    </row>
    <row r="329" spans="1:8">
      <c r="A329" s="50">
        <v>46238</v>
      </c>
      <c r="B329" s="50" t="s">
        <v>23</v>
      </c>
      <c r="C329" t="s">
        <v>431</v>
      </c>
      <c r="D329" t="s">
        <v>380</v>
      </c>
      <c r="E329" t="s">
        <v>521</v>
      </c>
      <c r="F329" t="s">
        <v>225</v>
      </c>
      <c r="G329" t="s">
        <v>289</v>
      </c>
      <c r="H329" t="s">
        <v>245</v>
      </c>
    </row>
    <row r="330" spans="1:8">
      <c r="A330" s="50">
        <v>46238</v>
      </c>
      <c r="B330" s="50" t="s">
        <v>53</v>
      </c>
      <c r="C330" t="s">
        <v>230</v>
      </c>
      <c r="D330" t="s">
        <v>153</v>
      </c>
      <c r="E330" t="s">
        <v>522</v>
      </c>
      <c r="F330" t="s">
        <v>523</v>
      </c>
      <c r="G330" t="s">
        <v>289</v>
      </c>
      <c r="H330" t="s">
        <v>270</v>
      </c>
    </row>
    <row r="331" spans="1:8">
      <c r="A331" s="50">
        <v>46240</v>
      </c>
      <c r="B331" s="50" t="s">
        <v>24</v>
      </c>
      <c r="C331" t="s">
        <v>152</v>
      </c>
      <c r="D331" t="s">
        <v>153</v>
      </c>
      <c r="E331" t="s">
        <v>524</v>
      </c>
      <c r="F331" t="s">
        <v>525</v>
      </c>
      <c r="G331" t="s">
        <v>258</v>
      </c>
      <c r="H331" t="s">
        <v>132</v>
      </c>
    </row>
    <row r="332" spans="1:8">
      <c r="A332" s="50">
        <v>46241</v>
      </c>
      <c r="B332" s="50" t="s">
        <v>65</v>
      </c>
      <c r="C332" t="s">
        <v>152</v>
      </c>
      <c r="D332" t="s">
        <v>153</v>
      </c>
      <c r="E332" t="s">
        <v>526</v>
      </c>
      <c r="F332" t="s">
        <v>155</v>
      </c>
      <c r="G332" t="s">
        <v>258</v>
      </c>
      <c r="H332" t="s">
        <v>132</v>
      </c>
    </row>
    <row r="333" spans="1:8">
      <c r="A333" s="50">
        <v>46244</v>
      </c>
      <c r="B333" s="50" t="s">
        <v>47</v>
      </c>
      <c r="C333" t="s">
        <v>264</v>
      </c>
      <c r="D333" t="s">
        <v>153</v>
      </c>
      <c r="E333" t="s">
        <v>527</v>
      </c>
      <c r="F333" t="s">
        <v>225</v>
      </c>
      <c r="G333" t="s">
        <v>289</v>
      </c>
      <c r="H333" t="s">
        <v>245</v>
      </c>
    </row>
    <row r="334" spans="1:8">
      <c r="A334" s="50">
        <v>46244</v>
      </c>
      <c r="B334" s="50" t="s">
        <v>27</v>
      </c>
      <c r="C334" t="s">
        <v>264</v>
      </c>
      <c r="D334" t="s">
        <v>153</v>
      </c>
      <c r="E334" t="s">
        <v>528</v>
      </c>
      <c r="F334" t="s">
        <v>225</v>
      </c>
      <c r="G334" t="s">
        <v>289</v>
      </c>
      <c r="H334" t="s">
        <v>245</v>
      </c>
    </row>
    <row r="335" spans="1:8">
      <c r="A335" s="50">
        <v>46244</v>
      </c>
      <c r="B335" s="50" t="s">
        <v>529</v>
      </c>
      <c r="C335" t="s">
        <v>230</v>
      </c>
      <c r="D335" t="s">
        <v>70</v>
      </c>
      <c r="E335" t="s">
        <v>530</v>
      </c>
      <c r="F335" t="s">
        <v>225</v>
      </c>
      <c r="G335" t="s">
        <v>289</v>
      </c>
      <c r="H335" t="s">
        <v>367</v>
      </c>
    </row>
    <row r="336" spans="1:8">
      <c r="A336" s="50">
        <v>46246</v>
      </c>
      <c r="B336" s="50" t="s">
        <v>53</v>
      </c>
      <c r="C336" t="s">
        <v>264</v>
      </c>
      <c r="D336" t="s">
        <v>153</v>
      </c>
      <c r="E336" t="s">
        <v>531</v>
      </c>
      <c r="F336" t="s">
        <v>517</v>
      </c>
      <c r="G336" t="s">
        <v>289</v>
      </c>
      <c r="H336" t="s">
        <v>245</v>
      </c>
    </row>
    <row r="337" spans="1:8">
      <c r="A337" s="50">
        <v>46247</v>
      </c>
      <c r="B337" s="50" t="s">
        <v>26</v>
      </c>
      <c r="C337" t="s">
        <v>152</v>
      </c>
      <c r="D337" t="s">
        <v>153</v>
      </c>
      <c r="E337" t="s">
        <v>532</v>
      </c>
      <c r="F337" t="s">
        <v>155</v>
      </c>
      <c r="G337" t="s">
        <v>533</v>
      </c>
      <c r="H337" t="s">
        <v>533</v>
      </c>
    </row>
    <row r="338" spans="1:8">
      <c r="A338" s="50">
        <v>46247</v>
      </c>
      <c r="B338" s="50" t="s">
        <v>529</v>
      </c>
      <c r="C338" t="s">
        <v>431</v>
      </c>
      <c r="D338" t="s">
        <v>153</v>
      </c>
      <c r="E338" t="s">
        <v>534</v>
      </c>
      <c r="F338" t="s">
        <v>225</v>
      </c>
      <c r="G338" t="s">
        <v>289</v>
      </c>
      <c r="H338" t="s">
        <v>367</v>
      </c>
    </row>
    <row r="339" spans="1:8">
      <c r="A339" s="50">
        <v>46255</v>
      </c>
      <c r="B339" s="50" t="s">
        <v>33</v>
      </c>
      <c r="C339" t="s">
        <v>230</v>
      </c>
      <c r="E339" t="s">
        <v>535</v>
      </c>
      <c r="F339" t="s">
        <v>225</v>
      </c>
      <c r="G339" t="s">
        <v>289</v>
      </c>
      <c r="H339" t="s">
        <v>245</v>
      </c>
    </row>
    <row r="340" spans="1:8">
      <c r="A340" s="50">
        <v>46258</v>
      </c>
      <c r="B340" s="50" t="s">
        <v>38</v>
      </c>
      <c r="C340" t="s">
        <v>264</v>
      </c>
      <c r="D340" t="s">
        <v>380</v>
      </c>
      <c r="E340" t="s">
        <v>536</v>
      </c>
      <c r="F340" t="s">
        <v>155</v>
      </c>
      <c r="G340" t="s">
        <v>533</v>
      </c>
      <c r="H340" t="s">
        <v>533</v>
      </c>
    </row>
    <row r="341" spans="1:8">
      <c r="A341" s="50">
        <v>46258</v>
      </c>
      <c r="B341" s="50" t="s">
        <v>52</v>
      </c>
      <c r="C341" t="s">
        <v>230</v>
      </c>
      <c r="D341" t="s">
        <v>153</v>
      </c>
      <c r="E341" t="s">
        <v>537</v>
      </c>
      <c r="F341" t="s">
        <v>225</v>
      </c>
      <c r="G341" t="s">
        <v>289</v>
      </c>
      <c r="H341" t="s">
        <v>245</v>
      </c>
    </row>
    <row r="342" spans="1:8">
      <c r="A342" s="50">
        <v>46258</v>
      </c>
      <c r="B342" s="50" t="s">
        <v>44</v>
      </c>
      <c r="C342" t="s">
        <v>264</v>
      </c>
      <c r="D342" t="s">
        <v>380</v>
      </c>
      <c r="E342" t="s">
        <v>538</v>
      </c>
      <c r="F342" t="s">
        <v>225</v>
      </c>
      <c r="G342" t="s">
        <v>289</v>
      </c>
      <c r="H342" t="s">
        <v>245</v>
      </c>
    </row>
    <row r="343" spans="1:8">
      <c r="A343" s="50">
        <v>46259</v>
      </c>
      <c r="B343" s="50" t="s">
        <v>44</v>
      </c>
      <c r="C343" t="s">
        <v>230</v>
      </c>
      <c r="D343" t="s">
        <v>70</v>
      </c>
      <c r="E343" t="s">
        <v>539</v>
      </c>
      <c r="F343" t="s">
        <v>225</v>
      </c>
      <c r="G343" t="s">
        <v>289</v>
      </c>
      <c r="H343" t="s">
        <v>245</v>
      </c>
    </row>
    <row r="344" spans="1:8">
      <c r="A344" s="50">
        <v>46260</v>
      </c>
      <c r="B344" s="50" t="s">
        <v>44</v>
      </c>
      <c r="C344" t="s">
        <v>431</v>
      </c>
      <c r="D344" t="s">
        <v>153</v>
      </c>
      <c r="E344" t="s">
        <v>540</v>
      </c>
      <c r="F344" t="s">
        <v>225</v>
      </c>
      <c r="G344" t="s">
        <v>289</v>
      </c>
      <c r="H344" t="s">
        <v>245</v>
      </c>
    </row>
    <row r="345" spans="1:8">
      <c r="A345" s="50">
        <v>46260</v>
      </c>
      <c r="B345" s="50" t="s">
        <v>57</v>
      </c>
      <c r="C345" t="s">
        <v>264</v>
      </c>
      <c r="D345" t="s">
        <v>153</v>
      </c>
      <c r="E345" t="s">
        <v>541</v>
      </c>
      <c r="F345" t="s">
        <v>225</v>
      </c>
      <c r="G345" t="s">
        <v>533</v>
      </c>
      <c r="H345" t="s">
        <v>533</v>
      </c>
    </row>
    <row r="346" spans="1:8">
      <c r="A346" s="50">
        <v>46269</v>
      </c>
      <c r="B346" s="50" t="s">
        <v>18</v>
      </c>
      <c r="C346" t="s">
        <v>230</v>
      </c>
      <c r="D346" t="s">
        <v>380</v>
      </c>
      <c r="E346" t="s">
        <v>542</v>
      </c>
      <c r="F346" t="s">
        <v>225</v>
      </c>
      <c r="G346" t="s">
        <v>289</v>
      </c>
      <c r="H346" t="s">
        <v>367</v>
      </c>
    </row>
    <row r="347" spans="1:8">
      <c r="A347" s="50">
        <v>46273</v>
      </c>
      <c r="B347" s="50" t="s">
        <v>38</v>
      </c>
      <c r="C347" t="s">
        <v>230</v>
      </c>
      <c r="D347" t="s">
        <v>70</v>
      </c>
      <c r="E347" t="s">
        <v>543</v>
      </c>
      <c r="F347" t="s">
        <v>225</v>
      </c>
      <c r="G347" t="s">
        <v>289</v>
      </c>
      <c r="H347" t="s">
        <v>367</v>
      </c>
    </row>
    <row r="348" spans="1:8">
      <c r="A348" s="50">
        <v>46275</v>
      </c>
      <c r="B348" s="50" t="s">
        <v>38</v>
      </c>
      <c r="C348" t="s">
        <v>431</v>
      </c>
      <c r="D348" t="s">
        <v>153</v>
      </c>
      <c r="E348" t="s">
        <v>544</v>
      </c>
      <c r="F348" t="s">
        <v>225</v>
      </c>
      <c r="G348" t="s">
        <v>289</v>
      </c>
      <c r="H348" t="s">
        <v>367</v>
      </c>
    </row>
    <row r="349" spans="1:8">
      <c r="A349" s="50">
        <v>46277</v>
      </c>
      <c r="B349" s="50" t="s">
        <v>65</v>
      </c>
      <c r="C349" t="s">
        <v>230</v>
      </c>
      <c r="D349" t="s">
        <v>380</v>
      </c>
      <c r="E349" t="s">
        <v>545</v>
      </c>
      <c r="F349" t="s">
        <v>225</v>
      </c>
      <c r="G349" t="s">
        <v>289</v>
      </c>
      <c r="H349" t="s">
        <v>245</v>
      </c>
    </row>
    <row r="350" spans="1:8">
      <c r="A350" s="50">
        <v>46277</v>
      </c>
      <c r="B350" s="50" t="s">
        <v>34</v>
      </c>
      <c r="C350" t="s">
        <v>264</v>
      </c>
      <c r="D350" t="s">
        <v>153</v>
      </c>
      <c r="E350" t="s">
        <v>546</v>
      </c>
      <c r="F350" t="s">
        <v>225</v>
      </c>
      <c r="G350" t="s">
        <v>289</v>
      </c>
      <c r="H350" t="s">
        <v>245</v>
      </c>
    </row>
    <row r="351" spans="1:8">
      <c r="A351" s="50">
        <v>46279</v>
      </c>
      <c r="B351" s="50" t="s">
        <v>547</v>
      </c>
      <c r="C351" t="s">
        <v>230</v>
      </c>
      <c r="D351" t="s">
        <v>70</v>
      </c>
      <c r="E351" t="s">
        <v>548</v>
      </c>
      <c r="F351" t="s">
        <v>225</v>
      </c>
      <c r="G351" t="s">
        <v>289</v>
      </c>
      <c r="H351" t="s">
        <v>245</v>
      </c>
    </row>
    <row r="352" spans="1:8">
      <c r="A352" s="50">
        <v>46282</v>
      </c>
      <c r="B352" s="50" t="s">
        <v>38</v>
      </c>
      <c r="C352" t="s">
        <v>160</v>
      </c>
      <c r="D352" t="s">
        <v>380</v>
      </c>
      <c r="E352" t="s">
        <v>549</v>
      </c>
      <c r="F352" t="s">
        <v>155</v>
      </c>
      <c r="G352" t="s">
        <v>132</v>
      </c>
      <c r="H352" t="s">
        <v>132</v>
      </c>
    </row>
    <row r="353" spans="1:8">
      <c r="A353" s="50">
        <v>46282</v>
      </c>
      <c r="B353" s="50" t="s">
        <v>18</v>
      </c>
      <c r="C353" t="s">
        <v>160</v>
      </c>
      <c r="D353" t="s">
        <v>380</v>
      </c>
      <c r="E353" t="s">
        <v>550</v>
      </c>
      <c r="F353" t="s">
        <v>155</v>
      </c>
      <c r="G353" t="s">
        <v>132</v>
      </c>
      <c r="H353" t="s">
        <v>132</v>
      </c>
    </row>
    <row r="354" spans="1:8">
      <c r="A354" s="50">
        <v>46286</v>
      </c>
      <c r="B354" s="50" t="s">
        <v>18</v>
      </c>
      <c r="C354" t="s">
        <v>264</v>
      </c>
      <c r="D354" t="s">
        <v>153</v>
      </c>
      <c r="E354" t="s">
        <v>551</v>
      </c>
      <c r="F354" t="s">
        <v>155</v>
      </c>
      <c r="G354" t="s">
        <v>132</v>
      </c>
      <c r="H354" t="s">
        <v>132</v>
      </c>
    </row>
  </sheetData>
  <dataValidations count="2">
    <dataValidation type="list" allowBlank="1" showInputMessage="1" showErrorMessage="1" sqref="D1:D1048576" xr:uid="{3CE7CA9C-613B-491E-811F-3AE6FBFB6599}">
      <formula1>"OPERATIVA,TALLER,FUERA_SERVICIO"</formula1>
    </dataValidation>
    <dataValidation type="list" allowBlank="1" showInputMessage="1" showErrorMessage="1" sqref="C1:C1048576" xr:uid="{F35746D9-7C32-4645-8DA3-D8A1288F2D94}">
      <formula1>"FALLA,INGRESO_TALLER,SALIDA_TALLER,MANT_PREVENTIVO,REVISIÓN,OTRO"</formula1>
    </dataValidation>
  </dataValidations>
  <hyperlinks>
    <hyperlink ref="C10" r:id="rId1" xr:uid="{690B81A9-EC57-4228-9DB6-F489ECAFF833}"/>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94B4B-D362-4101-B4F7-CFC14F902F5F}">
  <dimension ref="A1:L1048559"/>
  <sheetViews>
    <sheetView zoomScale="85" zoomScaleNormal="85" workbookViewId="0">
      <pane ySplit="1" topLeftCell="A269" activePane="bottomLeft" state="frozen"/>
      <selection pane="bottomLeft" activeCell="C272" sqref="C272"/>
    </sheetView>
  </sheetViews>
  <sheetFormatPr defaultColWidth="11.42578125" defaultRowHeight="15"/>
  <cols>
    <col min="2" max="2" width="32.85546875" customWidth="1"/>
    <col min="3" max="3" width="24.85546875" style="2" bestFit="1" customWidth="1"/>
    <col min="4" max="4" width="24.28515625" customWidth="1"/>
    <col min="5" max="5" width="23" customWidth="1"/>
    <col min="6" max="6" width="13.7109375" style="2" customWidth="1"/>
    <col min="7" max="7" width="20" style="75" customWidth="1"/>
    <col min="8" max="8" width="26.140625" customWidth="1"/>
    <col min="9" max="9" width="87.85546875" customWidth="1"/>
    <col min="10" max="10" width="13.140625" customWidth="1"/>
    <col min="11" max="11" width="14.28515625" customWidth="1"/>
    <col min="12" max="12" width="24" customWidth="1"/>
  </cols>
  <sheetData>
    <row r="1" spans="1:12">
      <c r="A1" s="72" t="s">
        <v>552</v>
      </c>
      <c r="B1" s="72" t="s">
        <v>553</v>
      </c>
      <c r="C1" s="74" t="s">
        <v>554</v>
      </c>
      <c r="D1" s="73" t="s">
        <v>289</v>
      </c>
      <c r="E1" s="73" t="s">
        <v>555</v>
      </c>
      <c r="F1" s="74" t="s">
        <v>556</v>
      </c>
      <c r="G1" s="120" t="s">
        <v>557</v>
      </c>
      <c r="H1" s="121" t="s">
        <v>558</v>
      </c>
      <c r="I1" s="73" t="s">
        <v>559</v>
      </c>
      <c r="J1" s="73" t="s">
        <v>560</v>
      </c>
      <c r="K1" s="73" t="s">
        <v>561</v>
      </c>
      <c r="L1" s="73" t="s">
        <v>1</v>
      </c>
    </row>
    <row r="2" spans="1:12">
      <c r="A2" s="9">
        <v>2025</v>
      </c>
      <c r="B2" s="122" t="s">
        <v>84</v>
      </c>
      <c r="C2" s="123">
        <v>21867778</v>
      </c>
      <c r="D2" s="124" t="s">
        <v>562</v>
      </c>
      <c r="E2" s="123" t="s">
        <v>563</v>
      </c>
      <c r="F2" s="125">
        <v>1178900</v>
      </c>
      <c r="G2" s="126">
        <v>1238006</v>
      </c>
      <c r="H2" s="127" t="s">
        <v>564</v>
      </c>
      <c r="I2" s="128" t="s">
        <v>565</v>
      </c>
      <c r="J2" s="129" t="s">
        <v>566</v>
      </c>
      <c r="K2" s="128" t="s">
        <v>567</v>
      </c>
      <c r="L2" s="128" t="s">
        <v>24</v>
      </c>
    </row>
    <row r="3" spans="1:12">
      <c r="A3" s="9">
        <v>2025</v>
      </c>
      <c r="B3" s="132" t="s">
        <v>568</v>
      </c>
      <c r="C3" s="123">
        <v>1</v>
      </c>
      <c r="D3" s="128" t="s">
        <v>569</v>
      </c>
      <c r="E3" s="133" t="s">
        <v>570</v>
      </c>
      <c r="F3" s="123">
        <v>1102</v>
      </c>
      <c r="G3" s="134">
        <v>249900</v>
      </c>
      <c r="H3" s="127" t="s">
        <v>564</v>
      </c>
      <c r="I3" s="128" t="s">
        <v>571</v>
      </c>
      <c r="J3" s="128" t="s">
        <v>572</v>
      </c>
      <c r="K3" s="128" t="s">
        <v>573</v>
      </c>
      <c r="L3" s="128" t="s">
        <v>33</v>
      </c>
    </row>
    <row r="4" spans="1:12">
      <c r="A4" s="9">
        <v>2025</v>
      </c>
      <c r="B4" s="132" t="s">
        <v>84</v>
      </c>
      <c r="C4" s="123">
        <v>21868950</v>
      </c>
      <c r="D4" s="128" t="s">
        <v>562</v>
      </c>
      <c r="E4" s="133" t="s">
        <v>574</v>
      </c>
      <c r="F4" s="124" t="s">
        <v>575</v>
      </c>
      <c r="G4" s="134">
        <v>839763</v>
      </c>
      <c r="H4" s="127" t="s">
        <v>564</v>
      </c>
      <c r="I4" s="128" t="s">
        <v>576</v>
      </c>
      <c r="J4" s="128" t="s">
        <v>577</v>
      </c>
      <c r="K4" s="128" t="s">
        <v>229</v>
      </c>
      <c r="L4" s="128" t="s">
        <v>18</v>
      </c>
    </row>
    <row r="5" spans="1:12">
      <c r="A5" s="9">
        <v>2025</v>
      </c>
      <c r="B5" s="132" t="s">
        <v>393</v>
      </c>
      <c r="C5" s="123">
        <v>652</v>
      </c>
      <c r="D5" s="128" t="s">
        <v>562</v>
      </c>
      <c r="E5" s="133" t="s">
        <v>578</v>
      </c>
      <c r="F5" s="123">
        <v>547</v>
      </c>
      <c r="G5" s="134">
        <v>1191033</v>
      </c>
      <c r="H5" s="127" t="s">
        <v>564</v>
      </c>
      <c r="I5" s="128" t="s">
        <v>576</v>
      </c>
      <c r="J5" s="128" t="s">
        <v>579</v>
      </c>
      <c r="K5" s="128" t="s">
        <v>580</v>
      </c>
      <c r="L5" s="128" t="s">
        <v>47</v>
      </c>
    </row>
    <row r="6" spans="1:12">
      <c r="A6" s="9">
        <v>2025</v>
      </c>
      <c r="B6" s="132" t="s">
        <v>393</v>
      </c>
      <c r="C6" s="123">
        <v>656</v>
      </c>
      <c r="D6" s="128" t="s">
        <v>562</v>
      </c>
      <c r="E6" s="133" t="s">
        <v>581</v>
      </c>
      <c r="F6" s="123">
        <v>549</v>
      </c>
      <c r="G6" s="134">
        <v>1222287</v>
      </c>
      <c r="H6" s="127" t="s">
        <v>564</v>
      </c>
      <c r="I6" s="128" t="s">
        <v>576</v>
      </c>
      <c r="J6" s="128" t="s">
        <v>582</v>
      </c>
      <c r="K6" s="135" t="s">
        <v>583</v>
      </c>
      <c r="L6" s="128" t="s">
        <v>99</v>
      </c>
    </row>
    <row r="7" spans="1:12">
      <c r="A7" s="9">
        <v>2025</v>
      </c>
      <c r="B7" s="132" t="s">
        <v>584</v>
      </c>
      <c r="C7" s="123">
        <v>753289</v>
      </c>
      <c r="D7" s="128" t="s">
        <v>585</v>
      </c>
      <c r="E7" s="133" t="s">
        <v>586</v>
      </c>
      <c r="F7" s="123">
        <v>769322</v>
      </c>
      <c r="G7" s="134">
        <v>71273</v>
      </c>
      <c r="H7" s="127" t="s">
        <v>564</v>
      </c>
      <c r="I7" s="128" t="s">
        <v>587</v>
      </c>
      <c r="J7" s="128" t="s">
        <v>588</v>
      </c>
      <c r="K7" s="128" t="s">
        <v>589</v>
      </c>
      <c r="L7" s="128" t="s">
        <v>28</v>
      </c>
    </row>
    <row r="8" spans="1:12">
      <c r="A8" s="9">
        <v>2025</v>
      </c>
      <c r="B8" s="132" t="s">
        <v>393</v>
      </c>
      <c r="C8" s="123">
        <v>658</v>
      </c>
      <c r="D8" s="128" t="s">
        <v>590</v>
      </c>
      <c r="E8" s="133" t="s">
        <v>591</v>
      </c>
      <c r="F8" s="123">
        <v>557</v>
      </c>
      <c r="G8" s="134">
        <v>750124</v>
      </c>
      <c r="H8" s="127" t="s">
        <v>564</v>
      </c>
      <c r="I8" s="128" t="s">
        <v>592</v>
      </c>
      <c r="J8" s="128" t="s">
        <v>593</v>
      </c>
      <c r="K8" s="128" t="s">
        <v>580</v>
      </c>
      <c r="L8" s="128" t="s">
        <v>47</v>
      </c>
    </row>
    <row r="9" spans="1:12">
      <c r="A9" s="9">
        <v>2025</v>
      </c>
      <c r="B9" s="136" t="s">
        <v>96</v>
      </c>
      <c r="C9" s="137">
        <v>3300</v>
      </c>
      <c r="D9" s="135" t="s">
        <v>590</v>
      </c>
      <c r="E9" s="130" t="s">
        <v>594</v>
      </c>
      <c r="F9" s="138" t="s">
        <v>575</v>
      </c>
      <c r="G9" s="139">
        <v>3449146</v>
      </c>
      <c r="H9" s="127" t="s">
        <v>564</v>
      </c>
      <c r="I9" s="135" t="s">
        <v>595</v>
      </c>
      <c r="J9" s="135"/>
      <c r="K9" s="135" t="s">
        <v>573</v>
      </c>
      <c r="L9" s="135" t="s">
        <v>34</v>
      </c>
    </row>
    <row r="10" spans="1:12">
      <c r="A10" s="9">
        <v>2025</v>
      </c>
      <c r="B10" s="136" t="s">
        <v>96</v>
      </c>
      <c r="C10" s="137">
        <v>3311</v>
      </c>
      <c r="D10" s="135" t="s">
        <v>585</v>
      </c>
      <c r="E10" s="130" t="s">
        <v>596</v>
      </c>
      <c r="F10" s="137">
        <v>1264</v>
      </c>
      <c r="G10" s="139">
        <v>81515</v>
      </c>
      <c r="H10" s="127" t="s">
        <v>564</v>
      </c>
      <c r="I10" s="135" t="s">
        <v>597</v>
      </c>
      <c r="J10" s="135" t="s">
        <v>598</v>
      </c>
      <c r="K10" s="135" t="s">
        <v>599</v>
      </c>
      <c r="L10" s="135" t="s">
        <v>11</v>
      </c>
    </row>
    <row r="11" spans="1:12">
      <c r="A11" s="9">
        <v>2025</v>
      </c>
      <c r="B11" s="136" t="s">
        <v>600</v>
      </c>
      <c r="C11" s="138" t="s">
        <v>601</v>
      </c>
      <c r="D11" s="135" t="s">
        <v>585</v>
      </c>
      <c r="E11" s="135" t="s">
        <v>602</v>
      </c>
      <c r="F11" s="137">
        <v>912</v>
      </c>
      <c r="G11" s="139">
        <v>20000</v>
      </c>
      <c r="H11" s="127" t="s">
        <v>564</v>
      </c>
      <c r="I11" s="135" t="s">
        <v>603</v>
      </c>
      <c r="J11" s="135" t="s">
        <v>604</v>
      </c>
      <c r="K11" s="135" t="s">
        <v>599</v>
      </c>
      <c r="L11" s="135" t="s">
        <v>11</v>
      </c>
    </row>
    <row r="12" spans="1:12">
      <c r="A12" s="9">
        <v>2025</v>
      </c>
      <c r="B12" s="136" t="s">
        <v>605</v>
      </c>
      <c r="C12" s="137">
        <v>450</v>
      </c>
      <c r="D12" s="135" t="s">
        <v>277</v>
      </c>
      <c r="E12" s="135" t="s">
        <v>602</v>
      </c>
      <c r="F12" s="137">
        <v>1091</v>
      </c>
      <c r="G12" s="139">
        <v>297500</v>
      </c>
      <c r="H12" s="127" t="s">
        <v>564</v>
      </c>
      <c r="I12" s="135" t="s">
        <v>606</v>
      </c>
      <c r="J12" s="135"/>
      <c r="K12" s="135" t="s">
        <v>573</v>
      </c>
      <c r="L12" s="135" t="s">
        <v>33</v>
      </c>
    </row>
    <row r="13" spans="1:12">
      <c r="A13" s="9">
        <v>2025</v>
      </c>
      <c r="B13" s="136" t="s">
        <v>605</v>
      </c>
      <c r="C13" s="137">
        <v>449</v>
      </c>
      <c r="D13" s="135" t="s">
        <v>277</v>
      </c>
      <c r="E13" s="135" t="s">
        <v>602</v>
      </c>
      <c r="F13" s="137">
        <v>1090</v>
      </c>
      <c r="G13" s="139">
        <v>142800</v>
      </c>
      <c r="H13" s="127" t="s">
        <v>564</v>
      </c>
      <c r="I13" s="135" t="s">
        <v>607</v>
      </c>
      <c r="J13" s="135"/>
      <c r="K13" s="135" t="s">
        <v>229</v>
      </c>
      <c r="L13" s="135" t="s">
        <v>18</v>
      </c>
    </row>
    <row r="14" spans="1:12">
      <c r="A14" s="9">
        <v>2025</v>
      </c>
      <c r="B14" s="136" t="s">
        <v>608</v>
      </c>
      <c r="C14" s="137" t="s">
        <v>609</v>
      </c>
      <c r="D14" s="135" t="s">
        <v>610</v>
      </c>
      <c r="E14" s="130" t="s">
        <v>611</v>
      </c>
      <c r="F14" s="137">
        <v>1571001</v>
      </c>
      <c r="G14" s="139">
        <v>460124</v>
      </c>
      <c r="H14" s="127" t="s">
        <v>564</v>
      </c>
      <c r="I14" s="135" t="s">
        <v>612</v>
      </c>
      <c r="J14" s="135" t="s">
        <v>613</v>
      </c>
      <c r="K14" s="135" t="s">
        <v>107</v>
      </c>
      <c r="L14" s="135" t="s">
        <v>614</v>
      </c>
    </row>
    <row r="15" spans="1:12">
      <c r="A15" s="9">
        <v>2025</v>
      </c>
      <c r="B15" s="136" t="s">
        <v>615</v>
      </c>
      <c r="C15" s="137" t="s">
        <v>554</v>
      </c>
      <c r="D15" s="135" t="s">
        <v>585</v>
      </c>
      <c r="E15" s="135" t="s">
        <v>602</v>
      </c>
      <c r="F15" s="138" t="s">
        <v>575</v>
      </c>
      <c r="G15" s="139">
        <v>35000</v>
      </c>
      <c r="H15" s="127" t="s">
        <v>564</v>
      </c>
      <c r="I15" s="135" t="s">
        <v>616</v>
      </c>
      <c r="J15" s="135" t="s">
        <v>604</v>
      </c>
      <c r="K15" s="135" t="s">
        <v>227</v>
      </c>
      <c r="L15" s="135" t="s">
        <v>617</v>
      </c>
    </row>
    <row r="16" spans="1:12">
      <c r="A16" s="9">
        <v>2025</v>
      </c>
      <c r="B16" s="136" t="s">
        <v>618</v>
      </c>
      <c r="C16" s="137">
        <v>7531</v>
      </c>
      <c r="D16" s="135" t="s">
        <v>585</v>
      </c>
      <c r="E16" s="130" t="s">
        <v>619</v>
      </c>
      <c r="F16" s="137">
        <v>7531</v>
      </c>
      <c r="G16" s="139">
        <v>391403</v>
      </c>
      <c r="H16" s="127" t="s">
        <v>564</v>
      </c>
      <c r="I16" s="135" t="s">
        <v>620</v>
      </c>
      <c r="J16" s="135" t="s">
        <v>621</v>
      </c>
      <c r="K16" s="135" t="s">
        <v>573</v>
      </c>
      <c r="L16" s="135" t="s">
        <v>33</v>
      </c>
    </row>
    <row r="17" spans="1:12">
      <c r="A17" s="9">
        <v>2025</v>
      </c>
      <c r="B17" s="136" t="s">
        <v>622</v>
      </c>
      <c r="C17" s="137">
        <v>59746</v>
      </c>
      <c r="D17" s="135" t="s">
        <v>623</v>
      </c>
      <c r="E17" s="130" t="s">
        <v>624</v>
      </c>
      <c r="F17" s="137">
        <v>84434</v>
      </c>
      <c r="G17" s="139">
        <v>340585</v>
      </c>
      <c r="H17" s="127" t="s">
        <v>564</v>
      </c>
      <c r="I17" s="135" t="s">
        <v>625</v>
      </c>
      <c r="J17" s="135" t="s">
        <v>626</v>
      </c>
      <c r="K17" s="135" t="s">
        <v>573</v>
      </c>
      <c r="L17" s="135" t="s">
        <v>33</v>
      </c>
    </row>
    <row r="18" spans="1:12">
      <c r="A18" s="9">
        <v>2025</v>
      </c>
      <c r="B18" s="136" t="s">
        <v>627</v>
      </c>
      <c r="C18" s="137">
        <v>6242</v>
      </c>
      <c r="D18" s="135" t="s">
        <v>610</v>
      </c>
      <c r="E18" s="130" t="s">
        <v>628</v>
      </c>
      <c r="F18" s="137">
        <v>47423</v>
      </c>
      <c r="G18" s="139">
        <v>386391</v>
      </c>
      <c r="H18" s="127" t="s">
        <v>564</v>
      </c>
      <c r="I18" s="135" t="s">
        <v>629</v>
      </c>
      <c r="J18" s="135" t="s">
        <v>630</v>
      </c>
      <c r="K18" s="135" t="s">
        <v>107</v>
      </c>
      <c r="L18" s="135" t="s">
        <v>614</v>
      </c>
    </row>
    <row r="19" spans="1:12">
      <c r="A19" s="9">
        <v>2025</v>
      </c>
      <c r="B19" s="136" t="s">
        <v>96</v>
      </c>
      <c r="C19" s="137">
        <v>3351</v>
      </c>
      <c r="D19" s="135" t="s">
        <v>585</v>
      </c>
      <c r="E19" s="130" t="s">
        <v>631</v>
      </c>
      <c r="F19" s="137">
        <v>1280</v>
      </c>
      <c r="G19" s="139">
        <v>380461</v>
      </c>
      <c r="H19" s="127" t="s">
        <v>564</v>
      </c>
      <c r="I19" s="135" t="s">
        <v>632</v>
      </c>
      <c r="J19" s="135"/>
      <c r="K19" s="135" t="s">
        <v>580</v>
      </c>
      <c r="L19" s="135" t="s">
        <v>47</v>
      </c>
    </row>
    <row r="20" spans="1:12">
      <c r="A20" s="9">
        <v>2025</v>
      </c>
      <c r="B20" s="136" t="s">
        <v>633</v>
      </c>
      <c r="C20" s="137">
        <v>26022025</v>
      </c>
      <c r="D20" s="135" t="s">
        <v>270</v>
      </c>
      <c r="E20" s="130" t="s">
        <v>634</v>
      </c>
      <c r="F20" s="138" t="s">
        <v>575</v>
      </c>
      <c r="G20" s="139">
        <v>95200</v>
      </c>
      <c r="H20" s="127" t="s">
        <v>564</v>
      </c>
      <c r="I20" s="135" t="s">
        <v>635</v>
      </c>
      <c r="J20" s="135"/>
      <c r="K20" s="135" t="s">
        <v>201</v>
      </c>
      <c r="L20" s="135" t="s">
        <v>44</v>
      </c>
    </row>
    <row r="21" spans="1:12">
      <c r="A21" s="9">
        <v>2025</v>
      </c>
      <c r="B21" s="136" t="s">
        <v>96</v>
      </c>
      <c r="C21" s="137">
        <v>3343</v>
      </c>
      <c r="D21" s="135" t="s">
        <v>79</v>
      </c>
      <c r="E21" s="130" t="s">
        <v>636</v>
      </c>
      <c r="F21" s="138" t="s">
        <v>575</v>
      </c>
      <c r="G21" s="139">
        <v>173324</v>
      </c>
      <c r="H21" s="127" t="s">
        <v>564</v>
      </c>
      <c r="I21" s="135" t="s">
        <v>637</v>
      </c>
      <c r="J21" s="135"/>
      <c r="K21" s="135" t="s">
        <v>580</v>
      </c>
      <c r="L21" s="135" t="s">
        <v>47</v>
      </c>
    </row>
    <row r="22" spans="1:12">
      <c r="A22" s="9"/>
      <c r="B22" s="35"/>
      <c r="C22" s="83"/>
      <c r="D22" s="9"/>
      <c r="E22" s="76"/>
      <c r="F22" s="81"/>
      <c r="G22" s="87"/>
      <c r="H22" s="85"/>
      <c r="I22" s="35"/>
      <c r="J22" s="35"/>
      <c r="K22" s="35"/>
      <c r="L22" s="35"/>
    </row>
    <row r="23" spans="1:12">
      <c r="A23" s="9">
        <v>2025</v>
      </c>
      <c r="B23" s="136" t="s">
        <v>608</v>
      </c>
      <c r="C23" s="137" t="s">
        <v>638</v>
      </c>
      <c r="D23" s="135" t="s">
        <v>610</v>
      </c>
      <c r="E23" s="130" t="s">
        <v>639</v>
      </c>
      <c r="F23" s="137">
        <v>1578246</v>
      </c>
      <c r="G23" s="139">
        <v>304319</v>
      </c>
      <c r="H23" s="127" t="s">
        <v>564</v>
      </c>
      <c r="I23" s="135" t="s">
        <v>640</v>
      </c>
      <c r="J23" s="135"/>
      <c r="K23" s="135" t="s">
        <v>107</v>
      </c>
      <c r="L23" s="135" t="s">
        <v>614</v>
      </c>
    </row>
    <row r="24" spans="1:12">
      <c r="A24" s="9">
        <v>2025</v>
      </c>
      <c r="B24" s="136" t="s">
        <v>641</v>
      </c>
      <c r="C24" s="137" t="s">
        <v>642</v>
      </c>
      <c r="D24" s="135" t="s">
        <v>610</v>
      </c>
      <c r="E24" s="130" t="s">
        <v>643</v>
      </c>
      <c r="F24" s="137">
        <v>48124</v>
      </c>
      <c r="G24" s="139">
        <v>72470</v>
      </c>
      <c r="H24" s="127" t="s">
        <v>564</v>
      </c>
      <c r="I24" s="135" t="s">
        <v>644</v>
      </c>
      <c r="J24" s="135"/>
      <c r="K24" s="135" t="s">
        <v>107</v>
      </c>
      <c r="L24" s="135" t="s">
        <v>614</v>
      </c>
    </row>
    <row r="25" spans="1:12">
      <c r="A25" s="9">
        <v>2025</v>
      </c>
      <c r="B25" s="136" t="s">
        <v>645</v>
      </c>
      <c r="C25" s="137">
        <v>7616</v>
      </c>
      <c r="D25" s="128" t="s">
        <v>562</v>
      </c>
      <c r="E25" s="135" t="s">
        <v>602</v>
      </c>
      <c r="F25" s="138" t="s">
        <v>575</v>
      </c>
      <c r="G25" s="139">
        <v>270439</v>
      </c>
      <c r="H25" s="127" t="s">
        <v>564</v>
      </c>
      <c r="I25" s="135" t="s">
        <v>646</v>
      </c>
      <c r="J25" s="135"/>
      <c r="K25" s="135" t="s">
        <v>599</v>
      </c>
      <c r="L25" s="135" t="s">
        <v>15</v>
      </c>
    </row>
    <row r="26" spans="1:12">
      <c r="A26" s="9">
        <v>2025</v>
      </c>
      <c r="B26" s="136" t="s">
        <v>645</v>
      </c>
      <c r="C26" s="137">
        <v>7617</v>
      </c>
      <c r="D26" s="128" t="s">
        <v>562</v>
      </c>
      <c r="E26" s="135" t="s">
        <v>602</v>
      </c>
      <c r="F26" s="138" t="s">
        <v>575</v>
      </c>
      <c r="G26" s="139">
        <v>577194</v>
      </c>
      <c r="H26" s="127" t="s">
        <v>564</v>
      </c>
      <c r="I26" s="135" t="s">
        <v>646</v>
      </c>
      <c r="J26" s="135"/>
      <c r="K26" s="135" t="s">
        <v>583</v>
      </c>
      <c r="L26" s="135" t="s">
        <v>61</v>
      </c>
    </row>
    <row r="27" spans="1:12">
      <c r="A27" s="9">
        <v>2025</v>
      </c>
      <c r="B27" s="136" t="s">
        <v>645</v>
      </c>
      <c r="C27" s="137">
        <v>7628</v>
      </c>
      <c r="D27" s="128" t="s">
        <v>562</v>
      </c>
      <c r="E27" s="135" t="s">
        <v>602</v>
      </c>
      <c r="F27" s="138" t="s">
        <v>575</v>
      </c>
      <c r="G27" s="139">
        <v>328376</v>
      </c>
      <c r="H27" s="127" t="s">
        <v>564</v>
      </c>
      <c r="I27" s="135" t="s">
        <v>646</v>
      </c>
      <c r="J27" s="135"/>
      <c r="K27" s="135" t="s">
        <v>599</v>
      </c>
      <c r="L27" s="135" t="s">
        <v>11</v>
      </c>
    </row>
    <row r="28" spans="1:12">
      <c r="A28" s="9">
        <v>2025</v>
      </c>
      <c r="B28" s="136" t="s">
        <v>645</v>
      </c>
      <c r="C28" s="137">
        <v>7626</v>
      </c>
      <c r="D28" s="128" t="s">
        <v>562</v>
      </c>
      <c r="E28" s="135" t="s">
        <v>602</v>
      </c>
      <c r="F28" s="138" t="s">
        <v>575</v>
      </c>
      <c r="G28" s="139">
        <v>319566</v>
      </c>
      <c r="H28" s="127" t="s">
        <v>564</v>
      </c>
      <c r="I28" s="135" t="s">
        <v>646</v>
      </c>
      <c r="J28" s="135"/>
      <c r="K28" s="135" t="s">
        <v>647</v>
      </c>
      <c r="L28" s="135" t="s">
        <v>40</v>
      </c>
    </row>
    <row r="29" spans="1:12">
      <c r="A29" s="9">
        <v>2025</v>
      </c>
      <c r="B29" s="136" t="s">
        <v>648</v>
      </c>
      <c r="C29" s="140">
        <v>4.79589900008256E+18</v>
      </c>
      <c r="D29" s="135" t="s">
        <v>649</v>
      </c>
      <c r="E29" s="130" t="s">
        <v>650</v>
      </c>
      <c r="F29" s="137">
        <v>1188329</v>
      </c>
      <c r="G29" s="139">
        <v>164303</v>
      </c>
      <c r="H29" s="127" t="s">
        <v>564</v>
      </c>
      <c r="I29" s="135" t="s">
        <v>651</v>
      </c>
      <c r="J29" s="135"/>
      <c r="K29" s="135" t="s">
        <v>107</v>
      </c>
      <c r="L29" s="135" t="s">
        <v>614</v>
      </c>
    </row>
    <row r="30" spans="1:12">
      <c r="A30" s="9">
        <v>2025</v>
      </c>
      <c r="B30" s="136" t="s">
        <v>652</v>
      </c>
      <c r="C30" s="137">
        <v>708098901</v>
      </c>
      <c r="D30" s="135" t="s">
        <v>585</v>
      </c>
      <c r="E30" s="130" t="s">
        <v>653</v>
      </c>
      <c r="F30" s="138" t="s">
        <v>575</v>
      </c>
      <c r="G30" s="139">
        <v>420502</v>
      </c>
      <c r="H30" s="127" t="s">
        <v>564</v>
      </c>
      <c r="I30" s="135" t="s">
        <v>654</v>
      </c>
      <c r="J30" s="135"/>
      <c r="K30" s="135" t="s">
        <v>655</v>
      </c>
      <c r="L30" s="135" t="s">
        <v>40</v>
      </c>
    </row>
    <row r="31" spans="1:12">
      <c r="A31" s="9">
        <v>2025</v>
      </c>
      <c r="B31" s="136" t="s">
        <v>622</v>
      </c>
      <c r="C31" s="137">
        <v>60735</v>
      </c>
      <c r="D31" s="135" t="s">
        <v>623</v>
      </c>
      <c r="E31" s="130" t="s">
        <v>656</v>
      </c>
      <c r="F31" s="138" t="s">
        <v>575</v>
      </c>
      <c r="G31" s="139">
        <v>1151623</v>
      </c>
      <c r="H31" s="127" t="s">
        <v>564</v>
      </c>
      <c r="I31" s="135" t="s">
        <v>657</v>
      </c>
      <c r="J31" s="135" t="s">
        <v>658</v>
      </c>
      <c r="K31" s="135" t="s">
        <v>107</v>
      </c>
      <c r="L31" s="135" t="s">
        <v>614</v>
      </c>
    </row>
    <row r="32" spans="1:12">
      <c r="A32" s="9">
        <v>2025</v>
      </c>
      <c r="B32" s="136" t="s">
        <v>608</v>
      </c>
      <c r="C32" s="137" t="s">
        <v>659</v>
      </c>
      <c r="D32" s="135" t="s">
        <v>610</v>
      </c>
      <c r="E32" s="130" t="s">
        <v>660</v>
      </c>
      <c r="F32" s="137">
        <v>1578879</v>
      </c>
      <c r="G32" s="139">
        <v>320405</v>
      </c>
      <c r="H32" s="127" t="s">
        <v>564</v>
      </c>
      <c r="I32" s="135" t="s">
        <v>661</v>
      </c>
      <c r="J32" s="135"/>
      <c r="K32" s="135" t="s">
        <v>107</v>
      </c>
      <c r="L32" s="135" t="s">
        <v>614</v>
      </c>
    </row>
    <row r="33" spans="1:12">
      <c r="A33" s="9">
        <v>2025</v>
      </c>
      <c r="B33" s="136" t="s">
        <v>622</v>
      </c>
      <c r="C33" s="137">
        <v>60738</v>
      </c>
      <c r="D33" s="135" t="s">
        <v>623</v>
      </c>
      <c r="E33" s="130" t="s">
        <v>662</v>
      </c>
      <c r="F33" s="138" t="s">
        <v>575</v>
      </c>
      <c r="G33" s="139">
        <v>1627920</v>
      </c>
      <c r="H33" s="127" t="s">
        <v>564</v>
      </c>
      <c r="I33" s="135" t="s">
        <v>663</v>
      </c>
      <c r="J33" s="135" t="s">
        <v>664</v>
      </c>
      <c r="K33" s="135" t="s">
        <v>107</v>
      </c>
      <c r="L33" s="135" t="s">
        <v>614</v>
      </c>
    </row>
    <row r="34" spans="1:12">
      <c r="A34" s="9">
        <v>2025</v>
      </c>
      <c r="B34" s="136" t="s">
        <v>170</v>
      </c>
      <c r="C34" s="137">
        <v>11621</v>
      </c>
      <c r="D34" s="135" t="s">
        <v>79</v>
      </c>
      <c r="E34" s="135" t="s">
        <v>602</v>
      </c>
      <c r="F34" s="138" t="s">
        <v>575</v>
      </c>
      <c r="G34" s="139">
        <v>501704</v>
      </c>
      <c r="H34" s="127" t="s">
        <v>564</v>
      </c>
      <c r="I34" s="135" t="s">
        <v>665</v>
      </c>
      <c r="J34" s="135"/>
      <c r="K34" s="135" t="s">
        <v>567</v>
      </c>
      <c r="L34" s="135" t="s">
        <v>23</v>
      </c>
    </row>
    <row r="35" spans="1:12">
      <c r="A35" s="9">
        <v>2025</v>
      </c>
      <c r="B35" s="136" t="s">
        <v>666</v>
      </c>
      <c r="C35" s="137">
        <v>13479</v>
      </c>
      <c r="D35" s="135" t="s">
        <v>667</v>
      </c>
      <c r="E35" s="130" t="s">
        <v>668</v>
      </c>
      <c r="F35" s="138" t="s">
        <v>575</v>
      </c>
      <c r="G35" s="139">
        <v>214200</v>
      </c>
      <c r="H35" s="127" t="s">
        <v>564</v>
      </c>
      <c r="I35" s="135" t="s">
        <v>669</v>
      </c>
      <c r="J35" s="135"/>
      <c r="K35" s="135" t="s">
        <v>589</v>
      </c>
      <c r="L35" s="135" t="s">
        <v>27</v>
      </c>
    </row>
    <row r="36" spans="1:12">
      <c r="A36" s="9">
        <v>2025</v>
      </c>
      <c r="B36" s="136" t="s">
        <v>670</v>
      </c>
      <c r="C36" s="137" t="s">
        <v>671</v>
      </c>
      <c r="D36" s="135" t="s">
        <v>585</v>
      </c>
      <c r="E36" s="130" t="s">
        <v>672</v>
      </c>
      <c r="F36" s="138" t="s">
        <v>575</v>
      </c>
      <c r="G36" s="139">
        <v>118457</v>
      </c>
      <c r="H36" s="127" t="s">
        <v>564</v>
      </c>
      <c r="I36" s="135" t="s">
        <v>673</v>
      </c>
      <c r="J36" s="135"/>
      <c r="K36" s="135" t="s">
        <v>573</v>
      </c>
      <c r="L36" s="135" t="s">
        <v>34</v>
      </c>
    </row>
    <row r="37" spans="1:12">
      <c r="A37" s="9">
        <v>2025</v>
      </c>
      <c r="B37" s="136" t="s">
        <v>645</v>
      </c>
      <c r="C37" s="137">
        <v>7707</v>
      </c>
      <c r="D37" s="135" t="s">
        <v>562</v>
      </c>
      <c r="E37" s="130" t="s">
        <v>674</v>
      </c>
      <c r="F37" s="138" t="s">
        <v>575</v>
      </c>
      <c r="G37" s="139">
        <v>326297</v>
      </c>
      <c r="H37" s="127" t="s">
        <v>564</v>
      </c>
      <c r="I37" s="142" t="s">
        <v>646</v>
      </c>
      <c r="J37" s="135"/>
      <c r="K37" s="135" t="s">
        <v>589</v>
      </c>
      <c r="L37" s="135" t="s">
        <v>28</v>
      </c>
    </row>
    <row r="38" spans="1:12">
      <c r="A38" s="9">
        <v>2025</v>
      </c>
      <c r="B38" s="136" t="s">
        <v>393</v>
      </c>
      <c r="C38" s="137">
        <v>716</v>
      </c>
      <c r="D38" s="135" t="s">
        <v>79</v>
      </c>
      <c r="E38" s="130" t="s">
        <v>675</v>
      </c>
      <c r="F38" s="137">
        <v>575</v>
      </c>
      <c r="G38" s="139">
        <v>960033</v>
      </c>
      <c r="H38" s="127" t="s">
        <v>564</v>
      </c>
      <c r="I38" s="143" t="s">
        <v>676</v>
      </c>
      <c r="J38" s="135"/>
      <c r="K38" s="135" t="s">
        <v>589</v>
      </c>
      <c r="L38" s="135" t="s">
        <v>26</v>
      </c>
    </row>
    <row r="39" spans="1:12">
      <c r="A39" s="9">
        <v>2025</v>
      </c>
      <c r="B39" s="136" t="s">
        <v>677</v>
      </c>
      <c r="C39" s="137">
        <v>23218876</v>
      </c>
      <c r="D39" s="135" t="s">
        <v>585</v>
      </c>
      <c r="E39" s="130" t="s">
        <v>678</v>
      </c>
      <c r="F39" s="138">
        <v>4887328</v>
      </c>
      <c r="G39" s="139">
        <v>1138857</v>
      </c>
      <c r="H39" s="127" t="s">
        <v>564</v>
      </c>
      <c r="I39" s="142" t="s">
        <v>679</v>
      </c>
      <c r="J39" s="135"/>
      <c r="K39" s="135" t="s">
        <v>580</v>
      </c>
      <c r="L39" s="135" t="s">
        <v>47</v>
      </c>
    </row>
    <row r="40" spans="1:12">
      <c r="A40" s="9">
        <v>2025</v>
      </c>
      <c r="B40" s="136" t="s">
        <v>645</v>
      </c>
      <c r="C40" s="137">
        <v>7749</v>
      </c>
      <c r="D40" s="135" t="s">
        <v>562</v>
      </c>
      <c r="E40" s="135" t="s">
        <v>602</v>
      </c>
      <c r="F40" s="138">
        <v>7808</v>
      </c>
      <c r="G40" s="139">
        <v>219902</v>
      </c>
      <c r="H40" s="127" t="s">
        <v>564</v>
      </c>
      <c r="I40" s="135" t="s">
        <v>646</v>
      </c>
      <c r="J40" s="135"/>
      <c r="K40" s="135" t="s">
        <v>227</v>
      </c>
      <c r="L40" s="135" t="s">
        <v>49</v>
      </c>
    </row>
    <row r="41" spans="1:12">
      <c r="A41" s="9">
        <v>2025</v>
      </c>
      <c r="B41" s="136" t="s">
        <v>645</v>
      </c>
      <c r="C41" s="144">
        <v>7750</v>
      </c>
      <c r="D41" s="135" t="s">
        <v>562</v>
      </c>
      <c r="E41" s="135" t="s">
        <v>602</v>
      </c>
      <c r="F41" s="138">
        <v>7807</v>
      </c>
      <c r="G41" s="139">
        <v>219902</v>
      </c>
      <c r="H41" s="127" t="s">
        <v>564</v>
      </c>
      <c r="I41" s="135" t="s">
        <v>646</v>
      </c>
      <c r="J41" s="135"/>
      <c r="K41" s="135" t="s">
        <v>583</v>
      </c>
      <c r="L41" s="135" t="s">
        <v>62</v>
      </c>
    </row>
    <row r="42" spans="1:12">
      <c r="A42" s="9">
        <v>2025</v>
      </c>
      <c r="B42" s="136" t="s">
        <v>622</v>
      </c>
      <c r="C42" s="137">
        <v>61100</v>
      </c>
      <c r="D42" s="135" t="s">
        <v>562</v>
      </c>
      <c r="E42" s="130" t="s">
        <v>680</v>
      </c>
      <c r="F42" s="138" t="s">
        <v>575</v>
      </c>
      <c r="G42" s="139">
        <v>155176</v>
      </c>
      <c r="H42" s="127" t="s">
        <v>564</v>
      </c>
      <c r="I42" s="142" t="s">
        <v>681</v>
      </c>
      <c r="J42" s="135"/>
      <c r="K42" s="135" t="s">
        <v>682</v>
      </c>
      <c r="L42" s="135" t="s">
        <v>28</v>
      </c>
    </row>
    <row r="43" spans="1:12">
      <c r="A43" s="9">
        <v>2025</v>
      </c>
      <c r="B43" s="136" t="s">
        <v>170</v>
      </c>
      <c r="C43" s="137">
        <v>11531</v>
      </c>
      <c r="D43" s="135" t="s">
        <v>270</v>
      </c>
      <c r="E43" s="130" t="s">
        <v>683</v>
      </c>
      <c r="F43" s="138" t="s">
        <v>575</v>
      </c>
      <c r="G43" s="139">
        <v>97580</v>
      </c>
      <c r="H43" s="127" t="s">
        <v>564</v>
      </c>
      <c r="I43" s="142" t="s">
        <v>684</v>
      </c>
      <c r="J43" s="135"/>
      <c r="K43" s="135" t="s">
        <v>229</v>
      </c>
      <c r="L43" s="135" t="s">
        <v>18</v>
      </c>
    </row>
    <row r="44" spans="1:12">
      <c r="A44" s="9">
        <v>2025</v>
      </c>
      <c r="B44" s="136" t="s">
        <v>685</v>
      </c>
      <c r="C44" s="137">
        <v>320</v>
      </c>
      <c r="D44" s="135" t="s">
        <v>79</v>
      </c>
      <c r="E44" s="130" t="s">
        <v>686</v>
      </c>
      <c r="F44" s="138" t="s">
        <v>575</v>
      </c>
      <c r="G44" s="139">
        <v>535500</v>
      </c>
      <c r="H44" s="127" t="s">
        <v>564</v>
      </c>
      <c r="I44" s="142" t="s">
        <v>687</v>
      </c>
      <c r="J44" s="135"/>
      <c r="K44" s="135" t="s">
        <v>580</v>
      </c>
      <c r="L44" s="135" t="s">
        <v>47</v>
      </c>
    </row>
    <row r="45" spans="1:12">
      <c r="A45" s="9">
        <v>2025</v>
      </c>
      <c r="B45" s="136" t="s">
        <v>633</v>
      </c>
      <c r="C45" s="144">
        <v>22042025</v>
      </c>
      <c r="D45" s="135" t="s">
        <v>79</v>
      </c>
      <c r="E45" s="135" t="s">
        <v>688</v>
      </c>
      <c r="F45" s="145">
        <v>984</v>
      </c>
      <c r="G45" s="139">
        <v>261800</v>
      </c>
      <c r="H45" s="127" t="s">
        <v>564</v>
      </c>
      <c r="I45" s="135" t="s">
        <v>689</v>
      </c>
      <c r="J45" s="135"/>
      <c r="K45" s="135" t="s">
        <v>599</v>
      </c>
      <c r="L45" s="135" t="s">
        <v>11</v>
      </c>
    </row>
    <row r="46" spans="1:12">
      <c r="A46" s="9">
        <v>2025</v>
      </c>
      <c r="B46" s="136" t="s">
        <v>685</v>
      </c>
      <c r="C46" s="137">
        <v>319</v>
      </c>
      <c r="D46" s="135" t="s">
        <v>245</v>
      </c>
      <c r="E46" s="130" t="s">
        <v>690</v>
      </c>
      <c r="F46" s="137">
        <v>386</v>
      </c>
      <c r="G46" s="139">
        <v>2112250</v>
      </c>
      <c r="H46" s="127" t="s">
        <v>564</v>
      </c>
      <c r="I46" s="135" t="s">
        <v>691</v>
      </c>
      <c r="J46" s="135" t="s">
        <v>692</v>
      </c>
      <c r="K46" s="135" t="s">
        <v>201</v>
      </c>
      <c r="L46" s="135" t="s">
        <v>43</v>
      </c>
    </row>
    <row r="47" spans="1:12">
      <c r="A47" s="9">
        <v>2025</v>
      </c>
      <c r="B47" s="136" t="s">
        <v>170</v>
      </c>
      <c r="C47" s="137">
        <v>11678</v>
      </c>
      <c r="D47" s="135" t="s">
        <v>79</v>
      </c>
      <c r="E47" s="130" t="s">
        <v>693</v>
      </c>
      <c r="F47" s="138">
        <v>3234</v>
      </c>
      <c r="G47" s="139">
        <v>685083</v>
      </c>
      <c r="H47" s="127" t="s">
        <v>564</v>
      </c>
      <c r="I47" s="135" t="s">
        <v>694</v>
      </c>
      <c r="J47" s="135"/>
      <c r="K47" s="135" t="s">
        <v>567</v>
      </c>
      <c r="L47" s="135" t="s">
        <v>23</v>
      </c>
    </row>
    <row r="48" spans="1:12">
      <c r="A48" s="9">
        <v>2025</v>
      </c>
      <c r="B48" s="136" t="s">
        <v>652</v>
      </c>
      <c r="C48" s="137">
        <v>7081592268</v>
      </c>
      <c r="D48" s="135" t="s">
        <v>585</v>
      </c>
      <c r="E48" s="130" t="s">
        <v>695</v>
      </c>
      <c r="F48" s="138" t="s">
        <v>575</v>
      </c>
      <c r="G48" s="139">
        <v>254720</v>
      </c>
      <c r="H48" s="127" t="s">
        <v>564</v>
      </c>
      <c r="I48" s="135" t="s">
        <v>696</v>
      </c>
      <c r="J48" s="135"/>
      <c r="K48" s="135" t="s">
        <v>589</v>
      </c>
      <c r="L48" s="135" t="s">
        <v>27</v>
      </c>
    </row>
    <row r="49" spans="1:12">
      <c r="A49" s="9">
        <v>2025</v>
      </c>
      <c r="B49" s="136" t="s">
        <v>697</v>
      </c>
      <c r="C49" s="137" t="s">
        <v>698</v>
      </c>
      <c r="D49" s="135" t="s">
        <v>293</v>
      </c>
      <c r="E49" s="137" t="s">
        <v>699</v>
      </c>
      <c r="F49" s="137">
        <v>196</v>
      </c>
      <c r="G49" s="139">
        <v>946050</v>
      </c>
      <c r="H49" s="127" t="s">
        <v>564</v>
      </c>
      <c r="I49" s="135" t="s">
        <v>700</v>
      </c>
      <c r="J49" s="135"/>
      <c r="K49" s="135" t="s">
        <v>201</v>
      </c>
      <c r="L49" s="135" t="s">
        <v>43</v>
      </c>
    </row>
    <row r="50" spans="1:12">
      <c r="A50" s="9">
        <v>2025</v>
      </c>
      <c r="B50" s="136" t="s">
        <v>701</v>
      </c>
      <c r="C50" s="137">
        <v>16563</v>
      </c>
      <c r="D50" s="135" t="s">
        <v>585</v>
      </c>
      <c r="E50" s="130" t="s">
        <v>702</v>
      </c>
      <c r="F50" s="138">
        <v>29245</v>
      </c>
      <c r="G50" s="139">
        <v>10436856</v>
      </c>
      <c r="H50" s="127" t="s">
        <v>564</v>
      </c>
      <c r="I50" s="135" t="s">
        <v>703</v>
      </c>
      <c r="J50" s="135"/>
      <c r="K50" s="135" t="s">
        <v>201</v>
      </c>
      <c r="L50" s="135" t="s">
        <v>43</v>
      </c>
    </row>
    <row r="51" spans="1:12">
      <c r="A51" s="9">
        <v>2025</v>
      </c>
      <c r="B51" s="136" t="s">
        <v>96</v>
      </c>
      <c r="C51" s="137">
        <v>3432</v>
      </c>
      <c r="D51" s="135" t="s">
        <v>585</v>
      </c>
      <c r="E51" s="135" t="s">
        <v>602</v>
      </c>
      <c r="F51" s="138" t="s">
        <v>575</v>
      </c>
      <c r="G51" s="139">
        <v>380461</v>
      </c>
      <c r="H51" s="127" t="s">
        <v>564</v>
      </c>
      <c r="I51" s="135" t="s">
        <v>704</v>
      </c>
      <c r="J51" s="135"/>
      <c r="K51" s="135" t="s">
        <v>583</v>
      </c>
      <c r="L51" s="135" t="s">
        <v>99</v>
      </c>
    </row>
    <row r="52" spans="1:12">
      <c r="A52" s="9">
        <v>2025</v>
      </c>
      <c r="B52" s="136" t="s">
        <v>705</v>
      </c>
      <c r="C52" s="137">
        <v>600</v>
      </c>
      <c r="D52" s="135" t="s">
        <v>79</v>
      </c>
      <c r="E52" s="135" t="s">
        <v>602</v>
      </c>
      <c r="F52" s="137">
        <v>511</v>
      </c>
      <c r="G52" s="139">
        <v>95200</v>
      </c>
      <c r="H52" s="127" t="s">
        <v>564</v>
      </c>
      <c r="I52" s="135" t="s">
        <v>706</v>
      </c>
      <c r="J52" s="135"/>
      <c r="K52" s="135" t="s">
        <v>589</v>
      </c>
      <c r="L52" s="135" t="s">
        <v>28</v>
      </c>
    </row>
    <row r="53" spans="1:12">
      <c r="A53" s="9">
        <v>2025</v>
      </c>
      <c r="B53" s="136" t="s">
        <v>170</v>
      </c>
      <c r="C53" s="137">
        <v>11811</v>
      </c>
      <c r="D53" s="135" t="s">
        <v>585</v>
      </c>
      <c r="E53" s="135" t="s">
        <v>602</v>
      </c>
      <c r="F53" s="138" t="s">
        <v>575</v>
      </c>
      <c r="G53" s="139">
        <v>1676413</v>
      </c>
      <c r="H53" s="146"/>
      <c r="I53" s="135" t="s">
        <v>707</v>
      </c>
      <c r="J53" s="135"/>
      <c r="K53" s="135" t="s">
        <v>589</v>
      </c>
      <c r="L53" s="135" t="s">
        <v>26</v>
      </c>
    </row>
    <row r="54" spans="1:12">
      <c r="A54" s="9">
        <v>2025</v>
      </c>
      <c r="B54" s="136" t="s">
        <v>170</v>
      </c>
      <c r="C54" s="137">
        <v>11747</v>
      </c>
      <c r="D54" s="135" t="s">
        <v>293</v>
      </c>
      <c r="E54" s="137" t="s">
        <v>708</v>
      </c>
      <c r="F54" s="137">
        <v>3240</v>
      </c>
      <c r="G54" s="139">
        <v>693218</v>
      </c>
      <c r="H54" s="141" t="s">
        <v>709</v>
      </c>
      <c r="I54" s="135" t="s">
        <v>710</v>
      </c>
      <c r="J54" s="135"/>
      <c r="K54" s="135" t="s">
        <v>229</v>
      </c>
      <c r="L54" s="135" t="s">
        <v>18</v>
      </c>
    </row>
    <row r="55" spans="1:12">
      <c r="A55" s="9">
        <v>2025</v>
      </c>
      <c r="B55" s="136" t="s">
        <v>627</v>
      </c>
      <c r="C55" s="137">
        <v>7015</v>
      </c>
      <c r="D55" s="135" t="s">
        <v>610</v>
      </c>
      <c r="E55" s="130" t="s">
        <v>711</v>
      </c>
      <c r="F55" s="138" t="s">
        <v>575</v>
      </c>
      <c r="G55" s="139">
        <v>87990</v>
      </c>
      <c r="H55" s="141" t="s">
        <v>709</v>
      </c>
      <c r="I55" s="135" t="s">
        <v>712</v>
      </c>
      <c r="J55" s="135"/>
      <c r="K55" s="135" t="s">
        <v>107</v>
      </c>
      <c r="L55" s="135" t="s">
        <v>614</v>
      </c>
    </row>
    <row r="56" spans="1:12">
      <c r="A56" s="9">
        <v>2025</v>
      </c>
      <c r="B56" s="136" t="s">
        <v>713</v>
      </c>
      <c r="C56" s="137" t="s">
        <v>714</v>
      </c>
      <c r="D56" s="135" t="s">
        <v>79</v>
      </c>
      <c r="E56" s="130" t="s">
        <v>715</v>
      </c>
      <c r="F56" s="137">
        <v>711</v>
      </c>
      <c r="G56" s="139">
        <v>714000</v>
      </c>
      <c r="H56" s="141" t="s">
        <v>709</v>
      </c>
      <c r="I56" s="135" t="s">
        <v>716</v>
      </c>
      <c r="J56" s="135"/>
      <c r="K56" s="135" t="s">
        <v>583</v>
      </c>
      <c r="L56" s="135" t="s">
        <v>99</v>
      </c>
    </row>
    <row r="57" spans="1:12">
      <c r="A57" s="9">
        <v>2025</v>
      </c>
      <c r="B57" s="136" t="s">
        <v>717</v>
      </c>
      <c r="C57" s="137">
        <v>61990</v>
      </c>
      <c r="D57" s="135" t="s">
        <v>623</v>
      </c>
      <c r="E57" s="135" t="s">
        <v>718</v>
      </c>
      <c r="F57" s="138" t="s">
        <v>575</v>
      </c>
      <c r="G57" s="139">
        <v>800870</v>
      </c>
      <c r="H57" s="146"/>
      <c r="I57" s="135" t="s">
        <v>663</v>
      </c>
      <c r="J57" s="135"/>
      <c r="K57" s="135" t="s">
        <v>583</v>
      </c>
      <c r="L57" s="135" t="s">
        <v>614</v>
      </c>
    </row>
    <row r="58" spans="1:12">
      <c r="A58" s="9">
        <v>2025</v>
      </c>
      <c r="B58" s="147" t="s">
        <v>719</v>
      </c>
      <c r="C58" s="137">
        <v>67643</v>
      </c>
      <c r="D58" s="138" t="s">
        <v>720</v>
      </c>
      <c r="E58" s="130" t="s">
        <v>708</v>
      </c>
      <c r="F58" s="144">
        <v>1397497</v>
      </c>
      <c r="G58" s="139">
        <v>803115</v>
      </c>
      <c r="H58" s="141" t="s">
        <v>709</v>
      </c>
      <c r="I58" s="135" t="s">
        <v>721</v>
      </c>
      <c r="J58" s="135"/>
      <c r="K58" s="135" t="s">
        <v>229</v>
      </c>
      <c r="L58" s="135" t="s">
        <v>18</v>
      </c>
    </row>
    <row r="59" spans="1:12">
      <c r="A59" s="9">
        <v>2025</v>
      </c>
      <c r="B59" s="147" t="s">
        <v>719</v>
      </c>
      <c r="C59" s="137">
        <v>67643</v>
      </c>
      <c r="D59" s="138" t="s">
        <v>720</v>
      </c>
      <c r="E59" s="130" t="s">
        <v>708</v>
      </c>
      <c r="F59" s="144">
        <v>1397497</v>
      </c>
      <c r="G59" s="139">
        <v>444082</v>
      </c>
      <c r="H59" s="141" t="s">
        <v>709</v>
      </c>
      <c r="I59" s="135" t="s">
        <v>722</v>
      </c>
      <c r="J59" s="135"/>
      <c r="K59" s="135" t="s">
        <v>583</v>
      </c>
      <c r="L59" s="135" t="s">
        <v>61</v>
      </c>
    </row>
    <row r="60" spans="1:12">
      <c r="A60" s="9">
        <v>2025</v>
      </c>
      <c r="B60" s="136" t="s">
        <v>96</v>
      </c>
      <c r="C60" s="137">
        <v>3444</v>
      </c>
      <c r="D60" s="138" t="s">
        <v>585</v>
      </c>
      <c r="E60" s="135" t="s">
        <v>602</v>
      </c>
      <c r="F60" s="138" t="s">
        <v>575</v>
      </c>
      <c r="G60" s="139">
        <v>194783</v>
      </c>
      <c r="H60" s="146"/>
      <c r="I60" s="135" t="s">
        <v>723</v>
      </c>
      <c r="J60" s="135"/>
      <c r="K60" s="135" t="s">
        <v>227</v>
      </c>
      <c r="L60" s="135" t="s">
        <v>49</v>
      </c>
    </row>
    <row r="61" spans="1:12">
      <c r="A61" s="9">
        <v>2025</v>
      </c>
      <c r="B61" s="136" t="s">
        <v>96</v>
      </c>
      <c r="C61" s="137"/>
      <c r="D61" s="138" t="s">
        <v>585</v>
      </c>
      <c r="E61" s="130" t="s">
        <v>724</v>
      </c>
      <c r="F61" s="138" t="s">
        <v>575</v>
      </c>
      <c r="G61" s="139">
        <v>194783</v>
      </c>
      <c r="H61" s="141" t="s">
        <v>709</v>
      </c>
      <c r="I61" s="135" t="s">
        <v>725</v>
      </c>
      <c r="J61" s="135"/>
      <c r="K61" s="135" t="s">
        <v>583</v>
      </c>
      <c r="L61" s="135" t="s">
        <v>62</v>
      </c>
    </row>
    <row r="62" spans="1:12">
      <c r="A62" s="9">
        <v>2025</v>
      </c>
      <c r="B62" s="136" t="s">
        <v>96</v>
      </c>
      <c r="C62" s="137">
        <v>3443</v>
      </c>
      <c r="D62" s="138" t="s">
        <v>585</v>
      </c>
      <c r="E62" s="130" t="s">
        <v>726</v>
      </c>
      <c r="F62" s="138" t="s">
        <v>575</v>
      </c>
      <c r="G62" s="139">
        <v>392361</v>
      </c>
      <c r="H62" s="141" t="s">
        <v>709</v>
      </c>
      <c r="I62" s="135" t="s">
        <v>727</v>
      </c>
      <c r="J62" s="135"/>
      <c r="K62" s="135" t="s">
        <v>227</v>
      </c>
      <c r="L62" s="135" t="s">
        <v>49</v>
      </c>
    </row>
    <row r="63" spans="1:12">
      <c r="A63" s="9">
        <v>2025</v>
      </c>
      <c r="B63" s="136" t="s">
        <v>96</v>
      </c>
      <c r="C63" s="137">
        <v>3443</v>
      </c>
      <c r="D63" s="138" t="s">
        <v>585</v>
      </c>
      <c r="E63" s="130" t="s">
        <v>726</v>
      </c>
      <c r="F63" s="138" t="s">
        <v>575</v>
      </c>
      <c r="G63" s="139">
        <v>392361</v>
      </c>
      <c r="H63" s="141" t="s">
        <v>709</v>
      </c>
      <c r="I63" s="135" t="s">
        <v>728</v>
      </c>
      <c r="J63" s="135"/>
      <c r="K63" s="135" t="s">
        <v>583</v>
      </c>
      <c r="L63" s="135" t="s">
        <v>62</v>
      </c>
    </row>
    <row r="64" spans="1:12">
      <c r="A64" s="9">
        <v>2025</v>
      </c>
      <c r="B64" s="136" t="s">
        <v>96</v>
      </c>
      <c r="C64" s="137">
        <v>3446</v>
      </c>
      <c r="D64" s="138" t="s">
        <v>585</v>
      </c>
      <c r="E64" s="130" t="s">
        <v>729</v>
      </c>
      <c r="F64" s="138" t="s">
        <v>575</v>
      </c>
      <c r="G64" s="139">
        <v>714000</v>
      </c>
      <c r="H64" s="141" t="s">
        <v>709</v>
      </c>
      <c r="I64" s="135" t="s">
        <v>730</v>
      </c>
      <c r="J64" s="135"/>
      <c r="K64" s="135" t="s">
        <v>599</v>
      </c>
      <c r="L64" s="135" t="s">
        <v>11</v>
      </c>
    </row>
    <row r="65" spans="1:12">
      <c r="A65" s="9">
        <v>2025</v>
      </c>
      <c r="B65" s="136" t="s">
        <v>96</v>
      </c>
      <c r="C65" s="137">
        <v>3447</v>
      </c>
      <c r="D65" s="138" t="s">
        <v>585</v>
      </c>
      <c r="E65" s="130" t="s">
        <v>731</v>
      </c>
      <c r="F65" s="138" t="s">
        <v>575</v>
      </c>
      <c r="G65" s="139">
        <v>70448</v>
      </c>
      <c r="H65" s="141" t="s">
        <v>709</v>
      </c>
      <c r="I65" s="135" t="s">
        <v>732</v>
      </c>
      <c r="J65" s="135"/>
      <c r="K65" s="135" t="s">
        <v>599</v>
      </c>
      <c r="L65" s="135" t="s">
        <v>11</v>
      </c>
    </row>
    <row r="66" spans="1:12">
      <c r="A66" s="9">
        <v>2025</v>
      </c>
      <c r="B66" s="136" t="s">
        <v>96</v>
      </c>
      <c r="C66" s="137">
        <v>3445</v>
      </c>
      <c r="D66" s="138" t="s">
        <v>585</v>
      </c>
      <c r="E66" s="130" t="s">
        <v>733</v>
      </c>
      <c r="F66" s="138" t="s">
        <v>575</v>
      </c>
      <c r="G66" s="139">
        <v>131198</v>
      </c>
      <c r="H66" s="141" t="s">
        <v>709</v>
      </c>
      <c r="I66" s="135" t="s">
        <v>734</v>
      </c>
      <c r="J66" s="135"/>
      <c r="K66" s="135" t="s">
        <v>573</v>
      </c>
      <c r="L66" s="135" t="s">
        <v>33</v>
      </c>
    </row>
    <row r="67" spans="1:12">
      <c r="A67" s="9">
        <v>2025</v>
      </c>
      <c r="B67" s="149" t="s">
        <v>735</v>
      </c>
      <c r="C67" s="150" t="s">
        <v>736</v>
      </c>
      <c r="D67" s="148" t="s">
        <v>623</v>
      </c>
      <c r="E67" s="130" t="s">
        <v>737</v>
      </c>
      <c r="F67" s="137">
        <v>100545</v>
      </c>
      <c r="G67" s="139">
        <v>404600</v>
      </c>
      <c r="H67" s="127" t="s">
        <v>564</v>
      </c>
      <c r="I67" s="148" t="s">
        <v>738</v>
      </c>
      <c r="J67" s="148" t="s">
        <v>739</v>
      </c>
      <c r="K67" s="148" t="s">
        <v>107</v>
      </c>
      <c r="L67" s="148" t="s">
        <v>614</v>
      </c>
    </row>
    <row r="68" spans="1:12">
      <c r="A68" s="9">
        <v>2025</v>
      </c>
      <c r="B68" s="136" t="s">
        <v>740</v>
      </c>
      <c r="C68" s="137">
        <v>13660</v>
      </c>
      <c r="D68" s="135" t="s">
        <v>741</v>
      </c>
      <c r="E68" s="130" t="s">
        <v>742</v>
      </c>
      <c r="F68" s="137">
        <v>14757</v>
      </c>
      <c r="G68" s="139">
        <v>523794</v>
      </c>
      <c r="H68" s="127" t="s">
        <v>564</v>
      </c>
      <c r="I68" s="135" t="s">
        <v>743</v>
      </c>
      <c r="J68" s="135"/>
      <c r="K68" s="135" t="s">
        <v>583</v>
      </c>
      <c r="L68" s="135" t="s">
        <v>614</v>
      </c>
    </row>
    <row r="69" spans="1:12">
      <c r="A69" s="9">
        <v>2025</v>
      </c>
      <c r="B69" s="136" t="s">
        <v>666</v>
      </c>
      <c r="C69" s="137">
        <v>14064</v>
      </c>
      <c r="D69" s="135" t="s">
        <v>667</v>
      </c>
      <c r="E69" s="130" t="s">
        <v>744</v>
      </c>
      <c r="F69" s="137">
        <v>9444</v>
      </c>
      <c r="G69" s="139">
        <v>190400</v>
      </c>
      <c r="H69" s="127" t="s">
        <v>564</v>
      </c>
      <c r="I69" s="135" t="s">
        <v>745</v>
      </c>
      <c r="J69" s="135" t="s">
        <v>746</v>
      </c>
      <c r="K69" s="135" t="s">
        <v>201</v>
      </c>
      <c r="L69" s="135" t="s">
        <v>43</v>
      </c>
    </row>
    <row r="70" spans="1:12">
      <c r="A70" s="9">
        <v>2025</v>
      </c>
      <c r="B70" s="136" t="s">
        <v>204</v>
      </c>
      <c r="C70" s="137">
        <v>1001</v>
      </c>
      <c r="D70" s="135" t="s">
        <v>569</v>
      </c>
      <c r="E70" s="130" t="s">
        <v>747</v>
      </c>
      <c r="F70" s="138" t="s">
        <v>575</v>
      </c>
      <c r="G70" s="139">
        <v>249900</v>
      </c>
      <c r="H70" s="127" t="s">
        <v>564</v>
      </c>
      <c r="I70" s="135" t="s">
        <v>748</v>
      </c>
      <c r="J70" s="135"/>
      <c r="K70" s="135" t="s">
        <v>573</v>
      </c>
      <c r="L70" s="135" t="s">
        <v>33</v>
      </c>
    </row>
    <row r="71" spans="1:12">
      <c r="A71" s="9">
        <v>2025</v>
      </c>
      <c r="B71" s="136" t="s">
        <v>652</v>
      </c>
      <c r="C71" s="151">
        <v>102372722</v>
      </c>
      <c r="D71" s="135" t="s">
        <v>79</v>
      </c>
      <c r="E71" s="135" t="s">
        <v>602</v>
      </c>
      <c r="F71" s="138" t="s">
        <v>575</v>
      </c>
      <c r="G71" s="139">
        <v>1920589</v>
      </c>
      <c r="H71" s="127" t="s">
        <v>564</v>
      </c>
      <c r="I71" s="135" t="s">
        <v>749</v>
      </c>
      <c r="J71" s="135"/>
      <c r="K71" s="135" t="s">
        <v>567</v>
      </c>
      <c r="L71" s="135" t="s">
        <v>23</v>
      </c>
    </row>
    <row r="72" spans="1:12">
      <c r="A72" s="9">
        <v>2025</v>
      </c>
      <c r="B72" s="136" t="s">
        <v>670</v>
      </c>
      <c r="C72" s="130" t="s">
        <v>750</v>
      </c>
      <c r="D72" s="135" t="s">
        <v>585</v>
      </c>
      <c r="E72" s="130" t="s">
        <v>751</v>
      </c>
      <c r="F72" s="138" t="s">
        <v>575</v>
      </c>
      <c r="G72" s="139">
        <v>604104</v>
      </c>
      <c r="H72" s="127" t="s">
        <v>564</v>
      </c>
      <c r="I72" s="135" t="s">
        <v>752</v>
      </c>
      <c r="J72" s="135"/>
      <c r="K72" s="135" t="s">
        <v>573</v>
      </c>
      <c r="L72" s="135" t="s">
        <v>34</v>
      </c>
    </row>
    <row r="73" spans="1:12">
      <c r="A73" s="9">
        <v>2025</v>
      </c>
      <c r="B73" s="136" t="s">
        <v>753</v>
      </c>
      <c r="C73" s="137">
        <v>1555</v>
      </c>
      <c r="D73" s="135" t="s">
        <v>754</v>
      </c>
      <c r="E73" s="130" t="s">
        <v>755</v>
      </c>
      <c r="F73" s="137">
        <v>919</v>
      </c>
      <c r="G73" s="139">
        <v>821100</v>
      </c>
      <c r="H73" s="141" t="s">
        <v>709</v>
      </c>
      <c r="I73" s="135" t="s">
        <v>756</v>
      </c>
      <c r="J73" s="135"/>
      <c r="K73" s="135" t="s">
        <v>583</v>
      </c>
      <c r="L73" s="135" t="s">
        <v>54</v>
      </c>
    </row>
    <row r="74" spans="1:12">
      <c r="A74" s="9">
        <v>2025</v>
      </c>
      <c r="B74" s="136" t="s">
        <v>605</v>
      </c>
      <c r="C74" s="137">
        <v>473</v>
      </c>
      <c r="D74" s="135" t="s">
        <v>245</v>
      </c>
      <c r="E74" s="130" t="s">
        <v>757</v>
      </c>
      <c r="F74" s="137">
        <v>1252</v>
      </c>
      <c r="G74" s="139">
        <v>749700</v>
      </c>
      <c r="H74" s="141" t="s">
        <v>709</v>
      </c>
      <c r="I74" s="135" t="s">
        <v>758</v>
      </c>
      <c r="J74" s="135"/>
      <c r="K74" s="135" t="s">
        <v>599</v>
      </c>
      <c r="L74" s="135" t="s">
        <v>11</v>
      </c>
    </row>
    <row r="75" spans="1:12">
      <c r="A75" s="9">
        <v>2025</v>
      </c>
      <c r="B75" s="136" t="s">
        <v>759</v>
      </c>
      <c r="C75" s="137">
        <v>1303675867</v>
      </c>
      <c r="D75" s="135" t="s">
        <v>585</v>
      </c>
      <c r="E75" s="130" t="s">
        <v>760</v>
      </c>
      <c r="F75" s="138">
        <v>19467</v>
      </c>
      <c r="G75" s="139">
        <v>98476</v>
      </c>
      <c r="H75" s="127" t="s">
        <v>564</v>
      </c>
      <c r="I75" s="135" t="s">
        <v>761</v>
      </c>
      <c r="J75" s="135"/>
      <c r="K75" s="135" t="s">
        <v>583</v>
      </c>
      <c r="L75" s="135" t="s">
        <v>61</v>
      </c>
    </row>
    <row r="76" spans="1:12">
      <c r="A76" s="9">
        <v>2025</v>
      </c>
      <c r="B76" s="136" t="s">
        <v>762</v>
      </c>
      <c r="C76" s="137" t="s">
        <v>763</v>
      </c>
      <c r="D76" s="135" t="s">
        <v>754</v>
      </c>
      <c r="E76" s="130" t="s">
        <v>764</v>
      </c>
      <c r="F76" s="137">
        <v>117</v>
      </c>
      <c r="G76" s="139">
        <v>535500</v>
      </c>
      <c r="H76" s="127" t="s">
        <v>564</v>
      </c>
      <c r="I76" s="135" t="s">
        <v>765</v>
      </c>
      <c r="J76" s="135"/>
      <c r="K76" s="135" t="s">
        <v>227</v>
      </c>
      <c r="L76" s="135" t="s">
        <v>99</v>
      </c>
    </row>
    <row r="77" spans="1:12">
      <c r="A77" s="9">
        <v>2025</v>
      </c>
      <c r="B77" s="136" t="s">
        <v>652</v>
      </c>
      <c r="C77" s="137">
        <v>102382033</v>
      </c>
      <c r="D77" s="135" t="s">
        <v>245</v>
      </c>
      <c r="E77" s="130" t="s">
        <v>766</v>
      </c>
      <c r="F77" s="138" t="s">
        <v>575</v>
      </c>
      <c r="G77" s="139">
        <v>1752903</v>
      </c>
      <c r="H77" s="127" t="s">
        <v>564</v>
      </c>
      <c r="I77" s="135" t="s">
        <v>767</v>
      </c>
      <c r="J77" s="135"/>
      <c r="K77" s="135" t="s">
        <v>583</v>
      </c>
      <c r="L77" s="135" t="s">
        <v>57</v>
      </c>
    </row>
    <row r="78" spans="1:12">
      <c r="A78" s="9">
        <v>2025</v>
      </c>
      <c r="B78" s="136" t="s">
        <v>768</v>
      </c>
      <c r="C78" s="137">
        <v>11929198</v>
      </c>
      <c r="D78" s="135" t="s">
        <v>585</v>
      </c>
      <c r="E78" s="135" t="s">
        <v>769</v>
      </c>
      <c r="F78" s="138" t="s">
        <v>575</v>
      </c>
      <c r="G78" s="139">
        <v>240668</v>
      </c>
      <c r="H78" s="127" t="s">
        <v>564</v>
      </c>
      <c r="I78" s="135" t="s">
        <v>770</v>
      </c>
      <c r="J78" s="135"/>
      <c r="K78" s="135" t="s">
        <v>229</v>
      </c>
      <c r="L78" s="135" t="s">
        <v>18</v>
      </c>
    </row>
    <row r="79" spans="1:12">
      <c r="A79" s="9">
        <v>2025</v>
      </c>
      <c r="B79" s="136" t="s">
        <v>771</v>
      </c>
      <c r="C79" s="137">
        <v>172543</v>
      </c>
      <c r="D79" s="135" t="s">
        <v>585</v>
      </c>
      <c r="E79" s="130" t="s">
        <v>772</v>
      </c>
      <c r="F79" s="137">
        <v>39428</v>
      </c>
      <c r="G79" s="139">
        <v>341530</v>
      </c>
      <c r="H79" s="127" t="s">
        <v>564</v>
      </c>
      <c r="I79" s="135" t="s">
        <v>773</v>
      </c>
      <c r="J79" s="135"/>
      <c r="K79" s="135" t="s">
        <v>589</v>
      </c>
      <c r="L79" s="135" t="s">
        <v>26</v>
      </c>
    </row>
    <row r="80" spans="1:12">
      <c r="A80" s="9">
        <v>2025</v>
      </c>
      <c r="B80" s="136" t="s">
        <v>652</v>
      </c>
      <c r="C80" s="137">
        <v>102387923</v>
      </c>
      <c r="D80" s="135" t="s">
        <v>245</v>
      </c>
      <c r="E80" s="130" t="s">
        <v>774</v>
      </c>
      <c r="F80" s="137">
        <v>6418680</v>
      </c>
      <c r="G80" s="139">
        <v>3245035</v>
      </c>
      <c r="H80" s="127" t="s">
        <v>564</v>
      </c>
      <c r="I80" s="135" t="s">
        <v>775</v>
      </c>
      <c r="J80" s="135"/>
      <c r="K80" s="135" t="s">
        <v>583</v>
      </c>
      <c r="L80" s="135" t="s">
        <v>57</v>
      </c>
    </row>
    <row r="81" spans="1:12" ht="16.5">
      <c r="A81" s="9">
        <v>2025</v>
      </c>
      <c r="B81" s="152" t="s">
        <v>776</v>
      </c>
      <c r="C81" s="153">
        <v>2250</v>
      </c>
      <c r="D81" s="154" t="s">
        <v>562</v>
      </c>
      <c r="E81" s="137" t="s">
        <v>777</v>
      </c>
      <c r="F81" s="137">
        <v>80</v>
      </c>
      <c r="G81" s="139">
        <v>954741</v>
      </c>
      <c r="H81" s="127" t="s">
        <v>564</v>
      </c>
      <c r="I81" s="155" t="s">
        <v>778</v>
      </c>
      <c r="J81" s="135"/>
      <c r="K81" s="135" t="s">
        <v>583</v>
      </c>
      <c r="L81" s="135" t="s">
        <v>59</v>
      </c>
    </row>
    <row r="82" spans="1:12" ht="16.5">
      <c r="A82" s="9">
        <v>2025</v>
      </c>
      <c r="B82" s="156" t="s">
        <v>776</v>
      </c>
      <c r="C82" s="137">
        <v>2249</v>
      </c>
      <c r="D82" s="157" t="s">
        <v>562</v>
      </c>
      <c r="E82" s="137" t="s">
        <v>779</v>
      </c>
      <c r="F82" s="138" t="s">
        <v>575</v>
      </c>
      <c r="G82" s="139">
        <v>646087</v>
      </c>
      <c r="H82" s="127" t="s">
        <v>564</v>
      </c>
      <c r="I82" s="158" t="s">
        <v>780</v>
      </c>
      <c r="J82" s="135"/>
      <c r="K82" s="135" t="s">
        <v>583</v>
      </c>
      <c r="L82" s="135" t="s">
        <v>52</v>
      </c>
    </row>
    <row r="83" spans="1:12">
      <c r="A83" s="9">
        <v>2025</v>
      </c>
      <c r="B83" s="136" t="s">
        <v>697</v>
      </c>
      <c r="C83" s="137">
        <v>1234</v>
      </c>
      <c r="D83" s="135" t="s">
        <v>245</v>
      </c>
      <c r="E83" s="130" t="s">
        <v>781</v>
      </c>
      <c r="F83" s="137">
        <v>198</v>
      </c>
      <c r="G83" s="139">
        <v>192000</v>
      </c>
      <c r="H83" s="127" t="s">
        <v>564</v>
      </c>
      <c r="I83" s="135" t="s">
        <v>782</v>
      </c>
      <c r="J83" s="135"/>
      <c r="K83" s="135" t="s">
        <v>201</v>
      </c>
      <c r="L83" s="135" t="s">
        <v>43</v>
      </c>
    </row>
    <row r="84" spans="1:12">
      <c r="A84" s="9">
        <v>2025</v>
      </c>
      <c r="B84" s="136" t="s">
        <v>701</v>
      </c>
      <c r="C84" s="137">
        <v>6263</v>
      </c>
      <c r="D84" s="135" t="s">
        <v>245</v>
      </c>
      <c r="E84" s="130" t="s">
        <v>783</v>
      </c>
      <c r="F84" s="137">
        <v>2964</v>
      </c>
      <c r="G84" s="139">
        <v>562156</v>
      </c>
      <c r="H84" s="127" t="s">
        <v>564</v>
      </c>
      <c r="I84" s="135" t="s">
        <v>784</v>
      </c>
      <c r="J84" s="135"/>
      <c r="K84" s="135" t="s">
        <v>201</v>
      </c>
      <c r="L84" s="135" t="s">
        <v>43</v>
      </c>
    </row>
    <row r="85" spans="1:12">
      <c r="A85" s="9">
        <v>2025</v>
      </c>
      <c r="B85" s="136" t="s">
        <v>785</v>
      </c>
      <c r="C85" s="137">
        <v>365556</v>
      </c>
      <c r="D85" s="135" t="s">
        <v>585</v>
      </c>
      <c r="E85" s="135" t="s">
        <v>786</v>
      </c>
      <c r="F85" s="138" t="s">
        <v>575</v>
      </c>
      <c r="G85" s="139">
        <v>25843</v>
      </c>
      <c r="H85" s="127" t="s">
        <v>564</v>
      </c>
      <c r="I85" s="135" t="s">
        <v>787</v>
      </c>
      <c r="J85" s="135"/>
      <c r="K85" s="135" t="s">
        <v>229</v>
      </c>
      <c r="L85" s="135" t="s">
        <v>18</v>
      </c>
    </row>
    <row r="86" spans="1:12">
      <c r="A86" s="9">
        <v>2025</v>
      </c>
      <c r="B86" s="136" t="s">
        <v>652</v>
      </c>
      <c r="C86" s="137">
        <v>102394421</v>
      </c>
      <c r="D86" s="135" t="s">
        <v>245</v>
      </c>
      <c r="E86" s="130" t="s">
        <v>788</v>
      </c>
      <c r="F86" s="137">
        <v>6461032</v>
      </c>
      <c r="G86" s="139">
        <v>2923830</v>
      </c>
      <c r="H86" s="127" t="s">
        <v>564</v>
      </c>
      <c r="I86" s="135" t="s">
        <v>789</v>
      </c>
      <c r="J86" s="135"/>
      <c r="K86" s="135" t="s">
        <v>567</v>
      </c>
      <c r="L86" s="135" t="s">
        <v>23</v>
      </c>
    </row>
    <row r="87" spans="1:12">
      <c r="A87" s="9">
        <v>2025</v>
      </c>
      <c r="B87" s="136" t="s">
        <v>790</v>
      </c>
      <c r="C87" s="137" t="s">
        <v>791</v>
      </c>
      <c r="D87" s="135" t="s">
        <v>585</v>
      </c>
      <c r="E87" s="130" t="s">
        <v>792</v>
      </c>
      <c r="F87" s="138" t="s">
        <v>575</v>
      </c>
      <c r="G87" s="139">
        <v>4355406</v>
      </c>
      <c r="H87" s="127" t="s">
        <v>564</v>
      </c>
      <c r="I87" s="135" t="s">
        <v>793</v>
      </c>
      <c r="J87" s="135"/>
      <c r="K87" s="135" t="s">
        <v>599</v>
      </c>
      <c r="L87" s="135" t="s">
        <v>11</v>
      </c>
    </row>
    <row r="88" spans="1:12">
      <c r="A88" s="9">
        <v>2025</v>
      </c>
      <c r="B88" s="136" t="s">
        <v>794</v>
      </c>
      <c r="C88" s="137">
        <v>708341417</v>
      </c>
      <c r="D88" s="135" t="s">
        <v>585</v>
      </c>
      <c r="E88" s="130" t="s">
        <v>795</v>
      </c>
      <c r="F88" s="138" t="s">
        <v>575</v>
      </c>
      <c r="G88" s="139">
        <v>571193</v>
      </c>
      <c r="H88" s="127" t="s">
        <v>564</v>
      </c>
      <c r="I88" s="135" t="s">
        <v>796</v>
      </c>
      <c r="J88" s="135"/>
      <c r="K88" s="135" t="s">
        <v>201</v>
      </c>
      <c r="L88" s="135" t="s">
        <v>44</v>
      </c>
    </row>
    <row r="89" spans="1:12">
      <c r="A89" s="9">
        <v>2025</v>
      </c>
      <c r="B89" s="136" t="s">
        <v>719</v>
      </c>
      <c r="C89" s="137">
        <v>70418</v>
      </c>
      <c r="D89" s="135" t="s">
        <v>720</v>
      </c>
      <c r="E89" s="130" t="s">
        <v>797</v>
      </c>
      <c r="F89" s="137">
        <v>1406149</v>
      </c>
      <c r="G89" s="139">
        <v>699720</v>
      </c>
      <c r="H89" s="127" t="s">
        <v>564</v>
      </c>
      <c r="I89" s="135" t="s">
        <v>798</v>
      </c>
      <c r="J89" s="135"/>
      <c r="K89" s="135" t="s">
        <v>583</v>
      </c>
      <c r="L89" s="135" t="s">
        <v>49</v>
      </c>
    </row>
    <row r="90" spans="1:12">
      <c r="A90" s="9">
        <v>2025</v>
      </c>
      <c r="B90" s="136" t="s">
        <v>666</v>
      </c>
      <c r="C90" s="137">
        <v>14375</v>
      </c>
      <c r="D90" s="135" t="s">
        <v>667</v>
      </c>
      <c r="E90" s="130" t="s">
        <v>799</v>
      </c>
      <c r="F90" s="138" t="s">
        <v>575</v>
      </c>
      <c r="G90" s="139">
        <v>190400</v>
      </c>
      <c r="H90" s="127" t="s">
        <v>564</v>
      </c>
      <c r="I90" s="135" t="s">
        <v>800</v>
      </c>
      <c r="J90" s="135"/>
      <c r="K90" s="135" t="s">
        <v>583</v>
      </c>
      <c r="L90" s="135" t="s">
        <v>62</v>
      </c>
    </row>
    <row r="91" spans="1:12">
      <c r="A91" s="9">
        <v>2025</v>
      </c>
      <c r="B91" s="136" t="s">
        <v>801</v>
      </c>
      <c r="C91" s="137">
        <v>597438</v>
      </c>
      <c r="D91" s="135" t="s">
        <v>802</v>
      </c>
      <c r="E91" s="130" t="s">
        <v>803</v>
      </c>
      <c r="F91" s="138" t="s">
        <v>575</v>
      </c>
      <c r="G91" s="139">
        <v>749699</v>
      </c>
      <c r="H91" s="127" t="s">
        <v>564</v>
      </c>
      <c r="I91" s="135" t="s">
        <v>804</v>
      </c>
      <c r="J91" s="135"/>
      <c r="K91" s="135" t="s">
        <v>229</v>
      </c>
      <c r="L91" s="135" t="s">
        <v>20</v>
      </c>
    </row>
    <row r="92" spans="1:12">
      <c r="A92" s="9">
        <v>2025</v>
      </c>
      <c r="B92" s="136" t="s">
        <v>652</v>
      </c>
      <c r="C92" s="137">
        <v>708381052</v>
      </c>
      <c r="D92" s="135" t="s">
        <v>805</v>
      </c>
      <c r="E92" s="135" t="s">
        <v>806</v>
      </c>
      <c r="F92" s="138" t="s">
        <v>575</v>
      </c>
      <c r="G92" s="139">
        <v>274216</v>
      </c>
      <c r="H92" s="127" t="s">
        <v>564</v>
      </c>
      <c r="I92" s="135" t="s">
        <v>807</v>
      </c>
      <c r="J92" s="135"/>
      <c r="K92" s="135" t="s">
        <v>229</v>
      </c>
      <c r="L92" s="135" t="s">
        <v>20</v>
      </c>
    </row>
    <row r="93" spans="1:12">
      <c r="A93" s="9">
        <v>2025</v>
      </c>
      <c r="B93" s="136" t="s">
        <v>785</v>
      </c>
      <c r="C93" s="137">
        <v>365851</v>
      </c>
      <c r="D93" s="135" t="s">
        <v>808</v>
      </c>
      <c r="E93" s="130" t="s">
        <v>809</v>
      </c>
      <c r="F93" s="137">
        <v>168754</v>
      </c>
      <c r="G93" s="139">
        <v>485894</v>
      </c>
      <c r="H93" s="127" t="s">
        <v>564</v>
      </c>
      <c r="I93" s="135" t="s">
        <v>810</v>
      </c>
      <c r="J93" s="135"/>
      <c r="K93" s="135" t="s">
        <v>229</v>
      </c>
      <c r="L93" s="135" t="s">
        <v>18</v>
      </c>
    </row>
    <row r="94" spans="1:12">
      <c r="A94" s="9">
        <v>2025</v>
      </c>
      <c r="B94" s="136" t="s">
        <v>785</v>
      </c>
      <c r="C94" s="137">
        <v>365852</v>
      </c>
      <c r="D94" s="135" t="s">
        <v>808</v>
      </c>
      <c r="E94" s="130" t="s">
        <v>811</v>
      </c>
      <c r="F94" s="137">
        <v>168755</v>
      </c>
      <c r="G94" s="139">
        <v>485894</v>
      </c>
      <c r="H94" s="127" t="s">
        <v>564</v>
      </c>
      <c r="I94" s="135" t="s">
        <v>810</v>
      </c>
      <c r="J94" s="135"/>
      <c r="K94" s="135" t="s">
        <v>589</v>
      </c>
      <c r="L94" s="135" t="s">
        <v>27</v>
      </c>
    </row>
    <row r="95" spans="1:12">
      <c r="A95" s="9">
        <v>2025</v>
      </c>
      <c r="B95" s="136" t="s">
        <v>719</v>
      </c>
      <c r="C95" s="137">
        <v>71211</v>
      </c>
      <c r="D95" s="135" t="s">
        <v>720</v>
      </c>
      <c r="E95" s="130" t="s">
        <v>812</v>
      </c>
      <c r="F95" s="137">
        <v>1407908</v>
      </c>
      <c r="G95" s="139">
        <v>1605544</v>
      </c>
      <c r="H95" s="127" t="s">
        <v>564</v>
      </c>
      <c r="I95" s="135" t="s">
        <v>813</v>
      </c>
      <c r="J95" s="135"/>
      <c r="K95" s="135" t="s">
        <v>583</v>
      </c>
      <c r="L95" s="135" t="s">
        <v>614</v>
      </c>
    </row>
    <row r="96" spans="1:12">
      <c r="A96" s="9">
        <v>2025</v>
      </c>
      <c r="B96" s="136" t="s">
        <v>605</v>
      </c>
      <c r="C96" s="137">
        <v>494</v>
      </c>
      <c r="D96" s="135" t="s">
        <v>814</v>
      </c>
      <c r="E96" s="130" t="s">
        <v>815</v>
      </c>
      <c r="F96" s="137">
        <v>1230</v>
      </c>
      <c r="G96" s="139">
        <v>616420</v>
      </c>
      <c r="H96" s="127" t="s">
        <v>564</v>
      </c>
      <c r="I96" s="135" t="s">
        <v>816</v>
      </c>
      <c r="J96" s="135"/>
      <c r="K96" s="135" t="s">
        <v>227</v>
      </c>
      <c r="L96" s="135" t="s">
        <v>18</v>
      </c>
    </row>
    <row r="97" spans="1:12">
      <c r="A97" s="9">
        <v>2025</v>
      </c>
      <c r="B97" s="136" t="s">
        <v>605</v>
      </c>
      <c r="C97" s="137">
        <v>495</v>
      </c>
      <c r="D97" s="135" t="s">
        <v>814</v>
      </c>
      <c r="E97" s="130" t="s">
        <v>817</v>
      </c>
      <c r="F97" s="137">
        <v>1229</v>
      </c>
      <c r="G97" s="139">
        <v>428400</v>
      </c>
      <c r="H97" s="127" t="s">
        <v>564</v>
      </c>
      <c r="I97" s="135" t="s">
        <v>818</v>
      </c>
      <c r="J97" s="135"/>
      <c r="K97" s="135" t="s">
        <v>229</v>
      </c>
      <c r="L97" s="135" t="s">
        <v>20</v>
      </c>
    </row>
    <row r="98" spans="1:12">
      <c r="A98" s="9">
        <v>2025</v>
      </c>
      <c r="B98" s="136" t="s">
        <v>719</v>
      </c>
      <c r="C98" s="137">
        <v>71341</v>
      </c>
      <c r="D98" s="135" t="s">
        <v>819</v>
      </c>
      <c r="E98" s="130" t="s">
        <v>820</v>
      </c>
      <c r="F98" s="137">
        <v>1408330</v>
      </c>
      <c r="G98" s="139">
        <v>487900</v>
      </c>
      <c r="H98" s="127" t="s">
        <v>564</v>
      </c>
      <c r="I98" s="135" t="s">
        <v>821</v>
      </c>
      <c r="J98" s="135"/>
      <c r="K98" s="135" t="s">
        <v>201</v>
      </c>
      <c r="L98" s="135" t="s">
        <v>43</v>
      </c>
    </row>
    <row r="99" spans="1:12" ht="16.5">
      <c r="A99" s="9">
        <v>2025</v>
      </c>
      <c r="B99" s="152" t="s">
        <v>776</v>
      </c>
      <c r="C99" s="137">
        <v>2389</v>
      </c>
      <c r="D99" s="135" t="s">
        <v>814</v>
      </c>
      <c r="E99" s="130" t="s">
        <v>822</v>
      </c>
      <c r="F99" s="137">
        <v>79</v>
      </c>
      <c r="G99" s="139">
        <v>308924</v>
      </c>
      <c r="H99" s="127" t="s">
        <v>564</v>
      </c>
      <c r="I99" s="135" t="s">
        <v>823</v>
      </c>
      <c r="J99" s="135"/>
      <c r="K99" s="135" t="s">
        <v>583</v>
      </c>
      <c r="L99" s="135" t="s">
        <v>59</v>
      </c>
    </row>
    <row r="100" spans="1:12">
      <c r="A100" s="9">
        <v>2025</v>
      </c>
      <c r="B100" s="136" t="s">
        <v>824</v>
      </c>
      <c r="C100" s="138" t="s">
        <v>825</v>
      </c>
      <c r="D100" s="135" t="s">
        <v>667</v>
      </c>
      <c r="E100" s="135" t="s">
        <v>602</v>
      </c>
      <c r="F100" s="137">
        <v>189</v>
      </c>
      <c r="G100" s="139">
        <v>107100</v>
      </c>
      <c r="H100" s="127" t="s">
        <v>564</v>
      </c>
      <c r="I100" s="135" t="s">
        <v>826</v>
      </c>
      <c r="J100" s="135"/>
      <c r="K100" s="135" t="s">
        <v>583</v>
      </c>
      <c r="L100" s="135" t="s">
        <v>57</v>
      </c>
    </row>
    <row r="101" spans="1:12">
      <c r="A101" s="9">
        <v>2025</v>
      </c>
      <c r="B101" s="136" t="s">
        <v>794</v>
      </c>
      <c r="C101" s="137">
        <v>708432580</v>
      </c>
      <c r="D101" s="135" t="s">
        <v>805</v>
      </c>
      <c r="E101" s="130" t="s">
        <v>827</v>
      </c>
      <c r="F101" s="137">
        <v>311803</v>
      </c>
      <c r="G101" s="139">
        <v>1997445</v>
      </c>
      <c r="H101" s="127" t="s">
        <v>564</v>
      </c>
      <c r="I101" s="135" t="s">
        <v>828</v>
      </c>
      <c r="J101" s="135"/>
      <c r="K101" s="135" t="s">
        <v>647</v>
      </c>
      <c r="L101" s="135" t="s">
        <v>38</v>
      </c>
    </row>
    <row r="102" spans="1:12">
      <c r="A102" s="9">
        <v>2025</v>
      </c>
      <c r="B102" s="136" t="s">
        <v>677</v>
      </c>
      <c r="C102" s="137">
        <v>23313670</v>
      </c>
      <c r="D102" s="135" t="s">
        <v>805</v>
      </c>
      <c r="E102" s="130" t="s">
        <v>829</v>
      </c>
      <c r="F102" s="137">
        <v>5004238</v>
      </c>
      <c r="G102" s="139">
        <v>742785</v>
      </c>
      <c r="H102" s="127" t="s">
        <v>564</v>
      </c>
      <c r="I102" s="135" t="s">
        <v>830</v>
      </c>
      <c r="J102" s="135"/>
      <c r="K102" s="135" t="s">
        <v>589</v>
      </c>
      <c r="L102" s="135" t="s">
        <v>26</v>
      </c>
    </row>
    <row r="103" spans="1:12">
      <c r="A103" s="9">
        <v>2025</v>
      </c>
      <c r="B103" s="136" t="s">
        <v>831</v>
      </c>
      <c r="C103" s="137">
        <v>1010</v>
      </c>
      <c r="D103" s="135" t="s">
        <v>832</v>
      </c>
      <c r="E103" s="135" t="s">
        <v>602</v>
      </c>
      <c r="F103" s="138" t="s">
        <v>575</v>
      </c>
      <c r="G103" s="139">
        <v>149940</v>
      </c>
      <c r="H103" s="127" t="s">
        <v>564</v>
      </c>
      <c r="I103" s="135" t="s">
        <v>833</v>
      </c>
      <c r="J103" s="135"/>
      <c r="K103" s="135" t="s">
        <v>583</v>
      </c>
      <c r="L103" s="135" t="s">
        <v>614</v>
      </c>
    </row>
    <row r="104" spans="1:12">
      <c r="A104" s="9">
        <v>2025</v>
      </c>
      <c r="B104" s="136" t="s">
        <v>768</v>
      </c>
      <c r="C104" s="137">
        <v>11942270</v>
      </c>
      <c r="D104" s="135" t="s">
        <v>805</v>
      </c>
      <c r="E104" s="130" t="s">
        <v>834</v>
      </c>
      <c r="F104" s="138" t="s">
        <v>575</v>
      </c>
      <c r="G104" s="139">
        <v>73470</v>
      </c>
      <c r="H104" s="127" t="s">
        <v>564</v>
      </c>
      <c r="I104" s="135" t="s">
        <v>835</v>
      </c>
      <c r="J104" s="135"/>
      <c r="K104" s="135" t="s">
        <v>589</v>
      </c>
      <c r="L104" s="135" t="s">
        <v>26</v>
      </c>
    </row>
    <row r="105" spans="1:12">
      <c r="A105" s="9">
        <v>2025</v>
      </c>
      <c r="B105" s="136" t="s">
        <v>768</v>
      </c>
      <c r="C105" s="137">
        <v>11942280</v>
      </c>
      <c r="D105" s="135" t="s">
        <v>805</v>
      </c>
      <c r="E105" s="130" t="s">
        <v>836</v>
      </c>
      <c r="F105" s="138" t="s">
        <v>575</v>
      </c>
      <c r="G105" s="139">
        <v>280792</v>
      </c>
      <c r="H105" s="127" t="s">
        <v>564</v>
      </c>
      <c r="I105" s="135" t="s">
        <v>835</v>
      </c>
      <c r="J105" s="135"/>
      <c r="K105" s="135" t="s">
        <v>229</v>
      </c>
      <c r="L105" s="135" t="s">
        <v>18</v>
      </c>
    </row>
    <row r="106" spans="1:12">
      <c r="A106" s="9">
        <v>2025</v>
      </c>
      <c r="B106" s="136" t="s">
        <v>768</v>
      </c>
      <c r="C106" s="137">
        <v>11942268</v>
      </c>
      <c r="D106" s="135" t="s">
        <v>805</v>
      </c>
      <c r="E106" s="130" t="s">
        <v>837</v>
      </c>
      <c r="F106" s="131" t="s">
        <v>575</v>
      </c>
      <c r="G106" s="139">
        <v>344004</v>
      </c>
      <c r="H106" s="127" t="s">
        <v>564</v>
      </c>
      <c r="I106" s="135" t="s">
        <v>835</v>
      </c>
      <c r="J106" s="135"/>
      <c r="K106" s="135" t="s">
        <v>589</v>
      </c>
      <c r="L106" s="135" t="s">
        <v>27</v>
      </c>
    </row>
    <row r="107" spans="1:12">
      <c r="A107" s="9">
        <v>2025</v>
      </c>
      <c r="B107" s="136" t="s">
        <v>785</v>
      </c>
      <c r="C107" s="137">
        <v>366626</v>
      </c>
      <c r="D107" s="135" t="s">
        <v>808</v>
      </c>
      <c r="E107" s="130" t="s">
        <v>838</v>
      </c>
      <c r="F107" s="137">
        <v>170317</v>
      </c>
      <c r="G107" s="139">
        <v>486686</v>
      </c>
      <c r="H107" s="127" t="s">
        <v>564</v>
      </c>
      <c r="I107" s="135" t="s">
        <v>810</v>
      </c>
      <c r="J107" s="135"/>
      <c r="K107" s="135" t="s">
        <v>589</v>
      </c>
      <c r="L107" s="135" t="s">
        <v>26</v>
      </c>
    </row>
    <row r="108" spans="1:12">
      <c r="A108" s="9">
        <v>2025</v>
      </c>
      <c r="B108" s="136" t="s">
        <v>645</v>
      </c>
      <c r="C108" s="137">
        <v>7974</v>
      </c>
      <c r="D108" s="135" t="s">
        <v>562</v>
      </c>
      <c r="E108" s="130" t="s">
        <v>839</v>
      </c>
      <c r="F108" s="137">
        <v>8063</v>
      </c>
      <c r="G108" s="139">
        <v>322422</v>
      </c>
      <c r="H108" s="127" t="s">
        <v>564</v>
      </c>
      <c r="I108" s="135" t="s">
        <v>646</v>
      </c>
      <c r="J108" s="135"/>
      <c r="K108" s="135" t="s">
        <v>201</v>
      </c>
      <c r="L108" s="135" t="s">
        <v>44</v>
      </c>
    </row>
    <row r="109" spans="1:12">
      <c r="A109" s="9">
        <v>2025</v>
      </c>
      <c r="B109" s="136" t="s">
        <v>677</v>
      </c>
      <c r="C109" s="137">
        <v>23313689</v>
      </c>
      <c r="D109" s="135" t="s">
        <v>562</v>
      </c>
      <c r="E109" s="130" t="s">
        <v>840</v>
      </c>
      <c r="F109" s="144">
        <v>5040395</v>
      </c>
      <c r="G109" s="139">
        <v>356353</v>
      </c>
      <c r="H109" s="127" t="s">
        <v>564</v>
      </c>
      <c r="I109" s="135" t="s">
        <v>646</v>
      </c>
      <c r="J109" s="135"/>
      <c r="K109" s="135" t="s">
        <v>599</v>
      </c>
      <c r="L109" s="135" t="s">
        <v>11</v>
      </c>
    </row>
    <row r="110" spans="1:12">
      <c r="A110" s="9">
        <v>2025</v>
      </c>
      <c r="B110" s="136" t="s">
        <v>677</v>
      </c>
      <c r="C110" s="137">
        <v>23313698</v>
      </c>
      <c r="D110" s="135" t="s">
        <v>562</v>
      </c>
      <c r="E110" s="130" t="s">
        <v>841</v>
      </c>
      <c r="F110" s="144">
        <v>5040401</v>
      </c>
      <c r="G110" s="139">
        <v>335717</v>
      </c>
      <c r="H110" s="127" t="s">
        <v>564</v>
      </c>
      <c r="I110" s="135" t="s">
        <v>646</v>
      </c>
      <c r="J110" s="135"/>
      <c r="K110" s="135" t="s">
        <v>580</v>
      </c>
      <c r="L110" s="135" t="s">
        <v>47</v>
      </c>
    </row>
    <row r="111" spans="1:12">
      <c r="A111" s="9">
        <v>2025</v>
      </c>
      <c r="B111" s="136" t="s">
        <v>677</v>
      </c>
      <c r="C111" s="137">
        <v>23313703</v>
      </c>
      <c r="D111" s="135" t="s">
        <v>562</v>
      </c>
      <c r="E111" s="130" t="s">
        <v>842</v>
      </c>
      <c r="F111" s="144">
        <v>5040405</v>
      </c>
      <c r="G111" s="139">
        <v>451251</v>
      </c>
      <c r="H111" s="127" t="s">
        <v>564</v>
      </c>
      <c r="I111" s="135" t="s">
        <v>646</v>
      </c>
      <c r="J111" s="135"/>
      <c r="K111" s="135" t="s">
        <v>583</v>
      </c>
      <c r="L111" s="135" t="s">
        <v>62</v>
      </c>
    </row>
    <row r="112" spans="1:12">
      <c r="A112" s="9">
        <v>2025</v>
      </c>
      <c r="B112" s="136" t="s">
        <v>677</v>
      </c>
      <c r="C112" s="137">
        <v>23313712</v>
      </c>
      <c r="D112" s="135" t="s">
        <v>562</v>
      </c>
      <c r="E112" s="130" t="s">
        <v>843</v>
      </c>
      <c r="F112" s="144">
        <v>5040464</v>
      </c>
      <c r="G112" s="139">
        <v>451251</v>
      </c>
      <c r="H112" s="127" t="s">
        <v>564</v>
      </c>
      <c r="I112" s="135" t="s">
        <v>646</v>
      </c>
      <c r="J112" s="135"/>
      <c r="K112" s="135" t="s">
        <v>583</v>
      </c>
      <c r="L112" s="135" t="s">
        <v>65</v>
      </c>
    </row>
    <row r="113" spans="1:12">
      <c r="A113" s="9">
        <v>2025</v>
      </c>
      <c r="B113" s="136" t="s">
        <v>677</v>
      </c>
      <c r="C113" s="137">
        <v>23311330</v>
      </c>
      <c r="D113" s="135" t="s">
        <v>562</v>
      </c>
      <c r="E113" s="130" t="s">
        <v>844</v>
      </c>
      <c r="F113" s="144">
        <v>5040398</v>
      </c>
      <c r="G113" s="139">
        <v>252283</v>
      </c>
      <c r="H113" s="127" t="s">
        <v>564</v>
      </c>
      <c r="I113" s="135" t="s">
        <v>646</v>
      </c>
      <c r="J113" s="135"/>
      <c r="K113" s="135" t="s">
        <v>227</v>
      </c>
      <c r="L113" s="135" t="s">
        <v>49</v>
      </c>
    </row>
    <row r="114" spans="1:12">
      <c r="A114" s="9">
        <v>2025</v>
      </c>
      <c r="B114" s="136" t="s">
        <v>645</v>
      </c>
      <c r="C114" s="137">
        <v>8074</v>
      </c>
      <c r="D114" s="135" t="s">
        <v>562</v>
      </c>
      <c r="E114" s="130" t="s">
        <v>845</v>
      </c>
      <c r="F114" s="137">
        <v>8139</v>
      </c>
      <c r="G114" s="139">
        <v>390187</v>
      </c>
      <c r="H114" s="127" t="s">
        <v>564</v>
      </c>
      <c r="I114" s="135" t="s">
        <v>846</v>
      </c>
      <c r="J114" s="135"/>
      <c r="K114" s="135" t="s">
        <v>583</v>
      </c>
      <c r="L114" s="135" t="s">
        <v>847</v>
      </c>
    </row>
    <row r="115" spans="1:12">
      <c r="A115" s="9">
        <v>2025</v>
      </c>
      <c r="B115" s="136" t="s">
        <v>685</v>
      </c>
      <c r="C115" s="137">
        <v>373</v>
      </c>
      <c r="D115" s="135" t="s">
        <v>562</v>
      </c>
      <c r="E115" s="130" t="s">
        <v>848</v>
      </c>
      <c r="F115" s="137">
        <v>430</v>
      </c>
      <c r="G115" s="139">
        <v>368900</v>
      </c>
      <c r="H115" s="127" t="s">
        <v>564</v>
      </c>
      <c r="I115" s="135" t="s">
        <v>849</v>
      </c>
      <c r="J115" s="135"/>
      <c r="K115" s="135" t="s">
        <v>201</v>
      </c>
      <c r="L115" s="135" t="s">
        <v>44</v>
      </c>
    </row>
    <row r="116" spans="1:12">
      <c r="A116" s="9">
        <v>2025</v>
      </c>
      <c r="B116" s="136" t="s">
        <v>685</v>
      </c>
      <c r="C116" s="137">
        <v>371</v>
      </c>
      <c r="D116" s="135" t="s">
        <v>814</v>
      </c>
      <c r="E116" s="130" t="s">
        <v>850</v>
      </c>
      <c r="F116" s="137">
        <v>443</v>
      </c>
      <c r="G116" s="139">
        <v>654500</v>
      </c>
      <c r="H116" s="127" t="s">
        <v>564</v>
      </c>
      <c r="I116" s="135" t="s">
        <v>851</v>
      </c>
      <c r="J116" s="135"/>
      <c r="K116" s="135" t="s">
        <v>201</v>
      </c>
      <c r="L116" s="135" t="s">
        <v>43</v>
      </c>
    </row>
    <row r="117" spans="1:12">
      <c r="A117" s="9">
        <v>2025</v>
      </c>
      <c r="B117" s="136" t="s">
        <v>96</v>
      </c>
      <c r="C117" s="137">
        <v>3525</v>
      </c>
      <c r="D117" s="135" t="s">
        <v>814</v>
      </c>
      <c r="E117" s="130" t="s">
        <v>852</v>
      </c>
      <c r="F117" s="137">
        <v>1363</v>
      </c>
      <c r="G117" s="139">
        <v>493374</v>
      </c>
      <c r="H117" s="127" t="s">
        <v>564</v>
      </c>
      <c r="I117" s="135" t="s">
        <v>853</v>
      </c>
      <c r="J117" s="135"/>
      <c r="K117" s="135" t="s">
        <v>573</v>
      </c>
      <c r="L117" s="135" t="s">
        <v>34</v>
      </c>
    </row>
    <row r="118" spans="1:12">
      <c r="A118" s="9">
        <v>2025</v>
      </c>
      <c r="B118" s="136" t="s">
        <v>801</v>
      </c>
      <c r="C118" s="138">
        <v>20603677</v>
      </c>
      <c r="D118" s="135" t="s">
        <v>854</v>
      </c>
      <c r="E118" s="130" t="s">
        <v>855</v>
      </c>
      <c r="F118" s="138" t="s">
        <v>575</v>
      </c>
      <c r="G118" s="139">
        <v>4478020</v>
      </c>
      <c r="H118" s="127" t="s">
        <v>564</v>
      </c>
      <c r="I118" s="135" t="s">
        <v>856</v>
      </c>
      <c r="J118" s="135"/>
      <c r="K118" s="135" t="s">
        <v>573</v>
      </c>
      <c r="L118" s="135" t="s">
        <v>34</v>
      </c>
    </row>
    <row r="119" spans="1:12">
      <c r="A119" s="9">
        <v>2025</v>
      </c>
      <c r="B119" s="136" t="s">
        <v>685</v>
      </c>
      <c r="C119" s="137">
        <v>319</v>
      </c>
      <c r="D119" s="135" t="s">
        <v>245</v>
      </c>
      <c r="E119" s="130" t="s">
        <v>690</v>
      </c>
      <c r="F119" s="137">
        <v>423</v>
      </c>
      <c r="G119" s="139">
        <v>2112250</v>
      </c>
      <c r="H119" s="127" t="s">
        <v>564</v>
      </c>
      <c r="I119" s="135" t="s">
        <v>691</v>
      </c>
      <c r="J119" s="135" t="s">
        <v>857</v>
      </c>
      <c r="K119" s="135" t="s">
        <v>201</v>
      </c>
      <c r="L119" s="135" t="s">
        <v>43</v>
      </c>
    </row>
    <row r="120" spans="1:12">
      <c r="A120" s="9">
        <v>2025</v>
      </c>
      <c r="B120" s="136" t="s">
        <v>605</v>
      </c>
      <c r="C120" s="137">
        <v>510</v>
      </c>
      <c r="D120" s="135" t="s">
        <v>814</v>
      </c>
      <c r="E120" s="137" t="s">
        <v>858</v>
      </c>
      <c r="F120" s="137">
        <v>1254</v>
      </c>
      <c r="G120" s="139">
        <v>124950</v>
      </c>
      <c r="H120" s="127" t="s">
        <v>564</v>
      </c>
      <c r="I120" s="135" t="s">
        <v>859</v>
      </c>
      <c r="J120" s="135"/>
      <c r="K120" s="135" t="s">
        <v>647</v>
      </c>
      <c r="L120" s="135" t="s">
        <v>39</v>
      </c>
    </row>
    <row r="121" spans="1:12">
      <c r="A121" s="9">
        <v>2025</v>
      </c>
      <c r="B121" s="136" t="s">
        <v>605</v>
      </c>
      <c r="C121" s="137">
        <v>514</v>
      </c>
      <c r="D121" s="135" t="s">
        <v>814</v>
      </c>
      <c r="E121" s="137" t="s">
        <v>860</v>
      </c>
      <c r="F121" s="137">
        <v>1258</v>
      </c>
      <c r="G121" s="139">
        <v>194400</v>
      </c>
      <c r="H121" s="127" t="s">
        <v>564</v>
      </c>
      <c r="I121" s="135" t="s">
        <v>861</v>
      </c>
      <c r="J121" s="135"/>
      <c r="K121" s="135" t="s">
        <v>583</v>
      </c>
      <c r="L121" s="135" t="s">
        <v>57</v>
      </c>
    </row>
    <row r="122" spans="1:12">
      <c r="A122" s="9">
        <v>2025</v>
      </c>
      <c r="B122" s="136" t="s">
        <v>605</v>
      </c>
      <c r="C122" s="137">
        <v>522</v>
      </c>
      <c r="D122" s="135" t="s">
        <v>814</v>
      </c>
      <c r="E122" s="137" t="s">
        <v>862</v>
      </c>
      <c r="F122" s="137">
        <v>1261</v>
      </c>
      <c r="G122" s="139">
        <v>238000</v>
      </c>
      <c r="H122" s="127" t="s">
        <v>564</v>
      </c>
      <c r="I122" s="135" t="s">
        <v>863</v>
      </c>
      <c r="J122" s="135"/>
      <c r="K122" s="135" t="s">
        <v>647</v>
      </c>
      <c r="L122" s="135" t="s">
        <v>40</v>
      </c>
    </row>
    <row r="123" spans="1:12">
      <c r="A123" s="9">
        <v>2025</v>
      </c>
      <c r="B123" s="136" t="s">
        <v>605</v>
      </c>
      <c r="C123" s="137">
        <v>528</v>
      </c>
      <c r="D123" s="135" t="s">
        <v>814</v>
      </c>
      <c r="E123" s="137" t="s">
        <v>864</v>
      </c>
      <c r="F123" s="137">
        <v>1264</v>
      </c>
      <c r="G123" s="139">
        <v>333200</v>
      </c>
      <c r="H123" s="127" t="s">
        <v>564</v>
      </c>
      <c r="I123" s="135" t="s">
        <v>865</v>
      </c>
      <c r="J123" s="135"/>
      <c r="K123" s="135" t="s">
        <v>589</v>
      </c>
      <c r="L123" s="135" t="s">
        <v>26</v>
      </c>
    </row>
    <row r="124" spans="1:12">
      <c r="A124" s="9">
        <v>2025</v>
      </c>
      <c r="B124" s="136" t="s">
        <v>605</v>
      </c>
      <c r="C124" s="137">
        <v>539</v>
      </c>
      <c r="D124" s="135" t="s">
        <v>814</v>
      </c>
      <c r="E124" s="137" t="s">
        <v>866</v>
      </c>
      <c r="F124" s="137">
        <v>1268</v>
      </c>
      <c r="G124" s="139">
        <v>618800</v>
      </c>
      <c r="H124" s="127" t="s">
        <v>564</v>
      </c>
      <c r="I124" s="135" t="s">
        <v>867</v>
      </c>
      <c r="J124" s="135" t="s">
        <v>868</v>
      </c>
      <c r="K124" s="135" t="s">
        <v>647</v>
      </c>
      <c r="L124" s="135" t="s">
        <v>38</v>
      </c>
    </row>
    <row r="125" spans="1:12">
      <c r="A125" s="9">
        <v>2025</v>
      </c>
      <c r="B125" s="136" t="s">
        <v>605</v>
      </c>
      <c r="C125" s="137">
        <v>542</v>
      </c>
      <c r="D125" s="135" t="s">
        <v>562</v>
      </c>
      <c r="E125" s="137" t="s">
        <v>869</v>
      </c>
      <c r="F125" s="137">
        <v>1271</v>
      </c>
      <c r="G125" s="139">
        <v>476000</v>
      </c>
      <c r="H125" s="127" t="s">
        <v>564</v>
      </c>
      <c r="I125" s="135" t="s">
        <v>870</v>
      </c>
      <c r="J125" s="135"/>
      <c r="K125" s="135" t="s">
        <v>589</v>
      </c>
      <c r="L125" s="135" t="s">
        <v>27</v>
      </c>
    </row>
    <row r="126" spans="1:12">
      <c r="A126" s="9">
        <v>2025</v>
      </c>
      <c r="B126" s="136" t="s">
        <v>605</v>
      </c>
      <c r="C126" s="137">
        <v>517</v>
      </c>
      <c r="D126" s="135" t="s">
        <v>814</v>
      </c>
      <c r="E126" s="159" t="s">
        <v>871</v>
      </c>
      <c r="F126" s="137">
        <v>1285</v>
      </c>
      <c r="G126" s="139">
        <v>470050</v>
      </c>
      <c r="H126" s="127" t="s">
        <v>564</v>
      </c>
      <c r="I126" s="135" t="s">
        <v>872</v>
      </c>
      <c r="J126" s="135"/>
      <c r="K126" s="135" t="s">
        <v>567</v>
      </c>
      <c r="L126" s="135" t="s">
        <v>23</v>
      </c>
    </row>
    <row r="127" spans="1:12">
      <c r="A127" s="9">
        <v>2025</v>
      </c>
      <c r="B127" s="136" t="s">
        <v>605</v>
      </c>
      <c r="C127" s="137">
        <v>534</v>
      </c>
      <c r="D127" s="135" t="s">
        <v>873</v>
      </c>
      <c r="E127" s="159" t="s">
        <v>874</v>
      </c>
      <c r="F127" s="137">
        <v>1290</v>
      </c>
      <c r="G127" s="139">
        <v>351050</v>
      </c>
      <c r="H127" s="127" t="s">
        <v>564</v>
      </c>
      <c r="I127" s="135" t="s">
        <v>875</v>
      </c>
      <c r="J127" s="135"/>
      <c r="K127" s="135" t="s">
        <v>227</v>
      </c>
      <c r="L127" s="135" t="s">
        <v>49</v>
      </c>
    </row>
    <row r="128" spans="1:12">
      <c r="A128" s="9">
        <v>2025</v>
      </c>
      <c r="B128" s="136" t="s">
        <v>605</v>
      </c>
      <c r="C128" s="137">
        <v>549</v>
      </c>
      <c r="D128" s="135" t="s">
        <v>814</v>
      </c>
      <c r="E128" s="159" t="s">
        <v>876</v>
      </c>
      <c r="F128" s="137">
        <v>1287</v>
      </c>
      <c r="G128" s="139">
        <v>618800</v>
      </c>
      <c r="H128" s="127" t="s">
        <v>564</v>
      </c>
      <c r="I128" s="135" t="s">
        <v>877</v>
      </c>
      <c r="J128" s="135"/>
      <c r="K128" s="135" t="s">
        <v>583</v>
      </c>
      <c r="L128" s="135" t="s">
        <v>62</v>
      </c>
    </row>
    <row r="129" spans="1:12">
      <c r="A129" s="9">
        <v>2025</v>
      </c>
      <c r="B129" s="136" t="s">
        <v>677</v>
      </c>
      <c r="C129" s="137">
        <v>23332952</v>
      </c>
      <c r="D129" s="135" t="s">
        <v>805</v>
      </c>
      <c r="E129" s="130" t="s">
        <v>878</v>
      </c>
      <c r="F129" s="137">
        <v>5035001</v>
      </c>
      <c r="G129" s="139">
        <v>484642</v>
      </c>
      <c r="H129" s="127" t="s">
        <v>564</v>
      </c>
      <c r="I129" s="135" t="s">
        <v>879</v>
      </c>
      <c r="J129" s="135"/>
      <c r="K129" s="135" t="s">
        <v>227</v>
      </c>
      <c r="L129" s="135" t="s">
        <v>49</v>
      </c>
    </row>
    <row r="130" spans="1:12">
      <c r="A130" s="9">
        <v>2025</v>
      </c>
      <c r="B130" s="136" t="s">
        <v>685</v>
      </c>
      <c r="C130" s="137">
        <v>387</v>
      </c>
      <c r="D130" s="135" t="s">
        <v>562</v>
      </c>
      <c r="E130" s="130" t="s">
        <v>880</v>
      </c>
      <c r="F130" s="137">
        <v>439</v>
      </c>
      <c r="G130" s="139">
        <v>849006</v>
      </c>
      <c r="H130" s="127" t="s">
        <v>564</v>
      </c>
      <c r="I130" s="135" t="s">
        <v>881</v>
      </c>
      <c r="J130" s="135"/>
      <c r="K130" s="135" t="s">
        <v>647</v>
      </c>
      <c r="L130" s="135" t="s">
        <v>38</v>
      </c>
    </row>
    <row r="131" spans="1:12">
      <c r="A131" s="9">
        <v>2025</v>
      </c>
      <c r="B131" s="136" t="s">
        <v>685</v>
      </c>
      <c r="C131" s="137">
        <v>388</v>
      </c>
      <c r="D131" s="135" t="s">
        <v>562</v>
      </c>
      <c r="E131" s="130" t="s">
        <v>882</v>
      </c>
      <c r="F131" s="137">
        <v>440</v>
      </c>
      <c r="G131" s="139">
        <v>849006</v>
      </c>
      <c r="H131" s="127" t="s">
        <v>564</v>
      </c>
      <c r="I131" s="135" t="s">
        <v>881</v>
      </c>
      <c r="J131" s="135"/>
      <c r="K131" s="135" t="s">
        <v>647</v>
      </c>
      <c r="L131" s="135" t="s">
        <v>39</v>
      </c>
    </row>
    <row r="132" spans="1:12">
      <c r="A132" s="9">
        <v>2025</v>
      </c>
      <c r="B132" s="136" t="s">
        <v>883</v>
      </c>
      <c r="C132" s="137" t="s">
        <v>884</v>
      </c>
      <c r="D132" s="135" t="s">
        <v>562</v>
      </c>
      <c r="E132" s="130" t="s">
        <v>885</v>
      </c>
      <c r="F132" s="138" t="s">
        <v>575</v>
      </c>
      <c r="G132" s="139">
        <v>519980</v>
      </c>
      <c r="H132" s="127" t="s">
        <v>564</v>
      </c>
      <c r="I132" s="135" t="s">
        <v>886</v>
      </c>
      <c r="J132" s="135"/>
      <c r="K132" s="135" t="s">
        <v>583</v>
      </c>
      <c r="L132" s="135" t="s">
        <v>887</v>
      </c>
    </row>
    <row r="133" spans="1:12">
      <c r="A133" s="9">
        <v>2025</v>
      </c>
      <c r="B133" s="136" t="s">
        <v>785</v>
      </c>
      <c r="C133" s="137">
        <v>367160</v>
      </c>
      <c r="D133" s="135" t="s">
        <v>808</v>
      </c>
      <c r="E133" s="130" t="s">
        <v>888</v>
      </c>
      <c r="F133" s="137">
        <v>170945</v>
      </c>
      <c r="G133" s="139">
        <v>238114</v>
      </c>
      <c r="H133" s="127" t="s">
        <v>564</v>
      </c>
      <c r="I133" s="135" t="s">
        <v>889</v>
      </c>
      <c r="J133" s="135"/>
      <c r="K133" s="135" t="s">
        <v>647</v>
      </c>
      <c r="L133" s="135" t="s">
        <v>40</v>
      </c>
    </row>
    <row r="134" spans="1:12">
      <c r="A134" s="9">
        <v>2025</v>
      </c>
      <c r="B134" s="136" t="s">
        <v>670</v>
      </c>
      <c r="C134" s="137" t="s">
        <v>890</v>
      </c>
      <c r="D134" s="135" t="s">
        <v>805</v>
      </c>
      <c r="E134" s="130" t="s">
        <v>891</v>
      </c>
      <c r="F134" s="137">
        <v>2449928</v>
      </c>
      <c r="G134" s="139">
        <v>458509</v>
      </c>
      <c r="H134" s="127" t="s">
        <v>564</v>
      </c>
      <c r="I134" s="135" t="s">
        <v>892</v>
      </c>
      <c r="J134" s="135"/>
      <c r="K134" s="135" t="s">
        <v>573</v>
      </c>
      <c r="L134" s="135" t="s">
        <v>34</v>
      </c>
    </row>
    <row r="135" spans="1:12">
      <c r="A135" s="9">
        <v>2025</v>
      </c>
      <c r="B135" s="136" t="s">
        <v>652</v>
      </c>
      <c r="C135" s="137">
        <v>708498621</v>
      </c>
      <c r="D135" s="135" t="s">
        <v>562</v>
      </c>
      <c r="E135" s="130" t="s">
        <v>893</v>
      </c>
      <c r="F135" s="137">
        <v>6611117</v>
      </c>
      <c r="G135" s="139">
        <v>258685</v>
      </c>
      <c r="H135" s="127" t="s">
        <v>564</v>
      </c>
      <c r="I135" s="135" t="s">
        <v>646</v>
      </c>
      <c r="J135" s="135"/>
      <c r="K135" s="135" t="s">
        <v>567</v>
      </c>
      <c r="L135" s="135" t="s">
        <v>23</v>
      </c>
    </row>
    <row r="136" spans="1:12">
      <c r="A136" s="9">
        <v>2025</v>
      </c>
      <c r="B136" s="136" t="s">
        <v>652</v>
      </c>
      <c r="C136" s="137">
        <v>708498590</v>
      </c>
      <c r="D136" s="135" t="s">
        <v>562</v>
      </c>
      <c r="E136" s="130" t="s">
        <v>894</v>
      </c>
      <c r="F136" s="137">
        <v>6611118</v>
      </c>
      <c r="G136" s="139">
        <v>115937</v>
      </c>
      <c r="H136" s="127" t="s">
        <v>564</v>
      </c>
      <c r="I136" s="135" t="s">
        <v>646</v>
      </c>
      <c r="J136" s="135"/>
      <c r="K136" s="135" t="s">
        <v>567</v>
      </c>
      <c r="L136" s="135" t="s">
        <v>24</v>
      </c>
    </row>
    <row r="137" spans="1:12">
      <c r="A137" s="9">
        <v>2025</v>
      </c>
      <c r="B137" s="136" t="s">
        <v>251</v>
      </c>
      <c r="C137" s="137">
        <v>708577549</v>
      </c>
      <c r="D137" s="135" t="s">
        <v>819</v>
      </c>
      <c r="E137" s="130" t="s">
        <v>895</v>
      </c>
      <c r="F137" s="137">
        <v>6570889</v>
      </c>
      <c r="G137" s="139">
        <v>195631</v>
      </c>
      <c r="H137" s="127" t="s">
        <v>564</v>
      </c>
      <c r="I137" s="135" t="s">
        <v>896</v>
      </c>
      <c r="J137" s="135"/>
      <c r="K137" s="135" t="s">
        <v>583</v>
      </c>
      <c r="L137" s="135" t="s">
        <v>54</v>
      </c>
    </row>
    <row r="138" spans="1:12">
      <c r="A138" s="9">
        <v>2025</v>
      </c>
      <c r="B138" s="136" t="s">
        <v>897</v>
      </c>
      <c r="C138" s="137" t="s">
        <v>898</v>
      </c>
      <c r="D138" s="135" t="s">
        <v>814</v>
      </c>
      <c r="E138" s="130" t="s">
        <v>899</v>
      </c>
      <c r="F138" s="137">
        <v>336</v>
      </c>
      <c r="G138" s="139">
        <v>3749452</v>
      </c>
      <c r="H138" s="127" t="s">
        <v>564</v>
      </c>
      <c r="I138" s="135" t="s">
        <v>900</v>
      </c>
      <c r="J138" s="135"/>
      <c r="K138" s="135" t="s">
        <v>201</v>
      </c>
      <c r="L138" s="135" t="s">
        <v>44</v>
      </c>
    </row>
    <row r="139" spans="1:12">
      <c r="A139" s="9">
        <v>2025</v>
      </c>
      <c r="B139" s="136" t="s">
        <v>96</v>
      </c>
      <c r="C139" s="138">
        <v>0</v>
      </c>
      <c r="D139" s="135" t="s">
        <v>805</v>
      </c>
      <c r="E139" s="135" t="s">
        <v>602</v>
      </c>
      <c r="F139" s="137">
        <v>1364</v>
      </c>
      <c r="G139" s="139">
        <v>71400</v>
      </c>
      <c r="H139" s="127" t="s">
        <v>564</v>
      </c>
      <c r="I139" s="135" t="s">
        <v>901</v>
      </c>
      <c r="J139" s="135"/>
      <c r="K139" s="135" t="s">
        <v>573</v>
      </c>
      <c r="L139" s="135" t="s">
        <v>34</v>
      </c>
    </row>
    <row r="140" spans="1:12">
      <c r="A140" s="9">
        <v>2025</v>
      </c>
      <c r="B140" s="136" t="s">
        <v>902</v>
      </c>
      <c r="C140" s="137">
        <v>42999</v>
      </c>
      <c r="D140" s="135" t="s">
        <v>805</v>
      </c>
      <c r="E140" s="130" t="s">
        <v>903</v>
      </c>
      <c r="F140" s="137">
        <v>368493</v>
      </c>
      <c r="G140" s="139">
        <v>251904</v>
      </c>
      <c r="H140" s="127" t="s">
        <v>564</v>
      </c>
      <c r="I140" s="135" t="s">
        <v>904</v>
      </c>
      <c r="J140" s="135"/>
      <c r="K140" s="135" t="s">
        <v>589</v>
      </c>
      <c r="L140" s="135" t="s">
        <v>26</v>
      </c>
    </row>
    <row r="141" spans="1:12">
      <c r="A141" s="9">
        <v>2025</v>
      </c>
      <c r="B141" s="136" t="s">
        <v>652</v>
      </c>
      <c r="C141" s="137">
        <v>708610362</v>
      </c>
      <c r="D141" s="135" t="s">
        <v>562</v>
      </c>
      <c r="E141" s="130" t="s">
        <v>905</v>
      </c>
      <c r="F141" s="137">
        <v>6685158</v>
      </c>
      <c r="G141" s="139">
        <v>75295</v>
      </c>
      <c r="H141" s="127" t="s">
        <v>564</v>
      </c>
      <c r="I141" s="135" t="s">
        <v>906</v>
      </c>
      <c r="J141" s="135"/>
      <c r="K141" s="135" t="s">
        <v>599</v>
      </c>
      <c r="L141" s="135" t="s">
        <v>13</v>
      </c>
    </row>
    <row r="142" spans="1:12">
      <c r="A142" s="9">
        <v>2025</v>
      </c>
      <c r="B142" s="136" t="s">
        <v>785</v>
      </c>
      <c r="C142" s="137">
        <v>368849</v>
      </c>
      <c r="D142" s="135" t="s">
        <v>808</v>
      </c>
      <c r="E142" s="130" t="s">
        <v>907</v>
      </c>
      <c r="F142" s="137">
        <v>172863</v>
      </c>
      <c r="G142" s="139">
        <v>198429</v>
      </c>
      <c r="H142" s="127" t="s">
        <v>564</v>
      </c>
      <c r="I142" s="135" t="s">
        <v>908</v>
      </c>
      <c r="J142" s="135"/>
      <c r="K142" s="135" t="s">
        <v>599</v>
      </c>
      <c r="L142" s="135" t="s">
        <v>13</v>
      </c>
    </row>
    <row r="143" spans="1:12">
      <c r="A143" s="9">
        <v>2025</v>
      </c>
      <c r="B143" s="136" t="s">
        <v>677</v>
      </c>
      <c r="C143" s="137">
        <v>23367401</v>
      </c>
      <c r="D143" s="135" t="s">
        <v>805</v>
      </c>
      <c r="E143" s="130" t="s">
        <v>909</v>
      </c>
      <c r="F143" s="137">
        <v>5088258</v>
      </c>
      <c r="G143" s="139">
        <v>61266</v>
      </c>
      <c r="H143" s="127" t="s">
        <v>564</v>
      </c>
      <c r="I143" s="135" t="s">
        <v>910</v>
      </c>
      <c r="J143" s="135"/>
      <c r="K143" s="135" t="s">
        <v>580</v>
      </c>
      <c r="L143" s="135" t="s">
        <v>47</v>
      </c>
    </row>
    <row r="144" spans="1:12">
      <c r="A144" s="9">
        <v>2025</v>
      </c>
      <c r="B144" s="136" t="s">
        <v>677</v>
      </c>
      <c r="C144" s="137">
        <v>23367401</v>
      </c>
      <c r="D144" s="135" t="s">
        <v>911</v>
      </c>
      <c r="E144" s="130" t="s">
        <v>909</v>
      </c>
      <c r="F144" s="137">
        <v>5109408</v>
      </c>
      <c r="G144" s="139">
        <v>106381</v>
      </c>
      <c r="H144" s="127" t="s">
        <v>564</v>
      </c>
      <c r="I144" s="135" t="s">
        <v>912</v>
      </c>
      <c r="J144" s="135"/>
      <c r="K144" s="135" t="s">
        <v>599</v>
      </c>
      <c r="L144" s="135" t="s">
        <v>11</v>
      </c>
    </row>
    <row r="145" spans="1:12">
      <c r="A145" s="9">
        <v>2025</v>
      </c>
      <c r="B145" s="136" t="s">
        <v>913</v>
      </c>
      <c r="C145" s="137">
        <v>110</v>
      </c>
      <c r="D145" s="135" t="s">
        <v>914</v>
      </c>
      <c r="E145" s="135" t="s">
        <v>602</v>
      </c>
      <c r="F145" s="138" t="s">
        <v>575</v>
      </c>
      <c r="G145" s="139">
        <v>130900</v>
      </c>
      <c r="H145" s="127" t="s">
        <v>564</v>
      </c>
      <c r="I145" s="135" t="s">
        <v>915</v>
      </c>
      <c r="J145" s="135"/>
      <c r="K145" s="135" t="s">
        <v>583</v>
      </c>
      <c r="L145" s="135" t="s">
        <v>65</v>
      </c>
    </row>
    <row r="146" spans="1:12">
      <c r="A146" s="9">
        <v>2025</v>
      </c>
      <c r="B146" s="136" t="s">
        <v>916</v>
      </c>
      <c r="C146" s="138">
        <v>85</v>
      </c>
      <c r="D146" s="135" t="s">
        <v>914</v>
      </c>
      <c r="E146" s="135" t="s">
        <v>917</v>
      </c>
      <c r="F146" s="137">
        <v>14</v>
      </c>
      <c r="G146" s="139">
        <v>214200</v>
      </c>
      <c r="H146" s="127" t="s">
        <v>564</v>
      </c>
      <c r="I146" s="135" t="s">
        <v>918</v>
      </c>
      <c r="J146" s="135"/>
      <c r="K146" s="135" t="s">
        <v>599</v>
      </c>
      <c r="L146" s="135" t="s">
        <v>11</v>
      </c>
    </row>
    <row r="147" spans="1:12">
      <c r="A147" s="9">
        <v>2025</v>
      </c>
      <c r="B147" s="136" t="s">
        <v>677</v>
      </c>
      <c r="C147" s="138">
        <v>23377655</v>
      </c>
      <c r="D147" s="135" t="s">
        <v>919</v>
      </c>
      <c r="E147" s="130" t="s">
        <v>920</v>
      </c>
      <c r="F147" s="137">
        <v>5108583</v>
      </c>
      <c r="G147" s="139">
        <v>55104</v>
      </c>
      <c r="H147" s="127" t="s">
        <v>564</v>
      </c>
      <c r="I147" s="135" t="s">
        <v>921</v>
      </c>
      <c r="J147" s="135"/>
      <c r="K147" s="135" t="s">
        <v>922</v>
      </c>
      <c r="L147" s="135" t="s">
        <v>49</v>
      </c>
    </row>
    <row r="148" spans="1:12">
      <c r="A148" s="9">
        <v>2025</v>
      </c>
      <c r="B148" s="136" t="s">
        <v>670</v>
      </c>
      <c r="C148" s="137" t="s">
        <v>923</v>
      </c>
      <c r="D148" s="135" t="s">
        <v>919</v>
      </c>
      <c r="E148" s="130" t="s">
        <v>924</v>
      </c>
      <c r="F148" s="137">
        <v>2456415</v>
      </c>
      <c r="G148" s="139">
        <v>38446</v>
      </c>
      <c r="H148" s="127" t="s">
        <v>564</v>
      </c>
      <c r="I148" s="135" t="s">
        <v>925</v>
      </c>
      <c r="J148" s="135"/>
      <c r="K148" s="135" t="s">
        <v>573</v>
      </c>
      <c r="L148" s="135" t="s">
        <v>33</v>
      </c>
    </row>
    <row r="149" spans="1:12">
      <c r="A149" s="9">
        <v>2025</v>
      </c>
      <c r="B149" s="136" t="s">
        <v>926</v>
      </c>
      <c r="C149" s="137" t="s">
        <v>927</v>
      </c>
      <c r="D149" s="135" t="s">
        <v>911</v>
      </c>
      <c r="E149" s="135" t="s">
        <v>928</v>
      </c>
      <c r="F149" s="137">
        <v>6130805</v>
      </c>
      <c r="G149" s="139">
        <v>342980</v>
      </c>
      <c r="H149" s="127" t="s">
        <v>564</v>
      </c>
      <c r="I149" s="135" t="s">
        <v>929</v>
      </c>
      <c r="J149" s="135"/>
      <c r="K149" s="135" t="s">
        <v>583</v>
      </c>
      <c r="L149" s="135" t="s">
        <v>583</v>
      </c>
    </row>
    <row r="150" spans="1:12">
      <c r="A150" s="9">
        <v>2025</v>
      </c>
      <c r="B150" s="136" t="s">
        <v>677</v>
      </c>
      <c r="C150" s="138"/>
      <c r="D150" s="135" t="s">
        <v>562</v>
      </c>
      <c r="E150" s="135" t="s">
        <v>930</v>
      </c>
      <c r="F150" s="137">
        <v>5099460</v>
      </c>
      <c r="G150" s="139">
        <v>165348</v>
      </c>
      <c r="H150" s="127" t="s">
        <v>564</v>
      </c>
      <c r="I150" s="135" t="s">
        <v>931</v>
      </c>
      <c r="J150" s="135"/>
      <c r="K150" s="135" t="s">
        <v>583</v>
      </c>
      <c r="L150" s="135" t="s">
        <v>55</v>
      </c>
    </row>
    <row r="151" spans="1:12">
      <c r="A151" s="9">
        <v>2025</v>
      </c>
      <c r="B151" s="136" t="s">
        <v>897</v>
      </c>
      <c r="C151" s="137" t="s">
        <v>932</v>
      </c>
      <c r="D151" s="135" t="s">
        <v>933</v>
      </c>
      <c r="E151" s="130" t="s">
        <v>934</v>
      </c>
      <c r="F151" s="137">
        <v>337</v>
      </c>
      <c r="G151" s="139">
        <v>380800</v>
      </c>
      <c r="H151" s="127" t="s">
        <v>564</v>
      </c>
      <c r="I151" s="135" t="s">
        <v>935</v>
      </c>
      <c r="J151" s="135"/>
      <c r="K151" s="135" t="s">
        <v>201</v>
      </c>
      <c r="L151" s="135" t="s">
        <v>44</v>
      </c>
    </row>
    <row r="152" spans="1:12">
      <c r="A152" s="9">
        <v>2025</v>
      </c>
      <c r="B152" s="136" t="s">
        <v>916</v>
      </c>
      <c r="C152" s="137">
        <v>180</v>
      </c>
      <c r="D152" s="135" t="s">
        <v>914</v>
      </c>
      <c r="E152" s="135" t="s">
        <v>602</v>
      </c>
      <c r="F152" s="138" t="s">
        <v>575</v>
      </c>
      <c r="G152" s="139">
        <v>975800</v>
      </c>
      <c r="H152" s="127" t="s">
        <v>564</v>
      </c>
      <c r="I152" s="135" t="s">
        <v>936</v>
      </c>
      <c r="J152" s="135"/>
      <c r="K152" s="135" t="s">
        <v>567</v>
      </c>
      <c r="L152" s="135" t="s">
        <v>23</v>
      </c>
    </row>
    <row r="153" spans="1:12">
      <c r="A153" s="9">
        <v>2025</v>
      </c>
      <c r="B153" s="136" t="s">
        <v>759</v>
      </c>
      <c r="C153" s="137">
        <v>1303742826</v>
      </c>
      <c r="D153" s="135" t="s">
        <v>933</v>
      </c>
      <c r="E153" s="130" t="s">
        <v>937</v>
      </c>
      <c r="F153" s="138" t="s">
        <v>575</v>
      </c>
      <c r="G153" s="139">
        <v>98476</v>
      </c>
      <c r="H153" s="127" t="s">
        <v>564</v>
      </c>
      <c r="I153" s="135" t="s">
        <v>938</v>
      </c>
      <c r="J153" s="135"/>
      <c r="K153" s="135" t="s">
        <v>583</v>
      </c>
      <c r="L153" s="135" t="s">
        <v>61</v>
      </c>
    </row>
    <row r="154" spans="1:12">
      <c r="A154" s="9">
        <v>2025</v>
      </c>
      <c r="B154" s="136" t="s">
        <v>685</v>
      </c>
      <c r="C154" s="137">
        <v>412</v>
      </c>
      <c r="D154" s="135" t="s">
        <v>914</v>
      </c>
      <c r="E154" s="130" t="s">
        <v>939</v>
      </c>
      <c r="F154" s="137">
        <v>478</v>
      </c>
      <c r="G154" s="139">
        <v>107100</v>
      </c>
      <c r="H154" s="127" t="s">
        <v>564</v>
      </c>
      <c r="I154" s="135" t="s">
        <v>940</v>
      </c>
      <c r="J154" s="135"/>
      <c r="K154" s="135" t="s">
        <v>201</v>
      </c>
      <c r="L154" s="135" t="s">
        <v>43</v>
      </c>
    </row>
    <row r="155" spans="1:12">
      <c r="A155" s="9">
        <v>2025</v>
      </c>
      <c r="B155" s="136" t="s">
        <v>719</v>
      </c>
      <c r="C155" s="137">
        <v>75056</v>
      </c>
      <c r="D155" s="135" t="s">
        <v>819</v>
      </c>
      <c r="E155" s="130" t="s">
        <v>941</v>
      </c>
      <c r="F155" s="137">
        <v>1420136</v>
      </c>
      <c r="G155" s="139">
        <v>80920</v>
      </c>
      <c r="H155" s="127" t="s">
        <v>564</v>
      </c>
      <c r="I155" s="135" t="s">
        <v>942</v>
      </c>
      <c r="J155" s="135"/>
      <c r="K155" s="135" t="s">
        <v>227</v>
      </c>
      <c r="L155" s="135" t="s">
        <v>50</v>
      </c>
    </row>
    <row r="156" spans="1:12">
      <c r="A156" s="9">
        <v>2025</v>
      </c>
      <c r="B156" s="136" t="s">
        <v>943</v>
      </c>
      <c r="C156" s="137">
        <v>1072</v>
      </c>
      <c r="D156" s="135" t="s">
        <v>585</v>
      </c>
      <c r="E156" s="130" t="s">
        <v>944</v>
      </c>
      <c r="F156" s="137">
        <v>26330</v>
      </c>
      <c r="G156" s="139">
        <v>593820</v>
      </c>
      <c r="H156" s="127" t="s">
        <v>564</v>
      </c>
      <c r="I156" s="135" t="s">
        <v>945</v>
      </c>
      <c r="J156" s="135"/>
      <c r="K156" s="135" t="s">
        <v>583</v>
      </c>
      <c r="L156" s="135" t="s">
        <v>583</v>
      </c>
    </row>
    <row r="157" spans="1:12">
      <c r="A157" s="9">
        <v>2025</v>
      </c>
      <c r="B157" s="136" t="s">
        <v>824</v>
      </c>
      <c r="C157" s="138" t="s">
        <v>946</v>
      </c>
      <c r="D157" s="135" t="s">
        <v>667</v>
      </c>
      <c r="E157" s="135" t="s">
        <v>947</v>
      </c>
      <c r="F157" s="137">
        <v>227</v>
      </c>
      <c r="G157" s="139">
        <v>452200</v>
      </c>
      <c r="H157" s="127" t="s">
        <v>564</v>
      </c>
      <c r="I157" s="135" t="s">
        <v>948</v>
      </c>
      <c r="J157" s="135"/>
      <c r="K157" s="135" t="s">
        <v>573</v>
      </c>
      <c r="L157" s="135" t="s">
        <v>33</v>
      </c>
    </row>
    <row r="158" spans="1:12">
      <c r="A158" s="9">
        <v>2026</v>
      </c>
      <c r="B158" s="136" t="s">
        <v>949</v>
      </c>
      <c r="C158" s="137" t="s">
        <v>736</v>
      </c>
      <c r="D158" s="135" t="s">
        <v>950</v>
      </c>
      <c r="E158" s="130" t="s">
        <v>951</v>
      </c>
      <c r="F158" s="138" t="s">
        <v>575</v>
      </c>
      <c r="G158" s="139">
        <v>404600</v>
      </c>
      <c r="H158" s="127" t="s">
        <v>564</v>
      </c>
      <c r="I158" s="135" t="s">
        <v>952</v>
      </c>
      <c r="J158" s="135"/>
      <c r="K158" s="135" t="s">
        <v>583</v>
      </c>
      <c r="L158" s="135" t="s">
        <v>583</v>
      </c>
    </row>
    <row r="159" spans="1:12">
      <c r="A159" s="9">
        <v>2026</v>
      </c>
      <c r="B159" s="136" t="s">
        <v>652</v>
      </c>
      <c r="C159" s="137">
        <v>708698490</v>
      </c>
      <c r="D159" s="135" t="s">
        <v>953</v>
      </c>
      <c r="E159" s="130" t="s">
        <v>954</v>
      </c>
      <c r="F159" s="137">
        <v>6752677</v>
      </c>
      <c r="G159" s="139">
        <v>817629</v>
      </c>
      <c r="H159" s="127" t="s">
        <v>564</v>
      </c>
      <c r="I159" s="135" t="s">
        <v>955</v>
      </c>
      <c r="J159" s="135"/>
      <c r="K159" s="135" t="s">
        <v>583</v>
      </c>
      <c r="L159" s="135" t="s">
        <v>583</v>
      </c>
    </row>
    <row r="160" spans="1:12">
      <c r="A160" s="9">
        <v>2026</v>
      </c>
      <c r="B160" s="136" t="s">
        <v>670</v>
      </c>
      <c r="C160" s="137" t="s">
        <v>956</v>
      </c>
      <c r="D160" s="135" t="s">
        <v>919</v>
      </c>
      <c r="E160" s="135" t="s">
        <v>602</v>
      </c>
      <c r="F160" s="131" t="s">
        <v>575</v>
      </c>
      <c r="G160" s="139">
        <v>327990</v>
      </c>
      <c r="H160" s="127" t="s">
        <v>564</v>
      </c>
      <c r="I160" s="135" t="s">
        <v>957</v>
      </c>
      <c r="J160" s="135"/>
      <c r="K160" s="135" t="s">
        <v>573</v>
      </c>
      <c r="L160" s="135" t="s">
        <v>34</v>
      </c>
    </row>
    <row r="161" spans="1:12">
      <c r="A161" s="9">
        <v>2026</v>
      </c>
      <c r="B161" s="136" t="s">
        <v>402</v>
      </c>
      <c r="C161" s="137" t="s">
        <v>958</v>
      </c>
      <c r="D161" s="135" t="s">
        <v>562</v>
      </c>
      <c r="E161" s="130" t="s">
        <v>959</v>
      </c>
      <c r="F161" s="137">
        <v>30</v>
      </c>
      <c r="G161" s="139">
        <v>412505</v>
      </c>
      <c r="H161" s="127" t="s">
        <v>564</v>
      </c>
      <c r="I161" s="135" t="s">
        <v>960</v>
      </c>
      <c r="J161" s="135"/>
      <c r="K161" s="135" t="s">
        <v>583</v>
      </c>
      <c r="L161" s="135" t="s">
        <v>53</v>
      </c>
    </row>
    <row r="162" spans="1:12">
      <c r="A162" s="9">
        <v>2026</v>
      </c>
      <c r="B162" s="136" t="s">
        <v>402</v>
      </c>
      <c r="C162" s="137" t="s">
        <v>961</v>
      </c>
      <c r="D162" s="135" t="s">
        <v>562</v>
      </c>
      <c r="E162" s="130" t="s">
        <v>962</v>
      </c>
      <c r="F162" s="137">
        <v>31</v>
      </c>
      <c r="G162" s="139">
        <v>295885</v>
      </c>
      <c r="H162" s="127" t="s">
        <v>564</v>
      </c>
      <c r="I162" s="135" t="s">
        <v>963</v>
      </c>
      <c r="J162" s="135"/>
      <c r="K162" s="135" t="s">
        <v>227</v>
      </c>
      <c r="L162" s="135" t="s">
        <v>57</v>
      </c>
    </row>
    <row r="163" spans="1:12">
      <c r="A163" s="35">
        <v>2026</v>
      </c>
      <c r="B163" s="136" t="s">
        <v>402</v>
      </c>
      <c r="C163" s="137" t="s">
        <v>964</v>
      </c>
      <c r="D163" s="135" t="s">
        <v>562</v>
      </c>
      <c r="E163" s="130" t="s">
        <v>965</v>
      </c>
      <c r="F163" s="137">
        <v>32</v>
      </c>
      <c r="G163" s="139">
        <v>401866</v>
      </c>
      <c r="H163" s="127" t="s">
        <v>564</v>
      </c>
      <c r="I163" s="135" t="s">
        <v>963</v>
      </c>
      <c r="J163" s="135"/>
      <c r="K163" s="135" t="s">
        <v>583</v>
      </c>
      <c r="L163" s="135" t="s">
        <v>50</v>
      </c>
    </row>
    <row r="164" spans="1:12">
      <c r="A164" s="35">
        <v>2026</v>
      </c>
      <c r="B164" s="136" t="s">
        <v>387</v>
      </c>
      <c r="C164" s="137">
        <v>20620849</v>
      </c>
      <c r="D164" s="135" t="s">
        <v>854</v>
      </c>
      <c r="E164" s="130" t="s">
        <v>966</v>
      </c>
      <c r="F164" s="138"/>
      <c r="G164" s="139">
        <v>753713</v>
      </c>
      <c r="H164" s="127" t="s">
        <v>564</v>
      </c>
      <c r="I164" s="135" t="s">
        <v>967</v>
      </c>
      <c r="J164" s="135"/>
      <c r="K164" s="135" t="s">
        <v>567</v>
      </c>
      <c r="L164" s="135" t="s">
        <v>24</v>
      </c>
    </row>
    <row r="165" spans="1:12">
      <c r="A165" s="9">
        <v>2026</v>
      </c>
      <c r="B165" s="136" t="s">
        <v>387</v>
      </c>
      <c r="C165" s="137">
        <v>20621489</v>
      </c>
      <c r="D165" s="135" t="s">
        <v>968</v>
      </c>
      <c r="E165" s="135" t="s">
        <v>969</v>
      </c>
      <c r="F165" s="138" t="s">
        <v>575</v>
      </c>
      <c r="G165" s="139">
        <v>52999</v>
      </c>
      <c r="H165" s="127" t="s">
        <v>564</v>
      </c>
      <c r="I165" s="135" t="s">
        <v>970</v>
      </c>
      <c r="J165" s="135"/>
      <c r="K165" s="135" t="s">
        <v>580</v>
      </c>
      <c r="L165" s="135" t="s">
        <v>47</v>
      </c>
    </row>
    <row r="166" spans="1:12">
      <c r="A166" s="9">
        <v>2026</v>
      </c>
      <c r="B166" s="135" t="s">
        <v>685</v>
      </c>
      <c r="C166" s="137">
        <v>426</v>
      </c>
      <c r="D166" s="135" t="s">
        <v>914</v>
      </c>
      <c r="E166" s="135" t="s">
        <v>971</v>
      </c>
      <c r="F166" s="138">
        <v>484</v>
      </c>
      <c r="G166" s="139">
        <v>428400</v>
      </c>
      <c r="H166" s="127" t="s">
        <v>564</v>
      </c>
      <c r="I166" s="135" t="s">
        <v>972</v>
      </c>
      <c r="J166" s="135"/>
      <c r="K166" s="135" t="s">
        <v>201</v>
      </c>
      <c r="L166" s="135" t="s">
        <v>43</v>
      </c>
    </row>
    <row r="167" spans="1:12">
      <c r="A167" s="9">
        <v>2026</v>
      </c>
      <c r="B167" s="135" t="s">
        <v>605</v>
      </c>
      <c r="C167" s="137">
        <v>552</v>
      </c>
      <c r="D167" s="135" t="s">
        <v>914</v>
      </c>
      <c r="E167" s="135" t="s">
        <v>631</v>
      </c>
      <c r="F167" s="137">
        <v>1355</v>
      </c>
      <c r="G167" s="139">
        <v>83300</v>
      </c>
      <c r="H167" s="127" t="s">
        <v>564</v>
      </c>
      <c r="I167" s="135" t="s">
        <v>973</v>
      </c>
      <c r="J167" s="135"/>
      <c r="K167" s="135" t="s">
        <v>573</v>
      </c>
      <c r="L167" s="135" t="s">
        <v>33</v>
      </c>
    </row>
    <row r="168" spans="1:12">
      <c r="A168" s="9">
        <v>2026</v>
      </c>
      <c r="B168" s="135" t="s">
        <v>605</v>
      </c>
      <c r="C168" s="137">
        <v>554</v>
      </c>
      <c r="D168" s="135" t="s">
        <v>914</v>
      </c>
      <c r="E168" s="135" t="s">
        <v>974</v>
      </c>
      <c r="F168" s="137">
        <v>1356</v>
      </c>
      <c r="G168" s="139">
        <v>95200</v>
      </c>
      <c r="H168" s="127" t="s">
        <v>564</v>
      </c>
      <c r="I168" s="135" t="s">
        <v>975</v>
      </c>
      <c r="J168" s="135"/>
      <c r="K168" s="135" t="s">
        <v>573</v>
      </c>
      <c r="L168" s="135" t="s">
        <v>33</v>
      </c>
    </row>
    <row r="169" spans="1:12">
      <c r="A169" s="9">
        <v>2026</v>
      </c>
      <c r="B169" s="135" t="s">
        <v>605</v>
      </c>
      <c r="C169" s="137">
        <v>556</v>
      </c>
      <c r="D169" s="135" t="s">
        <v>914</v>
      </c>
      <c r="E169" s="135" t="s">
        <v>976</v>
      </c>
      <c r="F169" s="137">
        <v>1360</v>
      </c>
      <c r="G169" s="139">
        <v>142800</v>
      </c>
      <c r="H169" s="127" t="s">
        <v>564</v>
      </c>
      <c r="I169" s="135" t="s">
        <v>977</v>
      </c>
      <c r="J169" s="135"/>
      <c r="K169" s="135" t="s">
        <v>227</v>
      </c>
      <c r="L169" s="135" t="s">
        <v>49</v>
      </c>
    </row>
    <row r="170" spans="1:12">
      <c r="A170" s="9">
        <v>2026</v>
      </c>
      <c r="B170" s="135" t="s">
        <v>605</v>
      </c>
      <c r="C170" s="137">
        <v>559</v>
      </c>
      <c r="D170" s="135" t="s">
        <v>914</v>
      </c>
      <c r="E170" s="135" t="s">
        <v>978</v>
      </c>
      <c r="F170" s="137">
        <v>1369</v>
      </c>
      <c r="G170" s="139">
        <v>630700</v>
      </c>
      <c r="H170" s="127" t="s">
        <v>564</v>
      </c>
      <c r="I170" s="135" t="s">
        <v>979</v>
      </c>
      <c r="J170" s="135"/>
      <c r="K170" s="135" t="s">
        <v>583</v>
      </c>
      <c r="L170" s="135" t="s">
        <v>65</v>
      </c>
    </row>
    <row r="171" spans="1:12">
      <c r="A171" s="9">
        <v>2026</v>
      </c>
      <c r="B171" s="135" t="s">
        <v>605</v>
      </c>
      <c r="C171" s="137">
        <v>561</v>
      </c>
      <c r="D171" s="135" t="s">
        <v>980</v>
      </c>
      <c r="E171" s="135" t="s">
        <v>611</v>
      </c>
      <c r="F171" s="137">
        <v>1352</v>
      </c>
      <c r="G171" s="139">
        <v>249900</v>
      </c>
      <c r="H171" s="127" t="s">
        <v>564</v>
      </c>
      <c r="I171" s="135" t="s">
        <v>981</v>
      </c>
      <c r="J171" s="135"/>
      <c r="K171" s="135" t="s">
        <v>229</v>
      </c>
      <c r="L171" s="135" t="s">
        <v>18</v>
      </c>
    </row>
    <row r="172" spans="1:12">
      <c r="A172" s="9">
        <v>2026</v>
      </c>
      <c r="B172" s="135" t="s">
        <v>605</v>
      </c>
      <c r="C172" s="137">
        <v>564</v>
      </c>
      <c r="D172" s="135" t="s">
        <v>980</v>
      </c>
      <c r="E172" s="135" t="s">
        <v>982</v>
      </c>
      <c r="F172" s="137">
        <v>1372</v>
      </c>
      <c r="G172" s="139">
        <v>821100</v>
      </c>
      <c r="H172" s="127" t="s">
        <v>564</v>
      </c>
      <c r="I172" s="135" t="s">
        <v>983</v>
      </c>
      <c r="J172" s="135"/>
      <c r="K172" s="135" t="s">
        <v>589</v>
      </c>
      <c r="L172" s="135" t="s">
        <v>26</v>
      </c>
    </row>
    <row r="173" spans="1:12">
      <c r="A173" s="9">
        <v>2026</v>
      </c>
      <c r="B173" s="135" t="s">
        <v>605</v>
      </c>
      <c r="C173" s="137">
        <v>566</v>
      </c>
      <c r="D173" s="135" t="s">
        <v>914</v>
      </c>
      <c r="E173" s="135" t="s">
        <v>984</v>
      </c>
      <c r="F173" s="137">
        <v>1375</v>
      </c>
      <c r="G173" s="139">
        <v>95200</v>
      </c>
      <c r="H173" s="127" t="s">
        <v>564</v>
      </c>
      <c r="I173" s="135" t="s">
        <v>985</v>
      </c>
      <c r="J173" s="135"/>
      <c r="K173" s="135" t="s">
        <v>583</v>
      </c>
      <c r="L173" s="135" t="s">
        <v>54</v>
      </c>
    </row>
    <row r="174" spans="1:12">
      <c r="A174" s="9">
        <v>2026</v>
      </c>
      <c r="B174" s="135" t="s">
        <v>605</v>
      </c>
      <c r="C174" s="137">
        <v>567</v>
      </c>
      <c r="D174" s="135" t="s">
        <v>980</v>
      </c>
      <c r="E174" s="135" t="s">
        <v>650</v>
      </c>
      <c r="F174" s="137">
        <v>1379</v>
      </c>
      <c r="G174" s="139">
        <v>249900</v>
      </c>
      <c r="H174" s="127" t="s">
        <v>564</v>
      </c>
      <c r="I174" s="135" t="s">
        <v>986</v>
      </c>
      <c r="J174" s="135"/>
      <c r="K174" s="135" t="s">
        <v>567</v>
      </c>
      <c r="L174" s="135" t="s">
        <v>23</v>
      </c>
    </row>
    <row r="175" spans="1:12">
      <c r="A175" s="9">
        <v>2026</v>
      </c>
      <c r="B175" s="135" t="s">
        <v>605</v>
      </c>
      <c r="C175" s="137">
        <v>569</v>
      </c>
      <c r="D175" s="135" t="s">
        <v>980</v>
      </c>
      <c r="E175" s="135" t="s">
        <v>639</v>
      </c>
      <c r="F175" s="137">
        <v>1381</v>
      </c>
      <c r="G175" s="139">
        <v>618800</v>
      </c>
      <c r="H175" s="127" t="s">
        <v>564</v>
      </c>
      <c r="I175" s="135" t="s">
        <v>987</v>
      </c>
      <c r="J175" s="135"/>
      <c r="K175" s="135" t="s">
        <v>567</v>
      </c>
      <c r="L175" s="135" t="s">
        <v>24</v>
      </c>
    </row>
    <row r="176" spans="1:12">
      <c r="A176" s="9">
        <v>2026</v>
      </c>
      <c r="B176" s="135" t="s">
        <v>605</v>
      </c>
      <c r="C176" s="137">
        <v>572</v>
      </c>
      <c r="D176" s="135" t="s">
        <v>914</v>
      </c>
      <c r="E176" s="135" t="s">
        <v>643</v>
      </c>
      <c r="F176" s="137">
        <v>1383</v>
      </c>
      <c r="G176" s="139">
        <v>654500</v>
      </c>
      <c r="H176" s="127" t="s">
        <v>564</v>
      </c>
      <c r="I176" s="135" t="s">
        <v>988</v>
      </c>
      <c r="J176" s="135"/>
      <c r="K176" s="135" t="s">
        <v>573</v>
      </c>
      <c r="L176" s="135" t="s">
        <v>33</v>
      </c>
    </row>
    <row r="177" spans="1:12">
      <c r="A177" s="9">
        <v>2026</v>
      </c>
      <c r="B177" s="135" t="s">
        <v>605</v>
      </c>
      <c r="C177" s="137">
        <v>573</v>
      </c>
      <c r="D177" s="135" t="s">
        <v>562</v>
      </c>
      <c r="E177" s="130" t="s">
        <v>653</v>
      </c>
      <c r="F177" s="138" t="s">
        <v>575</v>
      </c>
      <c r="G177" s="139">
        <v>505750</v>
      </c>
      <c r="H177" s="127" t="s">
        <v>564</v>
      </c>
      <c r="I177" s="135" t="s">
        <v>989</v>
      </c>
      <c r="J177" s="135"/>
      <c r="K177" s="135" t="s">
        <v>599</v>
      </c>
      <c r="L177" s="135" t="s">
        <v>11</v>
      </c>
    </row>
    <row r="178" spans="1:12">
      <c r="A178" s="9">
        <v>2026</v>
      </c>
      <c r="B178" s="135" t="s">
        <v>605</v>
      </c>
      <c r="C178" s="137">
        <v>576</v>
      </c>
      <c r="D178" s="135" t="s">
        <v>914</v>
      </c>
      <c r="E178" s="130" t="s">
        <v>662</v>
      </c>
      <c r="F178" s="138" t="s">
        <v>575</v>
      </c>
      <c r="G178" s="139">
        <v>83300</v>
      </c>
      <c r="H178" s="127" t="s">
        <v>564</v>
      </c>
      <c r="I178" s="135" t="s">
        <v>990</v>
      </c>
      <c r="J178" s="135"/>
      <c r="K178" s="135" t="s">
        <v>583</v>
      </c>
      <c r="L178" s="135" t="s">
        <v>62</v>
      </c>
    </row>
    <row r="179" spans="1:12">
      <c r="A179" s="9">
        <v>2026</v>
      </c>
      <c r="B179" s="135" t="s">
        <v>605</v>
      </c>
      <c r="C179" s="137">
        <v>579</v>
      </c>
      <c r="D179" s="135" t="s">
        <v>814</v>
      </c>
      <c r="E179" s="130" t="s">
        <v>991</v>
      </c>
      <c r="F179" s="138" t="s">
        <v>575</v>
      </c>
      <c r="G179" s="139">
        <v>214200</v>
      </c>
      <c r="H179" s="127" t="s">
        <v>564</v>
      </c>
      <c r="I179" s="135" t="s">
        <v>992</v>
      </c>
      <c r="J179" s="135"/>
      <c r="K179" s="135" t="s">
        <v>599</v>
      </c>
      <c r="L179" s="135" t="s">
        <v>11</v>
      </c>
    </row>
    <row r="180" spans="1:12">
      <c r="A180" s="9">
        <v>2026</v>
      </c>
      <c r="B180" s="135" t="s">
        <v>605</v>
      </c>
      <c r="C180" s="137">
        <v>582</v>
      </c>
      <c r="D180" s="135" t="s">
        <v>914</v>
      </c>
      <c r="E180" s="130" t="s">
        <v>993</v>
      </c>
      <c r="F180" s="138" t="s">
        <v>575</v>
      </c>
      <c r="G180" s="139">
        <v>47600</v>
      </c>
      <c r="H180" s="127" t="s">
        <v>564</v>
      </c>
      <c r="I180" s="135" t="s">
        <v>994</v>
      </c>
      <c r="J180" s="135"/>
      <c r="K180" s="135" t="s">
        <v>583</v>
      </c>
      <c r="L180" s="135" t="s">
        <v>61</v>
      </c>
    </row>
    <row r="181" spans="1:12">
      <c r="A181" s="9">
        <v>2026</v>
      </c>
      <c r="B181" s="135" t="s">
        <v>605</v>
      </c>
      <c r="C181" s="137">
        <v>586</v>
      </c>
      <c r="D181" s="135" t="s">
        <v>914</v>
      </c>
      <c r="E181" s="130" t="s">
        <v>995</v>
      </c>
      <c r="F181" s="138" t="s">
        <v>575</v>
      </c>
      <c r="G181" s="139">
        <v>345100</v>
      </c>
      <c r="H181" s="127" t="s">
        <v>564</v>
      </c>
      <c r="I181" s="135" t="s">
        <v>996</v>
      </c>
      <c r="J181" s="135"/>
      <c r="K181" s="135" t="s">
        <v>573</v>
      </c>
      <c r="L181" s="135" t="s">
        <v>34</v>
      </c>
    </row>
    <row r="182" spans="1:12">
      <c r="A182" s="9">
        <v>2026</v>
      </c>
      <c r="B182" s="135" t="s">
        <v>605</v>
      </c>
      <c r="C182" s="137">
        <v>589</v>
      </c>
      <c r="D182" s="135" t="s">
        <v>914</v>
      </c>
      <c r="E182" s="130" t="s">
        <v>997</v>
      </c>
      <c r="F182" s="138" t="s">
        <v>575</v>
      </c>
      <c r="G182" s="139">
        <v>95200</v>
      </c>
      <c r="H182" s="127" t="s">
        <v>564</v>
      </c>
      <c r="I182" s="135" t="s">
        <v>998</v>
      </c>
      <c r="J182" s="135"/>
      <c r="K182" s="135" t="s">
        <v>573</v>
      </c>
      <c r="L182" s="135" t="s">
        <v>33</v>
      </c>
    </row>
    <row r="183" spans="1:12">
      <c r="A183" s="9">
        <v>2026</v>
      </c>
      <c r="B183" s="135" t="s">
        <v>605</v>
      </c>
      <c r="C183" s="137">
        <v>592</v>
      </c>
      <c r="D183" s="135" t="s">
        <v>914</v>
      </c>
      <c r="E183" s="130" t="s">
        <v>999</v>
      </c>
      <c r="F183" s="138" t="s">
        <v>575</v>
      </c>
      <c r="G183" s="139">
        <v>476000</v>
      </c>
      <c r="H183" s="127" t="s">
        <v>564</v>
      </c>
      <c r="I183" s="135" t="s">
        <v>1000</v>
      </c>
      <c r="J183" s="135"/>
      <c r="K183" s="135" t="s">
        <v>589</v>
      </c>
      <c r="L183" s="135" t="s">
        <v>26</v>
      </c>
    </row>
    <row r="184" spans="1:12">
      <c r="A184" s="9">
        <v>2026</v>
      </c>
      <c r="B184" s="135" t="s">
        <v>605</v>
      </c>
      <c r="C184" s="137">
        <v>595</v>
      </c>
      <c r="D184" s="135" t="s">
        <v>914</v>
      </c>
      <c r="E184" s="130" t="s">
        <v>1001</v>
      </c>
      <c r="F184" s="138" t="s">
        <v>575</v>
      </c>
      <c r="G184" s="139">
        <v>71400</v>
      </c>
      <c r="H184" s="127" t="s">
        <v>564</v>
      </c>
      <c r="I184" s="135" t="s">
        <v>1002</v>
      </c>
      <c r="J184" s="135"/>
      <c r="K184" s="135" t="s">
        <v>1003</v>
      </c>
      <c r="L184" s="135" t="s">
        <v>18</v>
      </c>
    </row>
    <row r="185" spans="1:12">
      <c r="A185" s="9">
        <v>2026</v>
      </c>
      <c r="B185" s="135" t="s">
        <v>605</v>
      </c>
      <c r="C185" s="137">
        <v>597</v>
      </c>
      <c r="D185" s="135" t="s">
        <v>914</v>
      </c>
      <c r="E185" s="130" t="s">
        <v>1004</v>
      </c>
      <c r="F185" s="138" t="s">
        <v>575</v>
      </c>
      <c r="G185" s="139">
        <v>71400</v>
      </c>
      <c r="H185" s="127" t="s">
        <v>564</v>
      </c>
      <c r="I185" s="135" t="s">
        <v>1002</v>
      </c>
      <c r="J185" s="135"/>
      <c r="K185" s="135" t="s">
        <v>589</v>
      </c>
      <c r="L185" s="135" t="s">
        <v>27</v>
      </c>
    </row>
    <row r="186" spans="1:12">
      <c r="A186" s="9">
        <v>2026</v>
      </c>
      <c r="B186" s="135" t="s">
        <v>605</v>
      </c>
      <c r="C186" s="137">
        <v>600</v>
      </c>
      <c r="D186" s="135" t="s">
        <v>914</v>
      </c>
      <c r="E186" s="130" t="s">
        <v>1005</v>
      </c>
      <c r="F186" s="138" t="s">
        <v>575</v>
      </c>
      <c r="G186" s="139">
        <v>71400</v>
      </c>
      <c r="H186" s="127" t="s">
        <v>564</v>
      </c>
      <c r="I186" s="135" t="s">
        <v>1002</v>
      </c>
      <c r="J186" s="135"/>
      <c r="K186" s="135" t="s">
        <v>567</v>
      </c>
      <c r="L186" s="135" t="s">
        <v>23</v>
      </c>
    </row>
    <row r="187" spans="1:12">
      <c r="A187" s="9">
        <v>2026</v>
      </c>
      <c r="B187" s="135" t="s">
        <v>387</v>
      </c>
      <c r="C187" s="137">
        <v>20624006</v>
      </c>
      <c r="D187" s="135" t="s">
        <v>854</v>
      </c>
      <c r="E187" s="135" t="s">
        <v>602</v>
      </c>
      <c r="F187" s="138" t="s">
        <v>575</v>
      </c>
      <c r="G187" s="139">
        <v>342921</v>
      </c>
      <c r="H187" s="127" t="s">
        <v>564</v>
      </c>
      <c r="I187" s="135" t="s">
        <v>1006</v>
      </c>
      <c r="J187" s="135"/>
      <c r="K187" s="135" t="s">
        <v>583</v>
      </c>
      <c r="L187" s="135" t="s">
        <v>52</v>
      </c>
    </row>
    <row r="188" spans="1:12">
      <c r="A188" s="9">
        <v>2026</v>
      </c>
      <c r="B188" s="135" t="s">
        <v>387</v>
      </c>
      <c r="C188" s="137">
        <v>20624147</v>
      </c>
      <c r="D188" s="135" t="s">
        <v>968</v>
      </c>
      <c r="E188" s="135" t="s">
        <v>602</v>
      </c>
      <c r="F188" s="138" t="s">
        <v>575</v>
      </c>
      <c r="G188" s="139">
        <v>25000</v>
      </c>
      <c r="H188" s="127" t="s">
        <v>564</v>
      </c>
      <c r="I188" s="135" t="s">
        <v>1007</v>
      </c>
      <c r="J188" s="135"/>
      <c r="K188" s="135" t="s">
        <v>583</v>
      </c>
      <c r="L188" s="135" t="s">
        <v>52</v>
      </c>
    </row>
    <row r="189" spans="1:12">
      <c r="A189" s="35">
        <v>2026</v>
      </c>
      <c r="B189" s="135" t="s">
        <v>387</v>
      </c>
      <c r="C189" s="137">
        <v>20626045</v>
      </c>
      <c r="D189" s="135" t="s">
        <v>854</v>
      </c>
      <c r="E189" s="130" t="s">
        <v>636</v>
      </c>
      <c r="F189" s="138" t="s">
        <v>575</v>
      </c>
      <c r="G189" s="139">
        <v>795154</v>
      </c>
      <c r="H189" s="127" t="s">
        <v>564</v>
      </c>
      <c r="I189" s="135" t="s">
        <v>1008</v>
      </c>
      <c r="J189" s="135"/>
      <c r="K189" s="135" t="s">
        <v>580</v>
      </c>
      <c r="L189" s="135" t="s">
        <v>47</v>
      </c>
    </row>
    <row r="190" spans="1:12">
      <c r="A190" s="9">
        <v>2026</v>
      </c>
      <c r="B190" s="136" t="s">
        <v>652</v>
      </c>
      <c r="C190" s="137">
        <v>708799309</v>
      </c>
      <c r="D190" s="135" t="s">
        <v>953</v>
      </c>
      <c r="E190" s="135" t="s">
        <v>602</v>
      </c>
      <c r="F190" s="138" t="s">
        <v>575</v>
      </c>
      <c r="G190" s="139">
        <v>203517</v>
      </c>
      <c r="H190" s="127" t="s">
        <v>564</v>
      </c>
      <c r="I190" s="135" t="s">
        <v>1009</v>
      </c>
      <c r="J190" s="135"/>
      <c r="K190" s="135" t="s">
        <v>229</v>
      </c>
      <c r="L190" s="135" t="s">
        <v>20</v>
      </c>
    </row>
    <row r="191" spans="1:12">
      <c r="A191" s="9">
        <v>2026</v>
      </c>
      <c r="B191" s="135" t="s">
        <v>1010</v>
      </c>
      <c r="C191" s="137">
        <v>1798</v>
      </c>
      <c r="D191" s="135" t="s">
        <v>814</v>
      </c>
      <c r="E191" s="135" t="s">
        <v>602</v>
      </c>
      <c r="F191" s="138" t="s">
        <v>575</v>
      </c>
      <c r="G191" s="139">
        <v>428400</v>
      </c>
      <c r="H191" s="127" t="s">
        <v>564</v>
      </c>
      <c r="I191" s="135" t="s">
        <v>1011</v>
      </c>
      <c r="J191" s="135"/>
      <c r="K191" s="135" t="s">
        <v>583</v>
      </c>
      <c r="L191" s="135" t="s">
        <v>62</v>
      </c>
    </row>
    <row r="192" spans="1:12">
      <c r="A192" s="9">
        <v>2026</v>
      </c>
      <c r="B192" s="135" t="s">
        <v>605</v>
      </c>
      <c r="C192" s="138">
        <v>605</v>
      </c>
      <c r="D192" s="135" t="s">
        <v>914</v>
      </c>
      <c r="E192" s="135" t="s">
        <v>602</v>
      </c>
      <c r="F192" s="138" t="s">
        <v>575</v>
      </c>
      <c r="G192" s="139">
        <v>1856400</v>
      </c>
      <c r="H192" s="127" t="s">
        <v>564</v>
      </c>
      <c r="I192" s="135" t="s">
        <v>1012</v>
      </c>
      <c r="J192" s="135"/>
      <c r="K192" s="135" t="s">
        <v>599</v>
      </c>
      <c r="L192" s="135" t="s">
        <v>13</v>
      </c>
    </row>
    <row r="193" spans="1:12">
      <c r="A193" s="9">
        <v>2026</v>
      </c>
      <c r="B193" s="135" t="s">
        <v>605</v>
      </c>
      <c r="C193" s="138">
        <v>608</v>
      </c>
      <c r="D193" s="135" t="s">
        <v>914</v>
      </c>
      <c r="E193" s="135" t="s">
        <v>602</v>
      </c>
      <c r="F193" s="138" t="s">
        <v>575</v>
      </c>
      <c r="G193" s="139">
        <v>95200</v>
      </c>
      <c r="H193" s="127" t="s">
        <v>564</v>
      </c>
      <c r="I193" s="135" t="s">
        <v>1013</v>
      </c>
      <c r="J193" s="135"/>
      <c r="K193" s="135" t="s">
        <v>1014</v>
      </c>
      <c r="L193" s="135" t="s">
        <v>33</v>
      </c>
    </row>
    <row r="194" spans="1:12">
      <c r="A194" s="9">
        <v>2026</v>
      </c>
      <c r="B194" s="135" t="s">
        <v>605</v>
      </c>
      <c r="C194" s="138">
        <v>610</v>
      </c>
      <c r="D194" s="135" t="s">
        <v>914</v>
      </c>
      <c r="E194" s="135" t="s">
        <v>602</v>
      </c>
      <c r="F194" s="138" t="s">
        <v>575</v>
      </c>
      <c r="G194" s="139">
        <v>47600</v>
      </c>
      <c r="H194" s="127" t="s">
        <v>564</v>
      </c>
      <c r="I194" s="135" t="s">
        <v>1015</v>
      </c>
      <c r="J194" s="135"/>
      <c r="K194" s="135" t="s">
        <v>583</v>
      </c>
      <c r="L194" s="135" t="s">
        <v>65</v>
      </c>
    </row>
    <row r="195" spans="1:12">
      <c r="A195" s="9">
        <v>2026</v>
      </c>
      <c r="B195" s="135" t="s">
        <v>605</v>
      </c>
      <c r="C195" s="138">
        <v>611</v>
      </c>
      <c r="D195" s="135" t="s">
        <v>914</v>
      </c>
      <c r="E195" s="135" t="s">
        <v>602</v>
      </c>
      <c r="F195" s="138" t="s">
        <v>575</v>
      </c>
      <c r="G195" s="139">
        <v>47600</v>
      </c>
      <c r="H195" s="127" t="s">
        <v>564</v>
      </c>
      <c r="I195" s="135" t="s">
        <v>1015</v>
      </c>
      <c r="J195" s="135"/>
      <c r="K195" s="135" t="s">
        <v>583</v>
      </c>
      <c r="L195" s="135" t="s">
        <v>62</v>
      </c>
    </row>
    <row r="196" spans="1:12">
      <c r="A196" s="9">
        <v>2026</v>
      </c>
      <c r="B196" s="135" t="s">
        <v>605</v>
      </c>
      <c r="C196" s="138">
        <v>612</v>
      </c>
      <c r="D196" s="135" t="s">
        <v>914</v>
      </c>
      <c r="E196" s="135" t="s">
        <v>602</v>
      </c>
      <c r="F196" s="138" t="s">
        <v>575</v>
      </c>
      <c r="G196" s="139">
        <v>47600</v>
      </c>
      <c r="H196" s="127" t="s">
        <v>564</v>
      </c>
      <c r="I196" s="135" t="s">
        <v>1015</v>
      </c>
      <c r="J196" s="135"/>
      <c r="K196" s="135" t="s">
        <v>580</v>
      </c>
      <c r="L196" s="135" t="s">
        <v>47</v>
      </c>
    </row>
    <row r="197" spans="1:12">
      <c r="A197" s="9">
        <v>2026</v>
      </c>
      <c r="B197" s="135" t="s">
        <v>605</v>
      </c>
      <c r="C197" s="138">
        <v>613</v>
      </c>
      <c r="D197" s="135" t="s">
        <v>914</v>
      </c>
      <c r="E197" s="135" t="s">
        <v>602</v>
      </c>
      <c r="F197" s="138" t="s">
        <v>575</v>
      </c>
      <c r="G197" s="139">
        <v>47600</v>
      </c>
      <c r="H197" s="127" t="s">
        <v>564</v>
      </c>
      <c r="I197" s="135" t="s">
        <v>1015</v>
      </c>
      <c r="J197" s="135"/>
      <c r="K197" s="135" t="s">
        <v>599</v>
      </c>
      <c r="L197" s="135" t="s">
        <v>11</v>
      </c>
    </row>
    <row r="198" spans="1:12">
      <c r="A198" s="9">
        <v>2026</v>
      </c>
      <c r="B198" s="135" t="s">
        <v>605</v>
      </c>
      <c r="C198" s="138">
        <v>614</v>
      </c>
      <c r="D198" s="135" t="s">
        <v>1016</v>
      </c>
      <c r="E198" s="135" t="s">
        <v>602</v>
      </c>
      <c r="F198" s="138" t="s">
        <v>575</v>
      </c>
      <c r="G198" s="139">
        <v>249900</v>
      </c>
      <c r="H198" s="127" t="s">
        <v>564</v>
      </c>
      <c r="I198" s="135" t="s">
        <v>1017</v>
      </c>
      <c r="J198" s="135"/>
      <c r="K198" s="135" t="s">
        <v>580</v>
      </c>
      <c r="L198" s="135" t="s">
        <v>47</v>
      </c>
    </row>
    <row r="199" spans="1:12">
      <c r="A199" s="9">
        <v>2026</v>
      </c>
      <c r="B199" s="135" t="s">
        <v>605</v>
      </c>
      <c r="C199" s="138">
        <v>617</v>
      </c>
      <c r="D199" s="135" t="s">
        <v>914</v>
      </c>
      <c r="E199" s="135" t="s">
        <v>602</v>
      </c>
      <c r="F199" s="138" t="s">
        <v>575</v>
      </c>
      <c r="G199" s="139">
        <v>297500</v>
      </c>
      <c r="H199" s="127" t="s">
        <v>564</v>
      </c>
      <c r="I199" s="135" t="s">
        <v>1018</v>
      </c>
      <c r="J199" s="135"/>
      <c r="K199" s="135" t="s">
        <v>1003</v>
      </c>
      <c r="L199" s="135" t="s">
        <v>20</v>
      </c>
    </row>
    <row r="200" spans="1:12">
      <c r="A200" s="9">
        <v>2026</v>
      </c>
      <c r="B200" s="135" t="s">
        <v>605</v>
      </c>
      <c r="C200" s="138">
        <v>620</v>
      </c>
      <c r="D200" s="135" t="s">
        <v>914</v>
      </c>
      <c r="E200" s="135" t="s">
        <v>602</v>
      </c>
      <c r="F200" s="138" t="s">
        <v>575</v>
      </c>
      <c r="G200" s="139">
        <v>761600</v>
      </c>
      <c r="H200" s="127" t="s">
        <v>564</v>
      </c>
      <c r="I200" s="135" t="s">
        <v>1019</v>
      </c>
      <c r="J200" s="135"/>
      <c r="K200" s="135" t="s">
        <v>599</v>
      </c>
      <c r="L200" s="135" t="s">
        <v>11</v>
      </c>
    </row>
    <row r="201" spans="1:12">
      <c r="A201" s="9">
        <v>2026</v>
      </c>
      <c r="B201" s="135" t="s">
        <v>605</v>
      </c>
      <c r="C201" s="138">
        <v>623</v>
      </c>
      <c r="D201" s="135" t="s">
        <v>914</v>
      </c>
      <c r="E201" s="135" t="s">
        <v>602</v>
      </c>
      <c r="F201" s="138" t="s">
        <v>575</v>
      </c>
      <c r="G201" s="139">
        <v>718760</v>
      </c>
      <c r="H201" s="127" t="s">
        <v>564</v>
      </c>
      <c r="I201" s="135" t="s">
        <v>1020</v>
      </c>
      <c r="J201" s="135"/>
      <c r="K201" s="135" t="s">
        <v>647</v>
      </c>
      <c r="L201" s="135" t="s">
        <v>40</v>
      </c>
    </row>
    <row r="202" spans="1:12">
      <c r="A202" s="9">
        <v>2026</v>
      </c>
      <c r="B202" s="135" t="s">
        <v>605</v>
      </c>
      <c r="C202" s="138">
        <v>625</v>
      </c>
      <c r="D202" s="135" t="s">
        <v>914</v>
      </c>
      <c r="E202" s="135" t="s">
        <v>602</v>
      </c>
      <c r="F202" s="138" t="s">
        <v>575</v>
      </c>
      <c r="G202" s="139">
        <v>374850</v>
      </c>
      <c r="H202" s="127" t="s">
        <v>564</v>
      </c>
      <c r="I202" s="135" t="s">
        <v>1021</v>
      </c>
      <c r="J202" s="135"/>
      <c r="K202" s="135" t="s">
        <v>229</v>
      </c>
      <c r="L202" s="135" t="s">
        <v>20</v>
      </c>
    </row>
    <row r="203" spans="1:12">
      <c r="A203" s="9">
        <v>2026</v>
      </c>
      <c r="B203" s="135" t="s">
        <v>605</v>
      </c>
      <c r="C203" s="138">
        <v>627</v>
      </c>
      <c r="D203" s="135" t="s">
        <v>914</v>
      </c>
      <c r="E203" s="135" t="s">
        <v>602</v>
      </c>
      <c r="F203" s="138" t="s">
        <v>575</v>
      </c>
      <c r="G203" s="139">
        <v>414120</v>
      </c>
      <c r="H203" s="127" t="s">
        <v>564</v>
      </c>
      <c r="I203" s="135" t="s">
        <v>1022</v>
      </c>
      <c r="J203" s="135"/>
      <c r="K203" s="135" t="s">
        <v>1003</v>
      </c>
      <c r="L203" s="135" t="s">
        <v>18</v>
      </c>
    </row>
    <row r="204" spans="1:12">
      <c r="A204" s="9">
        <v>2026</v>
      </c>
      <c r="B204" s="135" t="s">
        <v>605</v>
      </c>
      <c r="C204" s="138">
        <v>629</v>
      </c>
      <c r="D204" s="135" t="s">
        <v>914</v>
      </c>
      <c r="E204" s="135" t="s">
        <v>602</v>
      </c>
      <c r="F204" s="138" t="s">
        <v>575</v>
      </c>
      <c r="G204" s="139">
        <v>178500</v>
      </c>
      <c r="H204" s="127" t="s">
        <v>564</v>
      </c>
      <c r="I204" s="135" t="s">
        <v>1023</v>
      </c>
      <c r="J204" s="135"/>
      <c r="K204" s="135" t="s">
        <v>647</v>
      </c>
      <c r="L204" s="135" t="s">
        <v>39</v>
      </c>
    </row>
    <row r="205" spans="1:12">
      <c r="A205" s="9">
        <v>2026</v>
      </c>
      <c r="B205" s="135" t="s">
        <v>419</v>
      </c>
      <c r="C205" s="138" t="s">
        <v>946</v>
      </c>
      <c r="D205" s="135" t="s">
        <v>667</v>
      </c>
      <c r="E205" s="135" t="s">
        <v>1024</v>
      </c>
      <c r="F205" s="138">
        <v>101</v>
      </c>
      <c r="G205" s="139">
        <v>202300</v>
      </c>
      <c r="H205" s="127" t="s">
        <v>564</v>
      </c>
      <c r="I205" s="135" t="s">
        <v>1025</v>
      </c>
      <c r="J205" s="135"/>
      <c r="K205" s="135" t="s">
        <v>599</v>
      </c>
      <c r="L205" s="135" t="s">
        <v>13</v>
      </c>
    </row>
    <row r="206" spans="1:12">
      <c r="A206" s="9">
        <v>2026</v>
      </c>
      <c r="B206" s="135" t="s">
        <v>387</v>
      </c>
      <c r="C206" s="137">
        <v>20637363</v>
      </c>
      <c r="D206" s="135" t="s">
        <v>854</v>
      </c>
      <c r="E206" s="130" t="s">
        <v>1026</v>
      </c>
      <c r="F206" s="138" t="s">
        <v>575</v>
      </c>
      <c r="G206" s="139">
        <v>2169876</v>
      </c>
      <c r="H206" s="127" t="s">
        <v>564</v>
      </c>
      <c r="I206" s="135" t="s">
        <v>1027</v>
      </c>
      <c r="J206" s="135"/>
      <c r="K206" s="135" t="s">
        <v>1003</v>
      </c>
      <c r="L206" s="135" t="s">
        <v>18</v>
      </c>
    </row>
    <row r="207" spans="1:12">
      <c r="A207" s="9">
        <v>2026</v>
      </c>
      <c r="B207" s="135" t="s">
        <v>1028</v>
      </c>
      <c r="C207" s="137" t="s">
        <v>1029</v>
      </c>
      <c r="D207" s="135" t="s">
        <v>919</v>
      </c>
      <c r="E207" s="135" t="s">
        <v>602</v>
      </c>
      <c r="F207" s="138" t="s">
        <v>575</v>
      </c>
      <c r="G207" s="139">
        <v>111529</v>
      </c>
      <c r="H207" s="127" t="s">
        <v>564</v>
      </c>
      <c r="I207" s="135" t="s">
        <v>1030</v>
      </c>
      <c r="J207" s="135"/>
      <c r="K207" s="135" t="s">
        <v>227</v>
      </c>
      <c r="L207" s="135" t="s">
        <v>50</v>
      </c>
    </row>
    <row r="208" spans="1:12">
      <c r="A208" s="9">
        <v>2026</v>
      </c>
      <c r="B208" s="135" t="s">
        <v>1031</v>
      </c>
      <c r="C208" s="137" t="s">
        <v>1032</v>
      </c>
      <c r="D208" s="135" t="s">
        <v>562</v>
      </c>
      <c r="E208" s="130" t="s">
        <v>747</v>
      </c>
      <c r="F208" s="138" t="s">
        <v>575</v>
      </c>
      <c r="G208" s="139">
        <v>1188777</v>
      </c>
      <c r="H208" s="127" t="s">
        <v>564</v>
      </c>
      <c r="I208" s="135" t="s">
        <v>1033</v>
      </c>
      <c r="J208" s="135"/>
      <c r="K208" s="135" t="s">
        <v>573</v>
      </c>
      <c r="L208" s="135" t="s">
        <v>33</v>
      </c>
    </row>
    <row r="209" spans="1:12">
      <c r="A209" s="9">
        <v>2026</v>
      </c>
      <c r="B209" s="135" t="s">
        <v>1031</v>
      </c>
      <c r="C209" s="137" t="s">
        <v>1034</v>
      </c>
      <c r="D209" s="135" t="s">
        <v>562</v>
      </c>
      <c r="E209" s="130" t="s">
        <v>1035</v>
      </c>
      <c r="F209" s="138" t="s">
        <v>575</v>
      </c>
      <c r="G209" s="139">
        <v>1169632</v>
      </c>
      <c r="H209" s="127" t="s">
        <v>564</v>
      </c>
      <c r="I209" s="135" t="s">
        <v>1033</v>
      </c>
      <c r="J209" s="135"/>
      <c r="K209" s="135" t="s">
        <v>573</v>
      </c>
      <c r="L209" s="135" t="s">
        <v>34</v>
      </c>
    </row>
    <row r="210" spans="1:12">
      <c r="A210" s="9">
        <v>2026</v>
      </c>
      <c r="B210" s="135" t="s">
        <v>393</v>
      </c>
      <c r="C210" s="137">
        <v>955</v>
      </c>
      <c r="D210" s="135" t="s">
        <v>914</v>
      </c>
      <c r="E210" s="130" t="s">
        <v>733</v>
      </c>
      <c r="F210" s="137">
        <v>726</v>
      </c>
      <c r="G210" s="139">
        <v>2659495</v>
      </c>
      <c r="H210" s="127" t="s">
        <v>564</v>
      </c>
      <c r="I210" s="135" t="s">
        <v>1036</v>
      </c>
      <c r="J210" s="135"/>
      <c r="K210" s="135" t="s">
        <v>227</v>
      </c>
      <c r="L210" s="135" t="s">
        <v>49</v>
      </c>
    </row>
    <row r="211" spans="1:12">
      <c r="A211" s="9">
        <v>2026</v>
      </c>
      <c r="B211" s="135" t="s">
        <v>753</v>
      </c>
      <c r="C211" s="137">
        <v>1764</v>
      </c>
      <c r="D211" s="135" t="s">
        <v>754</v>
      </c>
      <c r="E211" s="135" t="s">
        <v>602</v>
      </c>
      <c r="F211" s="138" t="s">
        <v>575</v>
      </c>
      <c r="G211" s="139">
        <v>714000</v>
      </c>
      <c r="H211" s="127" t="s">
        <v>564</v>
      </c>
      <c r="I211" s="135" t="s">
        <v>1037</v>
      </c>
      <c r="J211" s="135"/>
      <c r="K211" s="135" t="s">
        <v>583</v>
      </c>
      <c r="L211" s="135" t="s">
        <v>52</v>
      </c>
    </row>
    <row r="212" spans="1:12">
      <c r="A212" s="9">
        <v>2026</v>
      </c>
      <c r="B212" s="135" t="s">
        <v>677</v>
      </c>
      <c r="C212" s="137">
        <v>23456070</v>
      </c>
      <c r="D212" s="135" t="s">
        <v>911</v>
      </c>
      <c r="E212" s="130" t="s">
        <v>744</v>
      </c>
      <c r="F212" s="138" t="s">
        <v>575</v>
      </c>
      <c r="G212" s="139">
        <v>2738189</v>
      </c>
      <c r="H212" s="127" t="s">
        <v>564</v>
      </c>
      <c r="I212" s="135" t="s">
        <v>1038</v>
      </c>
      <c r="J212" s="135"/>
      <c r="K212" s="135" t="s">
        <v>580</v>
      </c>
      <c r="L212" s="135" t="s">
        <v>47</v>
      </c>
    </row>
    <row r="213" spans="1:12">
      <c r="A213" s="9">
        <v>2026</v>
      </c>
      <c r="B213" s="135" t="s">
        <v>387</v>
      </c>
      <c r="C213" s="137">
        <v>20633298</v>
      </c>
      <c r="D213" s="135" t="s">
        <v>854</v>
      </c>
      <c r="E213" s="130" t="s">
        <v>1039</v>
      </c>
      <c r="F213" s="137">
        <v>620861</v>
      </c>
      <c r="G213" s="139">
        <v>1614797</v>
      </c>
      <c r="H213" s="127" t="s">
        <v>564</v>
      </c>
      <c r="I213" s="135" t="s">
        <v>1040</v>
      </c>
      <c r="J213" s="135"/>
      <c r="K213" s="135" t="s">
        <v>158</v>
      </c>
      <c r="L213" s="135" t="s">
        <v>13</v>
      </c>
    </row>
    <row r="214" spans="1:12">
      <c r="A214" s="9">
        <v>2026</v>
      </c>
      <c r="B214" s="135" t="s">
        <v>605</v>
      </c>
      <c r="C214" s="137">
        <v>631</v>
      </c>
      <c r="D214" s="135" t="s">
        <v>914</v>
      </c>
      <c r="E214" s="130" t="s">
        <v>1041</v>
      </c>
      <c r="F214" s="137">
        <v>1499</v>
      </c>
      <c r="G214" s="139">
        <v>2023000</v>
      </c>
      <c r="H214" s="127" t="s">
        <v>564</v>
      </c>
      <c r="I214" s="135" t="s">
        <v>1042</v>
      </c>
      <c r="J214" s="135"/>
      <c r="K214" s="135" t="s">
        <v>567</v>
      </c>
      <c r="L214" s="135" t="s">
        <v>24</v>
      </c>
    </row>
    <row r="215" spans="1:12">
      <c r="A215" s="9">
        <v>2026</v>
      </c>
      <c r="B215" s="135" t="s">
        <v>605</v>
      </c>
      <c r="C215" s="137">
        <v>633</v>
      </c>
      <c r="D215" s="135" t="s">
        <v>914</v>
      </c>
      <c r="E215" s="130" t="s">
        <v>1043</v>
      </c>
      <c r="F215" s="137">
        <v>1498</v>
      </c>
      <c r="G215" s="139">
        <v>464100</v>
      </c>
      <c r="H215" s="127" t="s">
        <v>564</v>
      </c>
      <c r="I215" s="135" t="s">
        <v>1044</v>
      </c>
      <c r="J215" s="135"/>
      <c r="K215" s="135" t="s">
        <v>583</v>
      </c>
      <c r="L215" s="135" t="s">
        <v>57</v>
      </c>
    </row>
    <row r="216" spans="1:12">
      <c r="A216" s="9">
        <v>2026</v>
      </c>
      <c r="B216" s="135" t="s">
        <v>605</v>
      </c>
      <c r="C216" s="137">
        <v>636</v>
      </c>
      <c r="D216" s="135" t="s">
        <v>914</v>
      </c>
      <c r="E216" s="130" t="s">
        <v>1043</v>
      </c>
      <c r="F216" s="137">
        <v>1498</v>
      </c>
      <c r="G216" s="139">
        <v>214200</v>
      </c>
      <c r="H216" s="127" t="s">
        <v>564</v>
      </c>
      <c r="I216" s="135" t="s">
        <v>1045</v>
      </c>
      <c r="J216" s="135"/>
      <c r="K216" s="135" t="s">
        <v>158</v>
      </c>
      <c r="L216" s="135" t="s">
        <v>11</v>
      </c>
    </row>
    <row r="217" spans="1:12">
      <c r="A217" s="9">
        <v>2026</v>
      </c>
      <c r="B217" s="135" t="s">
        <v>605</v>
      </c>
      <c r="C217" s="137">
        <v>638</v>
      </c>
      <c r="D217" s="135" t="s">
        <v>1016</v>
      </c>
      <c r="E217" s="130" t="s">
        <v>1043</v>
      </c>
      <c r="F217" s="137">
        <v>1498</v>
      </c>
      <c r="G217" s="139">
        <v>119000</v>
      </c>
      <c r="H217" s="127" t="s">
        <v>564</v>
      </c>
      <c r="I217" s="135" t="s">
        <v>1046</v>
      </c>
      <c r="J217" s="135"/>
      <c r="K217" s="135" t="s">
        <v>1047</v>
      </c>
      <c r="L217" s="135" t="s">
        <v>65</v>
      </c>
    </row>
    <row r="218" spans="1:12">
      <c r="A218" s="9">
        <v>2026</v>
      </c>
      <c r="B218" s="135" t="s">
        <v>605</v>
      </c>
      <c r="C218" s="137">
        <v>639</v>
      </c>
      <c r="D218" s="135" t="s">
        <v>914</v>
      </c>
      <c r="E218" s="130" t="s">
        <v>1048</v>
      </c>
      <c r="F218" s="137">
        <v>1500</v>
      </c>
      <c r="G218" s="139">
        <v>452200</v>
      </c>
      <c r="H218" s="127" t="s">
        <v>564</v>
      </c>
      <c r="I218" s="135" t="s">
        <v>1049</v>
      </c>
      <c r="J218" s="135"/>
      <c r="K218" s="135" t="s">
        <v>229</v>
      </c>
      <c r="L218" s="135" t="s">
        <v>20</v>
      </c>
    </row>
    <row r="219" spans="1:12">
      <c r="A219" s="9">
        <v>2026</v>
      </c>
      <c r="B219" s="135" t="s">
        <v>605</v>
      </c>
      <c r="C219" s="137">
        <v>640</v>
      </c>
      <c r="D219" s="135" t="s">
        <v>914</v>
      </c>
      <c r="E219" s="130" t="s">
        <v>1043</v>
      </c>
      <c r="F219" s="137">
        <v>1498</v>
      </c>
      <c r="G219" s="139">
        <v>71400</v>
      </c>
      <c r="H219" s="127" t="s">
        <v>564</v>
      </c>
      <c r="I219" s="135" t="s">
        <v>1050</v>
      </c>
      <c r="J219" s="135"/>
      <c r="K219" s="135" t="s">
        <v>583</v>
      </c>
      <c r="L219" s="135" t="s">
        <v>62</v>
      </c>
    </row>
    <row r="220" spans="1:12">
      <c r="A220" s="9">
        <v>2026</v>
      </c>
      <c r="B220" s="135" t="s">
        <v>605</v>
      </c>
      <c r="C220" s="137">
        <v>641</v>
      </c>
      <c r="D220" s="135" t="s">
        <v>914</v>
      </c>
      <c r="E220" s="130" t="s">
        <v>1048</v>
      </c>
      <c r="F220" s="137">
        <v>1500</v>
      </c>
      <c r="G220" s="139">
        <v>71400</v>
      </c>
      <c r="H220" s="127" t="s">
        <v>564</v>
      </c>
      <c r="I220" s="135" t="s">
        <v>1051</v>
      </c>
      <c r="J220" s="135"/>
      <c r="K220" s="135" t="s">
        <v>567</v>
      </c>
      <c r="L220" s="135" t="s">
        <v>23</v>
      </c>
    </row>
    <row r="221" spans="1:12">
      <c r="A221" s="9">
        <v>2026</v>
      </c>
      <c r="B221" s="135" t="s">
        <v>605</v>
      </c>
      <c r="C221" s="137">
        <v>644</v>
      </c>
      <c r="D221" s="135" t="s">
        <v>914</v>
      </c>
      <c r="E221" s="130" t="s">
        <v>1048</v>
      </c>
      <c r="F221" s="137">
        <v>1500</v>
      </c>
      <c r="G221" s="139">
        <v>279650</v>
      </c>
      <c r="H221" s="127" t="s">
        <v>564</v>
      </c>
      <c r="I221" s="135" t="s">
        <v>1052</v>
      </c>
      <c r="J221" s="135"/>
      <c r="K221" s="135" t="s">
        <v>599</v>
      </c>
      <c r="L221" s="135" t="s">
        <v>13</v>
      </c>
    </row>
    <row r="222" spans="1:12">
      <c r="A222" s="9">
        <v>2026</v>
      </c>
      <c r="B222" s="136" t="s">
        <v>719</v>
      </c>
      <c r="C222" s="137">
        <v>80342</v>
      </c>
      <c r="D222" s="135" t="s">
        <v>819</v>
      </c>
      <c r="E222" s="130" t="s">
        <v>1053</v>
      </c>
      <c r="F222" s="138" t="s">
        <v>575</v>
      </c>
      <c r="G222" s="139">
        <v>440300</v>
      </c>
      <c r="H222" s="127" t="s">
        <v>564</v>
      </c>
      <c r="I222" s="135" t="s">
        <v>1054</v>
      </c>
      <c r="J222" s="135"/>
      <c r="K222" s="135" t="s">
        <v>158</v>
      </c>
      <c r="L222" s="135" t="s">
        <v>11</v>
      </c>
    </row>
    <row r="223" spans="1:12">
      <c r="A223" s="9">
        <v>2026</v>
      </c>
      <c r="B223" s="160" t="s">
        <v>719</v>
      </c>
      <c r="C223" s="161">
        <v>80340</v>
      </c>
      <c r="D223" s="79" t="s">
        <v>819</v>
      </c>
      <c r="E223" s="162" t="s">
        <v>1055</v>
      </c>
      <c r="F223" s="163" t="s">
        <v>575</v>
      </c>
      <c r="G223" s="164">
        <v>366520</v>
      </c>
      <c r="H223" s="127" t="s">
        <v>564</v>
      </c>
      <c r="I223" s="79" t="s">
        <v>1054</v>
      </c>
      <c r="J223" s="79"/>
      <c r="K223" s="79" t="s">
        <v>201</v>
      </c>
      <c r="L223" s="79" t="s">
        <v>44</v>
      </c>
    </row>
    <row r="224" spans="1:12">
      <c r="A224" s="9">
        <v>2026</v>
      </c>
      <c r="B224" s="80" t="s">
        <v>719</v>
      </c>
      <c r="C224" s="83">
        <v>80338</v>
      </c>
      <c r="D224" s="9" t="s">
        <v>819</v>
      </c>
      <c r="E224" s="76" t="s">
        <v>1056</v>
      </c>
      <c r="F224" s="14" t="s">
        <v>575</v>
      </c>
      <c r="G224" s="87">
        <v>85179</v>
      </c>
      <c r="H224" s="127" t="s">
        <v>564</v>
      </c>
      <c r="I224" s="35" t="s">
        <v>1057</v>
      </c>
      <c r="J224" s="35"/>
      <c r="K224" s="35" t="s">
        <v>227</v>
      </c>
      <c r="L224" s="35" t="s">
        <v>49</v>
      </c>
    </row>
    <row r="225" spans="1:12">
      <c r="A225" s="9">
        <v>2026</v>
      </c>
      <c r="B225" s="9" t="s">
        <v>393</v>
      </c>
      <c r="C225" s="83">
        <v>958</v>
      </c>
      <c r="D225" s="9" t="s">
        <v>914</v>
      </c>
      <c r="E225" s="76" t="s">
        <v>1058</v>
      </c>
      <c r="F225" s="81" t="s">
        <v>575</v>
      </c>
      <c r="G225" s="87">
        <v>5029298</v>
      </c>
      <c r="H225" s="127" t="s">
        <v>564</v>
      </c>
      <c r="I225" s="35" t="s">
        <v>1059</v>
      </c>
      <c r="J225" s="35"/>
      <c r="K225" s="35" t="s">
        <v>158</v>
      </c>
      <c r="L225" s="35" t="s">
        <v>11</v>
      </c>
    </row>
    <row r="226" spans="1:12">
      <c r="A226" s="9">
        <v>2026</v>
      </c>
      <c r="B226" s="9" t="s">
        <v>393</v>
      </c>
      <c r="C226" s="83">
        <v>957</v>
      </c>
      <c r="D226" s="9" t="s">
        <v>914</v>
      </c>
      <c r="E226" s="76" t="s">
        <v>1060</v>
      </c>
      <c r="F226" s="14" t="s">
        <v>575</v>
      </c>
      <c r="G226" s="87">
        <v>3724700</v>
      </c>
      <c r="H226" s="127" t="s">
        <v>564</v>
      </c>
      <c r="I226" s="35" t="s">
        <v>1061</v>
      </c>
      <c r="J226" s="35"/>
      <c r="K226" s="35" t="s">
        <v>227</v>
      </c>
      <c r="L226" s="35" t="s">
        <v>49</v>
      </c>
    </row>
    <row r="227" spans="1:12">
      <c r="A227" s="9">
        <v>2026</v>
      </c>
      <c r="B227" s="35" t="s">
        <v>1062</v>
      </c>
      <c r="C227" s="83" t="s">
        <v>1063</v>
      </c>
      <c r="D227" s="9" t="s">
        <v>914</v>
      </c>
      <c r="E227" s="9" t="s">
        <v>602</v>
      </c>
      <c r="F227" s="81" t="s">
        <v>575</v>
      </c>
      <c r="G227" s="87">
        <v>1483335</v>
      </c>
      <c r="H227" s="127" t="s">
        <v>564</v>
      </c>
      <c r="I227" s="35" t="s">
        <v>1064</v>
      </c>
      <c r="J227" s="35"/>
      <c r="K227" s="35" t="s">
        <v>201</v>
      </c>
      <c r="L227" s="35" t="s">
        <v>43</v>
      </c>
    </row>
    <row r="228" spans="1:12">
      <c r="A228" s="9">
        <v>2026</v>
      </c>
      <c r="B228" s="9" t="s">
        <v>393</v>
      </c>
      <c r="C228" s="83">
        <v>964</v>
      </c>
      <c r="D228" s="9" t="s">
        <v>914</v>
      </c>
      <c r="E228" s="76" t="s">
        <v>1065</v>
      </c>
      <c r="F228" s="14" t="s">
        <v>1066</v>
      </c>
      <c r="G228" s="87">
        <v>3394915</v>
      </c>
      <c r="H228" s="127" t="s">
        <v>564</v>
      </c>
      <c r="I228" s="35" t="s">
        <v>1067</v>
      </c>
      <c r="J228" s="35"/>
      <c r="K228" s="35" t="s">
        <v>599</v>
      </c>
      <c r="L228" s="35" t="s">
        <v>11</v>
      </c>
    </row>
    <row r="229" spans="1:12">
      <c r="A229" s="9">
        <v>2026</v>
      </c>
      <c r="B229" s="35" t="s">
        <v>313</v>
      </c>
      <c r="C229" s="83">
        <v>1271154</v>
      </c>
      <c r="D229" s="9" t="s">
        <v>854</v>
      </c>
      <c r="E229" s="76" t="s">
        <v>1068</v>
      </c>
      <c r="F229" s="81" t="s">
        <v>575</v>
      </c>
      <c r="G229" s="87">
        <v>993733</v>
      </c>
      <c r="H229" s="127" t="s">
        <v>564</v>
      </c>
      <c r="I229" s="35" t="s">
        <v>1069</v>
      </c>
      <c r="J229" s="35"/>
      <c r="K229" s="35" t="s">
        <v>567</v>
      </c>
      <c r="L229" s="35" t="s">
        <v>23</v>
      </c>
    </row>
    <row r="230" spans="1:12">
      <c r="A230" s="9">
        <v>2026</v>
      </c>
      <c r="B230" s="35" t="s">
        <v>1070</v>
      </c>
      <c r="C230" s="83">
        <v>708977801</v>
      </c>
      <c r="D230" s="9" t="s">
        <v>919</v>
      </c>
      <c r="E230" s="76" t="s">
        <v>1071</v>
      </c>
      <c r="F230" s="14" t="s">
        <v>575</v>
      </c>
      <c r="G230" s="87">
        <v>233377</v>
      </c>
      <c r="H230" s="127" t="s">
        <v>564</v>
      </c>
      <c r="I230" s="35" t="s">
        <v>1072</v>
      </c>
      <c r="J230" s="35"/>
      <c r="K230" s="35" t="s">
        <v>1073</v>
      </c>
      <c r="L230" s="35" t="s">
        <v>38</v>
      </c>
    </row>
    <row r="231" spans="1:12">
      <c r="A231" s="9">
        <v>2026</v>
      </c>
      <c r="B231" s="35" t="s">
        <v>719</v>
      </c>
      <c r="C231" s="83">
        <v>81256</v>
      </c>
      <c r="D231" s="9" t="s">
        <v>819</v>
      </c>
      <c r="E231" s="76" t="s">
        <v>1074</v>
      </c>
      <c r="F231" s="81">
        <v>1438467</v>
      </c>
      <c r="G231" s="87">
        <v>566240</v>
      </c>
      <c r="H231" s="127" t="s">
        <v>564</v>
      </c>
      <c r="I231" s="35" t="s">
        <v>1075</v>
      </c>
      <c r="J231" s="35"/>
      <c r="K231" s="35" t="s">
        <v>583</v>
      </c>
      <c r="L231" s="35" t="s">
        <v>55</v>
      </c>
    </row>
    <row r="232" spans="1:12">
      <c r="A232" s="9">
        <v>2026</v>
      </c>
      <c r="B232" s="9" t="s">
        <v>1076</v>
      </c>
      <c r="C232" s="81">
        <v>7073</v>
      </c>
      <c r="D232" s="9" t="s">
        <v>914</v>
      </c>
      <c r="E232" s="9" t="s">
        <v>602</v>
      </c>
      <c r="F232" s="81">
        <v>5580</v>
      </c>
      <c r="G232" s="87">
        <v>392700</v>
      </c>
      <c r="H232" s="127" t="s">
        <v>564</v>
      </c>
      <c r="I232" s="35" t="s">
        <v>1077</v>
      </c>
      <c r="J232" s="35"/>
      <c r="K232" s="35" t="s">
        <v>567</v>
      </c>
      <c r="L232" s="35" t="s">
        <v>24</v>
      </c>
    </row>
    <row r="233" spans="1:12" ht="16.5">
      <c r="A233" s="9">
        <v>2026</v>
      </c>
      <c r="B233" s="201" t="s">
        <v>1078</v>
      </c>
      <c r="C233" s="81">
        <v>10001</v>
      </c>
      <c r="D233" s="9" t="s">
        <v>911</v>
      </c>
      <c r="E233" s="9" t="s">
        <v>602</v>
      </c>
      <c r="F233" s="14" t="s">
        <v>575</v>
      </c>
      <c r="G233" s="87">
        <v>2902172</v>
      </c>
      <c r="H233" s="127" t="s">
        <v>564</v>
      </c>
      <c r="I233" s="35" t="s">
        <v>1079</v>
      </c>
      <c r="J233" s="35"/>
      <c r="K233" s="35" t="s">
        <v>158</v>
      </c>
      <c r="L233" s="35" t="s">
        <v>13</v>
      </c>
    </row>
    <row r="234" spans="1:12">
      <c r="A234" s="9">
        <v>2026</v>
      </c>
      <c r="B234" s="49" t="s">
        <v>1080</v>
      </c>
      <c r="C234" s="83">
        <v>107640</v>
      </c>
      <c r="D234" s="135" t="s">
        <v>980</v>
      </c>
      <c r="E234" s="76" t="s">
        <v>803</v>
      </c>
      <c r="F234" s="81" t="s">
        <v>575</v>
      </c>
      <c r="G234" s="87">
        <v>139456</v>
      </c>
      <c r="H234" s="127" t="s">
        <v>564</v>
      </c>
      <c r="I234" s="35" t="s">
        <v>1081</v>
      </c>
      <c r="J234" s="35"/>
      <c r="K234" s="35" t="s">
        <v>567</v>
      </c>
      <c r="L234" s="35" t="s">
        <v>23</v>
      </c>
    </row>
    <row r="235" spans="1:12">
      <c r="A235" s="9">
        <v>2026</v>
      </c>
      <c r="B235" s="35" t="s">
        <v>1082</v>
      </c>
      <c r="C235" s="83">
        <v>107639</v>
      </c>
      <c r="D235" s="135" t="s">
        <v>980</v>
      </c>
      <c r="E235" s="76" t="s">
        <v>806</v>
      </c>
      <c r="F235" s="14" t="s">
        <v>575</v>
      </c>
      <c r="G235" s="87">
        <v>234537</v>
      </c>
      <c r="H235" s="127" t="s">
        <v>564</v>
      </c>
      <c r="I235" s="35" t="s">
        <v>1081</v>
      </c>
      <c r="J235" s="35"/>
      <c r="K235" s="35" t="s">
        <v>647</v>
      </c>
      <c r="L235" s="35" t="s">
        <v>40</v>
      </c>
    </row>
    <row r="236" spans="1:12">
      <c r="A236" s="209">
        <v>2026</v>
      </c>
      <c r="B236" s="207" t="s">
        <v>1080</v>
      </c>
      <c r="C236" s="212">
        <v>107637</v>
      </c>
      <c r="D236" s="209" t="s">
        <v>980</v>
      </c>
      <c r="E236" s="221" t="s">
        <v>1083</v>
      </c>
      <c r="F236" s="210" t="s">
        <v>575</v>
      </c>
      <c r="G236" s="211">
        <v>239892</v>
      </c>
      <c r="H236" s="127" t="s">
        <v>564</v>
      </c>
      <c r="I236" s="207" t="s">
        <v>1081</v>
      </c>
      <c r="J236" s="207"/>
      <c r="K236" s="207" t="s">
        <v>229</v>
      </c>
      <c r="L236" s="207" t="s">
        <v>18</v>
      </c>
    </row>
    <row r="237" spans="1:12">
      <c r="A237" s="9">
        <v>2026</v>
      </c>
      <c r="B237" s="9" t="s">
        <v>1082</v>
      </c>
      <c r="C237" s="83">
        <v>107636</v>
      </c>
      <c r="D237" s="9" t="s">
        <v>980</v>
      </c>
      <c r="E237" s="76" t="s">
        <v>1084</v>
      </c>
      <c r="F237" s="14">
        <v>163305</v>
      </c>
      <c r="G237" s="87">
        <v>251792</v>
      </c>
      <c r="H237" s="206" t="s">
        <v>1085</v>
      </c>
      <c r="I237" s="9" t="s">
        <v>1081</v>
      </c>
      <c r="J237" s="35"/>
      <c r="K237" s="35" t="s">
        <v>589</v>
      </c>
      <c r="L237" s="35" t="s">
        <v>27</v>
      </c>
    </row>
    <row r="238" spans="1:12">
      <c r="A238" s="209">
        <v>2026</v>
      </c>
      <c r="B238" s="208" t="s">
        <v>1080</v>
      </c>
      <c r="C238" s="212">
        <v>107641</v>
      </c>
      <c r="D238" s="209" t="s">
        <v>980</v>
      </c>
      <c r="E238" s="221" t="s">
        <v>1086</v>
      </c>
      <c r="F238" s="210">
        <v>163306</v>
      </c>
      <c r="G238" s="211">
        <v>71864</v>
      </c>
      <c r="H238" s="206" t="s">
        <v>1085</v>
      </c>
      <c r="I238" s="207" t="s">
        <v>1081</v>
      </c>
      <c r="J238" s="207"/>
      <c r="K238" s="207" t="s">
        <v>1087</v>
      </c>
      <c r="L238" s="207" t="s">
        <v>24</v>
      </c>
    </row>
    <row r="239" spans="1:12">
      <c r="A239" s="9">
        <v>2026</v>
      </c>
      <c r="B239" s="9" t="s">
        <v>1082</v>
      </c>
      <c r="C239" s="83">
        <v>107635</v>
      </c>
      <c r="D239" s="9" t="s">
        <v>980</v>
      </c>
      <c r="E239" s="76" t="s">
        <v>1088</v>
      </c>
      <c r="F239" s="14" t="s">
        <v>575</v>
      </c>
      <c r="G239" s="87">
        <v>174621</v>
      </c>
      <c r="H239" s="127" t="s">
        <v>564</v>
      </c>
      <c r="I239" s="9" t="s">
        <v>1081</v>
      </c>
      <c r="J239" s="35"/>
      <c r="K239" s="35" t="s">
        <v>682</v>
      </c>
      <c r="L239" s="35" t="s">
        <v>26</v>
      </c>
    </row>
    <row r="240" spans="1:12">
      <c r="A240" s="209">
        <v>2026</v>
      </c>
      <c r="B240" s="208" t="s">
        <v>1070</v>
      </c>
      <c r="C240" s="212">
        <v>708744943</v>
      </c>
      <c r="D240" s="209" t="s">
        <v>805</v>
      </c>
      <c r="E240" s="209" t="s">
        <v>602</v>
      </c>
      <c r="F240" s="210" t="s">
        <v>575</v>
      </c>
      <c r="G240" s="211">
        <v>131534</v>
      </c>
      <c r="H240" s="127" t="s">
        <v>564</v>
      </c>
      <c r="I240" s="207" t="s">
        <v>1089</v>
      </c>
      <c r="J240" s="207"/>
      <c r="K240" s="207" t="s">
        <v>583</v>
      </c>
      <c r="L240" s="207" t="s">
        <v>61</v>
      </c>
    </row>
    <row r="241" spans="1:12">
      <c r="A241" s="9">
        <v>2026</v>
      </c>
      <c r="B241" s="35" t="s">
        <v>1070</v>
      </c>
      <c r="C241" s="83">
        <v>708744943</v>
      </c>
      <c r="D241" s="9" t="s">
        <v>805</v>
      </c>
      <c r="E241" s="9" t="s">
        <v>602</v>
      </c>
      <c r="F241" s="81" t="s">
        <v>575</v>
      </c>
      <c r="G241" s="87">
        <v>322868</v>
      </c>
      <c r="H241" s="127" t="s">
        <v>564</v>
      </c>
      <c r="I241" s="35" t="s">
        <v>1090</v>
      </c>
      <c r="J241" s="35"/>
      <c r="K241" s="35" t="s">
        <v>647</v>
      </c>
      <c r="L241" s="35" t="s">
        <v>38</v>
      </c>
    </row>
    <row r="242" spans="1:12">
      <c r="A242" s="209">
        <v>2026</v>
      </c>
      <c r="B242" s="208" t="s">
        <v>1070</v>
      </c>
      <c r="C242" s="212">
        <v>709104552</v>
      </c>
      <c r="D242" s="209" t="s">
        <v>805</v>
      </c>
      <c r="E242" s="209" t="s">
        <v>1091</v>
      </c>
      <c r="F242" s="210" t="s">
        <v>575</v>
      </c>
      <c r="G242" s="211">
        <v>365167</v>
      </c>
      <c r="H242" s="127" t="s">
        <v>564</v>
      </c>
      <c r="I242" s="207" t="s">
        <v>1092</v>
      </c>
      <c r="J242" s="207"/>
      <c r="K242" s="207" t="s">
        <v>647</v>
      </c>
      <c r="L242" s="207" t="s">
        <v>39</v>
      </c>
    </row>
    <row r="243" spans="1:12">
      <c r="A243" s="35">
        <v>2026</v>
      </c>
      <c r="B243" s="35" t="s">
        <v>1093</v>
      </c>
      <c r="C243" s="83">
        <v>67</v>
      </c>
      <c r="D243" s="35" t="s">
        <v>914</v>
      </c>
      <c r="E243" s="9" t="s">
        <v>1094</v>
      </c>
      <c r="F243" s="81" t="s">
        <v>575</v>
      </c>
      <c r="G243" s="87">
        <v>577150</v>
      </c>
      <c r="H243" s="127" t="s">
        <v>564</v>
      </c>
      <c r="I243" s="35" t="s">
        <v>1095</v>
      </c>
      <c r="J243" s="35"/>
      <c r="K243" s="35" t="s">
        <v>589</v>
      </c>
      <c r="L243" s="35" t="s">
        <v>26</v>
      </c>
    </row>
    <row r="244" spans="1:12">
      <c r="A244" s="209">
        <v>2026</v>
      </c>
      <c r="B244" s="209" t="s">
        <v>605</v>
      </c>
      <c r="C244" s="215">
        <v>648</v>
      </c>
      <c r="D244" s="9" t="s">
        <v>914</v>
      </c>
      <c r="E244" s="209" t="s">
        <v>1096</v>
      </c>
      <c r="F244" s="216">
        <v>1543</v>
      </c>
      <c r="G244" s="217">
        <v>142800</v>
      </c>
      <c r="H244" s="127" t="s">
        <v>564</v>
      </c>
      <c r="I244" s="209" t="s">
        <v>1097</v>
      </c>
      <c r="J244" s="209"/>
      <c r="K244" s="209" t="s">
        <v>201</v>
      </c>
      <c r="L244" s="209" t="s">
        <v>44</v>
      </c>
    </row>
    <row r="245" spans="1:12">
      <c r="A245" s="9">
        <v>2026</v>
      </c>
      <c r="B245" s="9" t="s">
        <v>605</v>
      </c>
      <c r="C245" s="222">
        <v>653</v>
      </c>
      <c r="D245" s="9" t="s">
        <v>914</v>
      </c>
      <c r="E245" s="9" t="s">
        <v>1098</v>
      </c>
      <c r="F245" s="14">
        <v>1543</v>
      </c>
      <c r="G245" s="219">
        <v>166600</v>
      </c>
      <c r="H245" s="127" t="s">
        <v>564</v>
      </c>
      <c r="I245" s="9" t="s">
        <v>1099</v>
      </c>
      <c r="J245" s="9"/>
      <c r="K245" s="9" t="s">
        <v>567</v>
      </c>
      <c r="L245" s="9" t="s">
        <v>23</v>
      </c>
    </row>
    <row r="246" spans="1:12">
      <c r="A246" s="9">
        <v>2026</v>
      </c>
      <c r="B246" s="209" t="s">
        <v>605</v>
      </c>
      <c r="C246" s="222">
        <v>655</v>
      </c>
      <c r="D246" s="9" t="s">
        <v>914</v>
      </c>
      <c r="E246" s="209" t="s">
        <v>1096</v>
      </c>
      <c r="F246" s="14">
        <v>1543</v>
      </c>
      <c r="G246" s="219">
        <v>142800</v>
      </c>
      <c r="H246" s="127" t="s">
        <v>564</v>
      </c>
      <c r="I246" s="9" t="s">
        <v>1100</v>
      </c>
      <c r="J246" s="9"/>
      <c r="K246" s="9" t="s">
        <v>583</v>
      </c>
      <c r="L246" s="9" t="s">
        <v>61</v>
      </c>
    </row>
    <row r="247" spans="1:12">
      <c r="A247" s="9">
        <v>2026</v>
      </c>
      <c r="B247" s="9" t="s">
        <v>605</v>
      </c>
      <c r="C247" s="222">
        <v>658</v>
      </c>
      <c r="D247" s="9" t="s">
        <v>914</v>
      </c>
      <c r="E247" s="9" t="s">
        <v>1098</v>
      </c>
      <c r="F247" s="14">
        <v>1543</v>
      </c>
      <c r="G247" s="219">
        <v>107100</v>
      </c>
      <c r="H247" s="127" t="s">
        <v>564</v>
      </c>
      <c r="I247" s="9" t="s">
        <v>1101</v>
      </c>
      <c r="J247" s="9"/>
      <c r="K247" s="9" t="s">
        <v>583</v>
      </c>
      <c r="L247" s="9" t="s">
        <v>62</v>
      </c>
    </row>
    <row r="248" spans="1:12">
      <c r="A248" s="9">
        <v>2026</v>
      </c>
      <c r="B248" s="209" t="s">
        <v>605</v>
      </c>
      <c r="C248" s="222">
        <v>661</v>
      </c>
      <c r="D248" s="209" t="s">
        <v>980</v>
      </c>
      <c r="E248" s="209" t="s">
        <v>1096</v>
      </c>
      <c r="F248" s="14">
        <v>1543</v>
      </c>
      <c r="G248" s="219">
        <v>255850</v>
      </c>
      <c r="H248" s="127" t="s">
        <v>564</v>
      </c>
      <c r="I248" s="9" t="s">
        <v>1102</v>
      </c>
      <c r="J248" s="9"/>
      <c r="K248" s="9" t="s">
        <v>583</v>
      </c>
      <c r="L248" s="9" t="s">
        <v>62</v>
      </c>
    </row>
    <row r="249" spans="1:12">
      <c r="A249" s="9">
        <v>2026</v>
      </c>
      <c r="B249" s="9" t="s">
        <v>605</v>
      </c>
      <c r="C249" s="222">
        <v>663</v>
      </c>
      <c r="D249" s="9" t="s">
        <v>914</v>
      </c>
      <c r="E249" s="9" t="s">
        <v>1098</v>
      </c>
      <c r="F249" s="14">
        <v>1543</v>
      </c>
      <c r="G249" s="219">
        <v>71400</v>
      </c>
      <c r="H249" s="127" t="s">
        <v>564</v>
      </c>
      <c r="I249" s="35" t="s">
        <v>1103</v>
      </c>
      <c r="J249" s="35"/>
      <c r="K249" s="35" t="s">
        <v>567</v>
      </c>
      <c r="L249" s="35" t="s">
        <v>23</v>
      </c>
    </row>
    <row r="250" spans="1:12" ht="16.5">
      <c r="A250" s="9">
        <v>2026</v>
      </c>
      <c r="B250" s="9" t="s">
        <v>605</v>
      </c>
      <c r="C250" s="222">
        <v>682</v>
      </c>
      <c r="D250" s="9" t="s">
        <v>914</v>
      </c>
      <c r="E250" s="235" t="s">
        <v>1104</v>
      </c>
      <c r="F250" s="222">
        <v>1553</v>
      </c>
      <c r="G250" s="219">
        <v>109480</v>
      </c>
      <c r="H250" s="127" t="s">
        <v>564</v>
      </c>
      <c r="I250" s="232" t="s">
        <v>1105</v>
      </c>
      <c r="J250" s="9"/>
      <c r="K250" s="9" t="s">
        <v>589</v>
      </c>
      <c r="L250" s="9" t="s">
        <v>27</v>
      </c>
    </row>
    <row r="251" spans="1:12" ht="16.5">
      <c r="A251" s="9">
        <v>2026</v>
      </c>
      <c r="B251" s="9" t="s">
        <v>605</v>
      </c>
      <c r="C251" s="222">
        <v>681</v>
      </c>
      <c r="D251" s="9" t="s">
        <v>914</v>
      </c>
      <c r="E251" s="235" t="s">
        <v>1106</v>
      </c>
      <c r="F251" s="222">
        <v>1556</v>
      </c>
      <c r="G251" s="219">
        <v>109480</v>
      </c>
      <c r="H251" s="127" t="s">
        <v>564</v>
      </c>
      <c r="I251" s="232" t="s">
        <v>1105</v>
      </c>
      <c r="J251" s="9"/>
      <c r="K251" s="9" t="s">
        <v>589</v>
      </c>
      <c r="L251" s="9" t="s">
        <v>26</v>
      </c>
    </row>
    <row r="252" spans="1:12" ht="16.5">
      <c r="A252" s="9">
        <v>2026</v>
      </c>
      <c r="B252" s="9" t="s">
        <v>605</v>
      </c>
      <c r="C252" s="222">
        <v>670</v>
      </c>
      <c r="D252" s="9" t="s">
        <v>914</v>
      </c>
      <c r="E252" s="235" t="s">
        <v>1107</v>
      </c>
      <c r="F252" s="222">
        <v>1559</v>
      </c>
      <c r="G252" s="219">
        <v>208250</v>
      </c>
      <c r="H252" s="127" t="s">
        <v>564</v>
      </c>
      <c r="I252" s="232" t="s">
        <v>1108</v>
      </c>
      <c r="J252" s="9"/>
      <c r="K252" s="9" t="s">
        <v>589</v>
      </c>
      <c r="L252" s="9" t="s">
        <v>28</v>
      </c>
    </row>
    <row r="253" spans="1:12">
      <c r="A253" s="9">
        <v>2026</v>
      </c>
      <c r="B253" s="9" t="s">
        <v>605</v>
      </c>
      <c r="C253" s="222">
        <v>699</v>
      </c>
      <c r="D253" s="9" t="s">
        <v>914</v>
      </c>
      <c r="E253" s="235" t="s">
        <v>839</v>
      </c>
      <c r="F253" s="222">
        <v>1563</v>
      </c>
      <c r="G253" s="219">
        <v>107100</v>
      </c>
      <c r="H253" s="127" t="s">
        <v>564</v>
      </c>
      <c r="I253" s="9" t="s">
        <v>1109</v>
      </c>
      <c r="J253" s="9"/>
      <c r="K253" s="9" t="s">
        <v>589</v>
      </c>
      <c r="L253" s="9" t="s">
        <v>28</v>
      </c>
    </row>
    <row r="254" spans="1:12" ht="16.5">
      <c r="A254" s="9">
        <v>2026</v>
      </c>
      <c r="B254" s="9" t="s">
        <v>605</v>
      </c>
      <c r="C254" s="222">
        <v>690</v>
      </c>
      <c r="D254" s="9" t="s">
        <v>914</v>
      </c>
      <c r="E254" s="235" t="s">
        <v>1110</v>
      </c>
      <c r="F254" s="222">
        <v>1564</v>
      </c>
      <c r="G254" s="219">
        <v>166600</v>
      </c>
      <c r="H254" s="127" t="s">
        <v>564</v>
      </c>
      <c r="I254" s="232" t="s">
        <v>1111</v>
      </c>
      <c r="J254" s="9"/>
      <c r="K254" s="9" t="s">
        <v>1112</v>
      </c>
      <c r="L254" s="9" t="s">
        <v>55</v>
      </c>
    </row>
    <row r="255" spans="1:12" ht="16.5">
      <c r="A255" s="9">
        <v>2026</v>
      </c>
      <c r="B255" s="9" t="s">
        <v>605</v>
      </c>
      <c r="C255" s="222">
        <v>698</v>
      </c>
      <c r="D255" s="9" t="s">
        <v>914</v>
      </c>
      <c r="E255" s="235" t="s">
        <v>829</v>
      </c>
      <c r="F255" s="222">
        <v>1565</v>
      </c>
      <c r="G255" s="219">
        <v>166600</v>
      </c>
      <c r="H255" s="127" t="s">
        <v>564</v>
      </c>
      <c r="I255" s="233" t="s">
        <v>1113</v>
      </c>
      <c r="J255" s="9"/>
      <c r="K255" s="9" t="s">
        <v>1112</v>
      </c>
      <c r="L255" s="9" t="s">
        <v>59</v>
      </c>
    </row>
    <row r="256" spans="1:12">
      <c r="A256" s="9">
        <v>2026</v>
      </c>
      <c r="B256" s="9" t="s">
        <v>605</v>
      </c>
      <c r="C256" s="222">
        <v>691</v>
      </c>
      <c r="D256" s="9" t="s">
        <v>914</v>
      </c>
      <c r="E256" s="235" t="s">
        <v>837</v>
      </c>
      <c r="F256" s="14" t="s">
        <v>575</v>
      </c>
      <c r="G256" s="219">
        <v>535500</v>
      </c>
      <c r="H256" s="231" t="s">
        <v>1085</v>
      </c>
      <c r="I256" s="9" t="s">
        <v>1114</v>
      </c>
      <c r="J256" s="9"/>
      <c r="K256" s="9" t="s">
        <v>567</v>
      </c>
      <c r="L256" s="9" t="s">
        <v>23</v>
      </c>
    </row>
    <row r="257" spans="1:12">
      <c r="A257" s="9">
        <v>2026</v>
      </c>
      <c r="B257" s="9" t="s">
        <v>605</v>
      </c>
      <c r="C257" s="222">
        <v>688</v>
      </c>
      <c r="D257" s="9" t="s">
        <v>914</v>
      </c>
      <c r="E257" s="235" t="s">
        <v>834</v>
      </c>
      <c r="F257" s="14" t="s">
        <v>575</v>
      </c>
      <c r="G257" s="219">
        <v>333200</v>
      </c>
      <c r="H257" s="231" t="s">
        <v>1085</v>
      </c>
      <c r="I257" s="220" t="s">
        <v>1115</v>
      </c>
      <c r="J257" s="234"/>
      <c r="K257" s="220" t="s">
        <v>567</v>
      </c>
      <c r="L257" s="220" t="s">
        <v>24</v>
      </c>
    </row>
    <row r="258" spans="1:12">
      <c r="A258" s="9">
        <v>2026</v>
      </c>
      <c r="B258" s="9" t="s">
        <v>605</v>
      </c>
      <c r="C258" s="222">
        <v>666</v>
      </c>
      <c r="D258" s="9" t="s">
        <v>914</v>
      </c>
      <c r="E258" s="235" t="s">
        <v>1116</v>
      </c>
      <c r="F258" s="14" t="s">
        <v>575</v>
      </c>
      <c r="G258" s="219">
        <v>255850</v>
      </c>
      <c r="H258" s="231" t="s">
        <v>1085</v>
      </c>
      <c r="I258" s="9" t="s">
        <v>1117</v>
      </c>
      <c r="J258" s="224"/>
      <c r="K258" s="9" t="s">
        <v>1112</v>
      </c>
      <c r="L258" s="9" t="s">
        <v>65</v>
      </c>
    </row>
    <row r="259" spans="1:12">
      <c r="A259" s="9">
        <v>2026</v>
      </c>
      <c r="B259" s="9" t="s">
        <v>605</v>
      </c>
      <c r="C259" s="83">
        <v>684</v>
      </c>
      <c r="D259" s="35" t="s">
        <v>914</v>
      </c>
      <c r="E259" s="235" t="s">
        <v>1118</v>
      </c>
      <c r="F259" s="14" t="s">
        <v>575</v>
      </c>
      <c r="G259" s="219">
        <v>606900</v>
      </c>
      <c r="H259" s="218" t="s">
        <v>1085</v>
      </c>
      <c r="I259" s="220" t="s">
        <v>1119</v>
      </c>
      <c r="J259" s="9"/>
      <c r="K259" s="9" t="s">
        <v>227</v>
      </c>
      <c r="L259" s="9" t="s">
        <v>49</v>
      </c>
    </row>
    <row r="260" spans="1:12">
      <c r="A260" s="9">
        <v>2026</v>
      </c>
      <c r="B260" s="135" t="s">
        <v>1070</v>
      </c>
      <c r="C260" s="230">
        <v>709181263</v>
      </c>
      <c r="D260" s="209" t="s">
        <v>980</v>
      </c>
      <c r="E260" s="224" t="s">
        <v>602</v>
      </c>
      <c r="F260" s="14" t="s">
        <v>575</v>
      </c>
      <c r="G260" s="219">
        <v>757775</v>
      </c>
      <c r="H260" s="218" t="s">
        <v>1085</v>
      </c>
      <c r="I260" s="9" t="s">
        <v>1120</v>
      </c>
      <c r="J260" s="9"/>
      <c r="K260" s="9" t="s">
        <v>158</v>
      </c>
      <c r="L260" s="9" t="s">
        <v>15</v>
      </c>
    </row>
    <row r="261" spans="1:12">
      <c r="A261" s="9">
        <v>2026</v>
      </c>
      <c r="B261" s="135" t="s">
        <v>1070</v>
      </c>
      <c r="C261" s="230">
        <v>709182676</v>
      </c>
      <c r="D261" s="9" t="s">
        <v>980</v>
      </c>
      <c r="E261" s="224" t="s">
        <v>602</v>
      </c>
      <c r="F261" s="14" t="s">
        <v>575</v>
      </c>
      <c r="G261" s="219">
        <v>637754</v>
      </c>
      <c r="H261" s="218" t="s">
        <v>1085</v>
      </c>
      <c r="I261" s="9" t="s">
        <v>1120</v>
      </c>
      <c r="J261" s="9"/>
      <c r="K261" s="9" t="s">
        <v>647</v>
      </c>
      <c r="L261" s="9" t="s">
        <v>38</v>
      </c>
    </row>
    <row r="262" spans="1:12">
      <c r="A262" s="9">
        <v>2026</v>
      </c>
      <c r="B262" s="135" t="s">
        <v>1070</v>
      </c>
      <c r="C262" s="230">
        <v>709182882</v>
      </c>
      <c r="D262" s="209" t="s">
        <v>980</v>
      </c>
      <c r="E262" s="224" t="s">
        <v>602</v>
      </c>
      <c r="F262" s="14" t="s">
        <v>575</v>
      </c>
      <c r="G262" s="219">
        <v>635731</v>
      </c>
      <c r="H262" s="218" t="s">
        <v>1085</v>
      </c>
      <c r="I262" s="9" t="s">
        <v>1120</v>
      </c>
      <c r="J262" s="9"/>
      <c r="K262" s="9" t="s">
        <v>201</v>
      </c>
      <c r="L262" s="9" t="s">
        <v>44</v>
      </c>
    </row>
    <row r="263" spans="1:12">
      <c r="A263" s="9">
        <v>2026</v>
      </c>
      <c r="B263" s="135" t="s">
        <v>1070</v>
      </c>
      <c r="C263" s="230">
        <v>709183048</v>
      </c>
      <c r="D263" s="9" t="s">
        <v>980</v>
      </c>
      <c r="E263" s="224" t="s">
        <v>602</v>
      </c>
      <c r="F263" s="14" t="s">
        <v>575</v>
      </c>
      <c r="G263" s="219">
        <v>284015</v>
      </c>
      <c r="H263" s="218" t="s">
        <v>1085</v>
      </c>
      <c r="I263" s="9" t="s">
        <v>1120</v>
      </c>
      <c r="J263" s="9"/>
      <c r="K263" s="9" t="s">
        <v>1112</v>
      </c>
      <c r="L263" s="9" t="s">
        <v>61</v>
      </c>
    </row>
    <row r="264" spans="1:12">
      <c r="A264" s="9">
        <v>2026</v>
      </c>
      <c r="B264" s="135" t="s">
        <v>1070</v>
      </c>
      <c r="C264" s="230">
        <v>709182722</v>
      </c>
      <c r="D264" s="209" t="s">
        <v>980</v>
      </c>
      <c r="E264" s="224" t="s">
        <v>602</v>
      </c>
      <c r="F264" s="81" t="s">
        <v>575</v>
      </c>
      <c r="G264" s="219">
        <v>635731</v>
      </c>
      <c r="H264" s="218" t="s">
        <v>1085</v>
      </c>
      <c r="I264" s="9" t="s">
        <v>1120</v>
      </c>
      <c r="J264" s="35"/>
      <c r="K264" s="35" t="s">
        <v>647</v>
      </c>
      <c r="L264" s="35" t="s">
        <v>39</v>
      </c>
    </row>
    <row r="265" spans="1:12">
      <c r="A265" s="9">
        <v>2026</v>
      </c>
      <c r="B265" s="9" t="s">
        <v>785</v>
      </c>
      <c r="C265" s="228">
        <v>377833</v>
      </c>
      <c r="D265" s="135" t="s">
        <v>808</v>
      </c>
      <c r="E265" s="79" t="s">
        <v>795</v>
      </c>
      <c r="F265" s="14"/>
      <c r="G265" s="226">
        <f>175164+292852</f>
        <v>468016</v>
      </c>
      <c r="H265" s="127" t="s">
        <v>564</v>
      </c>
      <c r="I265" s="9" t="s">
        <v>1121</v>
      </c>
      <c r="J265" s="9"/>
      <c r="K265" s="9" t="s">
        <v>158</v>
      </c>
      <c r="L265" s="9" t="s">
        <v>1122</v>
      </c>
    </row>
    <row r="266" spans="1:12">
      <c r="A266" s="9">
        <v>2026</v>
      </c>
      <c r="B266" s="9" t="s">
        <v>785</v>
      </c>
      <c r="C266" s="229">
        <v>377865</v>
      </c>
      <c r="D266" s="135" t="s">
        <v>808</v>
      </c>
      <c r="E266" s="225" t="s">
        <v>836</v>
      </c>
      <c r="F266" s="14"/>
      <c r="G266" s="226">
        <f>175164+292852</f>
        <v>468016</v>
      </c>
      <c r="H266" s="127" t="s">
        <v>564</v>
      </c>
      <c r="I266" s="9" t="s">
        <v>1121</v>
      </c>
      <c r="J266" s="9"/>
      <c r="K266" s="9" t="s">
        <v>567</v>
      </c>
      <c r="L266" s="9" t="s">
        <v>23</v>
      </c>
    </row>
    <row r="267" spans="1:12">
      <c r="A267" s="9">
        <v>2026</v>
      </c>
      <c r="B267" s="35" t="s">
        <v>785</v>
      </c>
      <c r="C267" s="229">
        <v>377833</v>
      </c>
      <c r="D267" s="135" t="s">
        <v>808</v>
      </c>
      <c r="E267" s="79" t="s">
        <v>795</v>
      </c>
      <c r="F267" s="14"/>
      <c r="G267" s="227">
        <v>292852</v>
      </c>
      <c r="H267" s="127" t="s">
        <v>564</v>
      </c>
      <c r="I267" s="9" t="s">
        <v>1123</v>
      </c>
      <c r="J267" s="9"/>
      <c r="K267" s="9" t="s">
        <v>1112</v>
      </c>
      <c r="L267" s="9"/>
    </row>
    <row r="268" spans="1:12">
      <c r="A268" s="9">
        <v>2026</v>
      </c>
      <c r="B268" s="136" t="s">
        <v>790</v>
      </c>
      <c r="C268" s="222" t="s">
        <v>1124</v>
      </c>
      <c r="D268" s="9" t="s">
        <v>911</v>
      </c>
      <c r="E268" s="9" t="s">
        <v>602</v>
      </c>
      <c r="F268" s="41" t="s">
        <v>575</v>
      </c>
      <c r="G268" s="219">
        <v>1309000</v>
      </c>
      <c r="H268" s="231" t="s">
        <v>1085</v>
      </c>
      <c r="I268" s="9" t="s">
        <v>1125</v>
      </c>
      <c r="J268" s="9"/>
      <c r="K268" s="9" t="s">
        <v>158</v>
      </c>
      <c r="L268" s="9" t="s">
        <v>11</v>
      </c>
    </row>
    <row r="269" spans="1:12">
      <c r="A269" s="9">
        <v>2026</v>
      </c>
      <c r="B269" s="9" t="s">
        <v>1126</v>
      </c>
      <c r="C269" s="222">
        <v>1013</v>
      </c>
      <c r="D269" s="9" t="s">
        <v>194</v>
      </c>
      <c r="E269" s="9" t="s">
        <v>1127</v>
      </c>
      <c r="F269" s="14" t="s">
        <v>575</v>
      </c>
      <c r="G269" s="219">
        <v>202300</v>
      </c>
      <c r="H269" s="231" t="s">
        <v>1085</v>
      </c>
      <c r="I269" s="9" t="s">
        <v>1128</v>
      </c>
      <c r="J269" s="9"/>
      <c r="K269" s="9" t="s">
        <v>158</v>
      </c>
      <c r="L269" s="9" t="s">
        <v>11</v>
      </c>
    </row>
    <row r="270" spans="1:12">
      <c r="A270" s="9">
        <v>2026</v>
      </c>
      <c r="B270" s="9" t="s">
        <v>605</v>
      </c>
      <c r="C270" s="222">
        <v>679</v>
      </c>
      <c r="D270" s="9" t="s">
        <v>914</v>
      </c>
      <c r="E270" s="9" t="s">
        <v>602</v>
      </c>
      <c r="F270" s="14" t="s">
        <v>575</v>
      </c>
      <c r="G270" s="219">
        <v>719950</v>
      </c>
      <c r="H270" s="231" t="s">
        <v>1085</v>
      </c>
      <c r="I270" s="220" t="s">
        <v>1129</v>
      </c>
      <c r="J270" s="220"/>
      <c r="K270" s="220"/>
      <c r="L270" s="220"/>
    </row>
    <row r="271" spans="1:12">
      <c r="A271" s="9">
        <v>2026</v>
      </c>
      <c r="B271" s="9" t="s">
        <v>605</v>
      </c>
      <c r="C271" s="222">
        <v>704</v>
      </c>
      <c r="D271" s="35" t="s">
        <v>914</v>
      </c>
      <c r="E271" s="9" t="s">
        <v>602</v>
      </c>
      <c r="F271" s="14" t="s">
        <v>575</v>
      </c>
      <c r="G271" s="219">
        <v>499800</v>
      </c>
      <c r="H271" s="231" t="s">
        <v>1085</v>
      </c>
      <c r="I271" s="9" t="s">
        <v>1130</v>
      </c>
      <c r="J271" s="9"/>
      <c r="K271" s="9"/>
      <c r="L271" s="9"/>
    </row>
    <row r="272" spans="1:12">
      <c r="A272" s="9">
        <v>2026</v>
      </c>
      <c r="B272" s="9" t="s">
        <v>677</v>
      </c>
      <c r="C272" s="222">
        <v>23510810</v>
      </c>
      <c r="D272" s="9" t="s">
        <v>919</v>
      </c>
      <c r="E272" s="9" t="s">
        <v>1127</v>
      </c>
      <c r="F272" s="14" t="s">
        <v>575</v>
      </c>
      <c r="G272" s="219">
        <v>142657</v>
      </c>
      <c r="H272" s="231" t="s">
        <v>1085</v>
      </c>
      <c r="I272" s="9" t="s">
        <v>1131</v>
      </c>
      <c r="J272" s="9"/>
      <c r="K272" s="9" t="s">
        <v>158</v>
      </c>
      <c r="L272" s="9" t="s">
        <v>11</v>
      </c>
    </row>
    <row r="273" spans="1:12">
      <c r="A273" s="79"/>
      <c r="B273" s="9"/>
      <c r="C273" s="14"/>
      <c r="D273" s="9"/>
      <c r="E273" s="9"/>
      <c r="F273" s="14"/>
      <c r="G273" s="219"/>
      <c r="H273" s="218"/>
      <c r="I273" s="9"/>
      <c r="J273" s="9"/>
      <c r="K273" s="9"/>
      <c r="L273" s="9"/>
    </row>
    <row r="274" spans="1:12">
      <c r="A274" s="79"/>
      <c r="B274" s="9"/>
      <c r="C274" s="14"/>
      <c r="D274" s="9"/>
      <c r="E274" s="9"/>
      <c r="F274" s="14"/>
      <c r="G274" s="219"/>
      <c r="H274" s="218"/>
      <c r="I274" s="9"/>
      <c r="J274" s="9"/>
      <c r="K274" s="9"/>
      <c r="L274" s="9"/>
    </row>
    <row r="275" spans="1:12">
      <c r="A275" s="79"/>
      <c r="B275" s="9"/>
      <c r="C275" s="14"/>
      <c r="D275" s="9"/>
      <c r="E275" s="9"/>
      <c r="F275" s="14"/>
      <c r="G275" s="219"/>
      <c r="H275" s="218"/>
      <c r="I275" s="9"/>
      <c r="J275" s="9"/>
      <c r="K275" s="9"/>
      <c r="L275" s="9"/>
    </row>
    <row r="276" spans="1:12">
      <c r="A276" s="79"/>
      <c r="B276" s="9"/>
      <c r="C276" s="14"/>
      <c r="D276" s="9"/>
      <c r="E276" s="9"/>
      <c r="F276" s="14"/>
      <c r="G276" s="219"/>
      <c r="H276" s="218"/>
      <c r="I276" s="9"/>
      <c r="J276" s="9"/>
      <c r="K276" s="9"/>
      <c r="L276" s="9"/>
    </row>
    <row r="277" spans="1:12">
      <c r="A277" s="79"/>
      <c r="B277" s="9"/>
      <c r="C277" s="14"/>
      <c r="D277" s="9"/>
      <c r="E277" s="9"/>
      <c r="F277" s="14"/>
      <c r="G277" s="219"/>
      <c r="H277" s="218"/>
      <c r="I277" s="9"/>
      <c r="J277" s="9"/>
      <c r="K277" s="9"/>
      <c r="L277" s="9"/>
    </row>
    <row r="278" spans="1:12">
      <c r="A278" s="79"/>
      <c r="B278" s="9"/>
      <c r="C278" s="14"/>
      <c r="D278" s="9"/>
      <c r="E278" s="9"/>
      <c r="F278" s="14"/>
      <c r="G278" s="219"/>
      <c r="H278" s="218"/>
      <c r="I278" s="9"/>
      <c r="J278" s="9"/>
      <c r="K278" s="9"/>
      <c r="L278" s="9"/>
    </row>
    <row r="279" spans="1:12">
      <c r="A279" s="79"/>
      <c r="B279" s="9"/>
      <c r="C279" s="14"/>
      <c r="D279" s="9"/>
      <c r="E279" s="9"/>
      <c r="F279" s="14"/>
      <c r="G279" s="219"/>
      <c r="H279" s="218"/>
      <c r="I279" s="9"/>
      <c r="J279" s="9"/>
      <c r="K279" s="9"/>
      <c r="L279" s="9"/>
    </row>
    <row r="280" spans="1:12">
      <c r="A280" s="79"/>
      <c r="B280" s="9"/>
      <c r="C280" s="14"/>
      <c r="D280" s="9"/>
      <c r="E280" s="9"/>
      <c r="F280" s="14"/>
      <c r="G280" s="219"/>
      <c r="H280" s="218"/>
      <c r="I280" s="9"/>
      <c r="J280" s="9"/>
      <c r="K280" s="9"/>
      <c r="L280" s="9"/>
    </row>
    <row r="281" spans="1:12">
      <c r="A281" s="79"/>
      <c r="B281" s="9"/>
      <c r="C281" s="14"/>
      <c r="D281" s="9"/>
      <c r="E281" s="9"/>
      <c r="F281" s="14"/>
      <c r="G281" s="219"/>
      <c r="H281" s="218"/>
      <c r="I281" s="9"/>
      <c r="J281" s="9"/>
      <c r="K281" s="9"/>
      <c r="L281" s="9"/>
    </row>
    <row r="282" spans="1:12">
      <c r="A282" s="79"/>
      <c r="B282" s="9"/>
      <c r="C282" s="14"/>
      <c r="D282" s="9"/>
      <c r="E282" s="9"/>
      <c r="F282" s="14"/>
      <c r="G282" s="219"/>
      <c r="H282" s="218"/>
      <c r="I282" s="9"/>
      <c r="J282" s="9"/>
      <c r="K282" s="9"/>
      <c r="L282" s="9"/>
    </row>
    <row r="283" spans="1:12">
      <c r="A283" s="79"/>
      <c r="B283" s="9"/>
      <c r="C283" s="14"/>
      <c r="D283" s="9"/>
      <c r="E283" s="9"/>
      <c r="F283" s="14"/>
      <c r="G283" s="219"/>
      <c r="H283" s="218"/>
      <c r="I283" s="9"/>
      <c r="J283" s="9"/>
      <c r="K283" s="9"/>
      <c r="L283" s="9"/>
    </row>
    <row r="284" spans="1:12">
      <c r="A284" s="9"/>
      <c r="B284" s="49"/>
      <c r="C284" s="39"/>
      <c r="D284" s="220"/>
      <c r="E284" s="220"/>
      <c r="F284" s="39"/>
      <c r="G284" s="213"/>
      <c r="H284" s="214"/>
      <c r="I284" s="49"/>
      <c r="J284" s="49"/>
      <c r="K284" s="49"/>
      <c r="L284" s="49"/>
    </row>
    <row r="285" spans="1:12">
      <c r="A285" s="9"/>
      <c r="B285" s="49"/>
      <c r="C285" s="39"/>
      <c r="D285" s="9"/>
      <c r="E285" s="9"/>
      <c r="F285" s="39"/>
      <c r="G285" s="213"/>
      <c r="H285" s="214"/>
      <c r="I285" s="49"/>
      <c r="J285" s="49"/>
      <c r="K285" s="49"/>
      <c r="L285" s="49"/>
    </row>
    <row r="286" spans="1:12">
      <c r="A286" s="9"/>
      <c r="B286" s="49"/>
      <c r="C286" s="39"/>
      <c r="D286" s="9"/>
      <c r="E286" s="9"/>
      <c r="F286" s="39"/>
      <c r="G286" s="213"/>
      <c r="H286" s="214"/>
      <c r="I286" s="49"/>
      <c r="J286" s="49"/>
      <c r="K286" s="49"/>
      <c r="L286" s="49"/>
    </row>
    <row r="287" spans="1:12">
      <c r="A287" s="9"/>
      <c r="B287" s="49"/>
      <c r="C287" s="39"/>
      <c r="D287" s="9"/>
      <c r="E287" s="9"/>
      <c r="F287" s="39"/>
      <c r="G287" s="213"/>
      <c r="H287" s="214"/>
      <c r="I287" s="49"/>
      <c r="J287" s="49"/>
      <c r="K287" s="49"/>
      <c r="L287" s="49"/>
    </row>
    <row r="288" spans="1:12">
      <c r="A288" s="9"/>
      <c r="B288" s="49"/>
      <c r="C288" s="39"/>
      <c r="D288" s="9"/>
      <c r="E288" s="9"/>
      <c r="F288" s="39"/>
      <c r="G288" s="213"/>
      <c r="H288" s="214"/>
      <c r="I288" s="49"/>
      <c r="J288" s="49"/>
      <c r="K288" s="49"/>
      <c r="L288" s="49"/>
    </row>
    <row r="289" spans="1:12">
      <c r="A289" s="9"/>
      <c r="B289" s="49"/>
      <c r="C289" s="39"/>
      <c r="D289" s="9"/>
      <c r="E289" s="9"/>
      <c r="F289" s="39"/>
      <c r="G289" s="213"/>
      <c r="H289" s="214"/>
      <c r="I289" s="49"/>
      <c r="J289" s="49"/>
      <c r="K289" s="49"/>
      <c r="L289" s="49"/>
    </row>
    <row r="290" spans="1:12">
      <c r="A290" s="9"/>
      <c r="B290" s="49"/>
      <c r="C290" s="39"/>
      <c r="D290" s="9"/>
      <c r="E290" s="9"/>
      <c r="F290" s="39"/>
      <c r="G290" s="213"/>
      <c r="H290" s="214"/>
      <c r="I290" s="49"/>
      <c r="J290" s="49"/>
      <c r="K290" s="49"/>
      <c r="L290" s="49"/>
    </row>
    <row r="291" spans="1:12">
      <c r="A291" s="9"/>
      <c r="B291" s="49"/>
      <c r="C291" s="39"/>
      <c r="D291" s="9"/>
      <c r="E291" s="9"/>
      <c r="F291" s="39"/>
      <c r="G291" s="213"/>
      <c r="H291" s="214"/>
      <c r="I291" s="49"/>
      <c r="J291" s="49"/>
      <c r="K291" s="49"/>
      <c r="L291" s="49"/>
    </row>
    <row r="292" spans="1:12">
      <c r="A292" s="9"/>
      <c r="B292" s="49"/>
      <c r="C292" s="39"/>
      <c r="D292" s="9"/>
      <c r="E292" s="9"/>
      <c r="F292" s="39"/>
      <c r="G292" s="213"/>
      <c r="H292" s="214"/>
      <c r="I292" s="49"/>
      <c r="J292" s="49"/>
      <c r="K292" s="49"/>
      <c r="L292" s="49"/>
    </row>
    <row r="293" spans="1:12">
      <c r="A293" s="9"/>
      <c r="B293" s="49"/>
      <c r="C293" s="39"/>
      <c r="D293" s="9"/>
      <c r="E293" s="9"/>
      <c r="F293" s="39"/>
      <c r="G293" s="213"/>
      <c r="H293" s="214"/>
      <c r="I293" s="49"/>
      <c r="J293" s="49"/>
      <c r="K293" s="49"/>
      <c r="L293" s="49"/>
    </row>
    <row r="294" spans="1:12">
      <c r="A294" s="9"/>
      <c r="B294" s="49"/>
      <c r="C294" s="39"/>
      <c r="D294" s="9"/>
      <c r="E294" s="9"/>
      <c r="F294" s="39"/>
      <c r="G294" s="213"/>
      <c r="H294" s="214"/>
      <c r="I294" s="49"/>
      <c r="J294" s="49"/>
      <c r="K294" s="49"/>
      <c r="L294" s="49"/>
    </row>
    <row r="295" spans="1:12">
      <c r="A295" s="9"/>
      <c r="B295" s="49"/>
      <c r="C295" s="39"/>
      <c r="D295" s="9"/>
      <c r="E295" s="9"/>
      <c r="F295" s="39"/>
      <c r="G295" s="213"/>
      <c r="H295" s="214"/>
      <c r="I295" s="49"/>
      <c r="J295" s="49"/>
      <c r="K295" s="49"/>
      <c r="L295" s="49"/>
    </row>
    <row r="296" spans="1:12">
      <c r="A296" s="9"/>
      <c r="B296" s="49"/>
      <c r="C296" s="39"/>
      <c r="D296" s="9"/>
      <c r="E296" s="9"/>
      <c r="F296" s="39"/>
      <c r="G296" s="213"/>
      <c r="H296" s="214"/>
      <c r="I296" s="49"/>
      <c r="J296" s="49"/>
      <c r="K296" s="49"/>
      <c r="L296" s="49"/>
    </row>
    <row r="297" spans="1:12">
      <c r="A297" s="9"/>
      <c r="B297" s="49"/>
      <c r="C297" s="39"/>
      <c r="D297" s="9"/>
      <c r="E297" s="9"/>
      <c r="F297" s="39"/>
      <c r="G297" s="213"/>
      <c r="H297" s="214"/>
      <c r="I297" s="49"/>
      <c r="J297" s="49"/>
      <c r="K297" s="49"/>
      <c r="L297" s="49"/>
    </row>
    <row r="298" spans="1:12">
      <c r="A298" s="9"/>
      <c r="B298" s="49"/>
      <c r="C298" s="39"/>
      <c r="D298" s="9"/>
      <c r="E298" s="9"/>
      <c r="F298" s="39"/>
      <c r="G298" s="213"/>
      <c r="H298" s="214"/>
      <c r="I298" s="49"/>
      <c r="J298" s="49"/>
      <c r="K298" s="49"/>
      <c r="L298" s="49"/>
    </row>
    <row r="299" spans="1:12">
      <c r="A299" s="9"/>
      <c r="B299" s="49"/>
      <c r="C299" s="39"/>
      <c r="D299" s="9"/>
      <c r="E299" s="9"/>
      <c r="F299" s="39"/>
      <c r="G299" s="213"/>
      <c r="H299" s="214"/>
      <c r="I299" s="49"/>
      <c r="J299" s="49"/>
      <c r="K299" s="49"/>
      <c r="L299" s="49"/>
    </row>
    <row r="300" spans="1:12">
      <c r="A300" s="9"/>
      <c r="B300" s="49"/>
      <c r="C300" s="39"/>
      <c r="D300" s="9"/>
      <c r="E300" s="9"/>
      <c r="F300" s="39"/>
      <c r="G300" s="213"/>
      <c r="H300" s="214"/>
      <c r="I300" s="49"/>
      <c r="J300" s="49"/>
      <c r="K300" s="49"/>
      <c r="L300" s="49"/>
    </row>
    <row r="301" spans="1:12">
      <c r="A301" s="9"/>
      <c r="B301" s="49"/>
      <c r="C301" s="39"/>
      <c r="D301" s="9"/>
      <c r="E301" s="9"/>
      <c r="F301" s="39"/>
      <c r="G301" s="213"/>
      <c r="H301" s="214"/>
      <c r="I301" s="49"/>
      <c r="J301" s="49"/>
      <c r="K301" s="49"/>
      <c r="L301" s="49"/>
    </row>
    <row r="302" spans="1:12">
      <c r="A302" s="9"/>
      <c r="B302" s="49"/>
      <c r="C302" s="39"/>
      <c r="D302" s="9"/>
      <c r="E302" s="9"/>
      <c r="F302" s="39"/>
      <c r="G302" s="213"/>
      <c r="H302" s="214"/>
      <c r="I302" s="49"/>
      <c r="J302" s="49"/>
      <c r="K302" s="49"/>
      <c r="L302" s="49"/>
    </row>
    <row r="303" spans="1:12">
      <c r="A303" s="9"/>
      <c r="B303" s="49"/>
      <c r="C303" s="39"/>
      <c r="D303" s="9"/>
      <c r="E303" s="9"/>
      <c r="F303" s="39"/>
      <c r="G303" s="213"/>
      <c r="H303" s="214"/>
      <c r="I303" s="49"/>
      <c r="J303" s="49"/>
      <c r="K303" s="49"/>
      <c r="L303" s="49"/>
    </row>
    <row r="304" spans="1:12">
      <c r="A304" s="9"/>
      <c r="B304" s="49"/>
      <c r="C304" s="39"/>
      <c r="D304" s="9"/>
      <c r="E304" s="9"/>
      <c r="F304" s="39"/>
      <c r="G304" s="213"/>
      <c r="H304" s="214"/>
      <c r="I304" s="49"/>
      <c r="J304" s="49"/>
      <c r="K304" s="49"/>
      <c r="L304" s="49"/>
    </row>
    <row r="305" spans="1:12">
      <c r="A305" s="9"/>
      <c r="B305" s="49"/>
      <c r="C305" s="39"/>
      <c r="D305" s="9"/>
      <c r="E305" s="9"/>
      <c r="F305" s="39"/>
      <c r="G305" s="213"/>
      <c r="H305" s="214"/>
      <c r="I305" s="49"/>
      <c r="J305" s="49"/>
      <c r="K305" s="49"/>
      <c r="L305" s="49"/>
    </row>
    <row r="306" spans="1:12">
      <c r="A306" s="9"/>
      <c r="B306" s="49"/>
      <c r="C306" s="39"/>
      <c r="D306" s="9"/>
      <c r="E306" s="9"/>
      <c r="F306" s="39"/>
      <c r="G306" s="213"/>
      <c r="H306" s="214"/>
      <c r="I306" s="49"/>
      <c r="J306" s="49"/>
      <c r="K306" s="49"/>
      <c r="L306" s="49"/>
    </row>
    <row r="307" spans="1:12">
      <c r="A307" s="9"/>
      <c r="B307" s="49"/>
      <c r="C307" s="39"/>
      <c r="D307" s="9"/>
      <c r="E307" s="9"/>
      <c r="F307" s="39"/>
      <c r="G307" s="213"/>
      <c r="H307" s="214"/>
      <c r="I307" s="49"/>
      <c r="J307" s="49"/>
      <c r="K307" s="49"/>
      <c r="L307" s="49"/>
    </row>
    <row r="308" spans="1:12">
      <c r="A308" s="9"/>
      <c r="B308" s="49"/>
      <c r="C308" s="39"/>
      <c r="D308" s="9"/>
      <c r="E308" s="9"/>
      <c r="F308" s="39"/>
      <c r="G308" s="213"/>
      <c r="H308" s="214"/>
      <c r="I308" s="49"/>
      <c r="J308" s="49"/>
      <c r="K308" s="49"/>
      <c r="L308" s="49"/>
    </row>
    <row r="309" spans="1:12">
      <c r="A309" s="9"/>
      <c r="B309" s="49"/>
      <c r="C309" s="39"/>
      <c r="D309" s="9"/>
      <c r="E309" s="9"/>
      <c r="F309" s="39"/>
      <c r="G309" s="213"/>
      <c r="H309" s="214"/>
      <c r="I309" s="49"/>
      <c r="J309" s="49"/>
      <c r="K309" s="49"/>
      <c r="L309" s="49"/>
    </row>
    <row r="310" spans="1:12">
      <c r="A310" s="9"/>
      <c r="B310" s="49"/>
      <c r="C310" s="39"/>
      <c r="D310" s="9"/>
      <c r="E310" s="9"/>
      <c r="F310" s="39"/>
      <c r="G310" s="213"/>
      <c r="H310" s="214"/>
      <c r="I310" s="49"/>
      <c r="J310" s="49"/>
      <c r="K310" s="49"/>
      <c r="L310" s="49"/>
    </row>
    <row r="311" spans="1:12">
      <c r="A311" s="9"/>
      <c r="B311" s="49"/>
      <c r="C311" s="39"/>
      <c r="D311" s="9"/>
      <c r="E311" s="9"/>
      <c r="F311" s="39"/>
      <c r="G311" s="213"/>
      <c r="H311" s="214"/>
      <c r="I311" s="49"/>
      <c r="J311" s="49"/>
      <c r="K311" s="49"/>
      <c r="L311" s="49"/>
    </row>
    <row r="312" spans="1:12">
      <c r="A312" s="9"/>
      <c r="B312" s="49"/>
      <c r="C312" s="39"/>
      <c r="D312" s="9"/>
      <c r="E312" s="9"/>
      <c r="F312" s="39"/>
      <c r="G312" s="213"/>
      <c r="H312" s="214"/>
      <c r="I312" s="49"/>
      <c r="J312" s="49"/>
      <c r="K312" s="49"/>
      <c r="L312" s="49"/>
    </row>
    <row r="313" spans="1:12">
      <c r="A313" s="9"/>
      <c r="B313" s="49"/>
      <c r="C313" s="39"/>
      <c r="D313" s="9"/>
      <c r="E313" s="9"/>
      <c r="F313" s="39"/>
      <c r="G313" s="213"/>
      <c r="H313" s="214"/>
      <c r="I313" s="49"/>
      <c r="J313" s="49"/>
      <c r="K313" s="49"/>
      <c r="L313" s="49"/>
    </row>
    <row r="314" spans="1:12">
      <c r="A314" s="9"/>
      <c r="B314" s="49"/>
      <c r="C314" s="39"/>
      <c r="D314" s="9"/>
      <c r="E314" s="9"/>
      <c r="F314" s="39"/>
      <c r="G314" s="213"/>
      <c r="H314" s="214"/>
      <c r="I314" s="49"/>
      <c r="J314" s="49"/>
      <c r="K314" s="49"/>
      <c r="L314" s="49"/>
    </row>
    <row r="315" spans="1:12">
      <c r="A315" s="9"/>
      <c r="B315" s="49"/>
      <c r="C315" s="39"/>
      <c r="D315" s="9"/>
      <c r="E315" s="9"/>
      <c r="F315" s="39"/>
      <c r="G315" s="213"/>
      <c r="H315" s="214"/>
      <c r="I315" s="49"/>
      <c r="J315" s="49"/>
      <c r="K315" s="49"/>
      <c r="L315" s="49"/>
    </row>
    <row r="316" spans="1:12">
      <c r="A316" s="9"/>
      <c r="B316" s="49"/>
      <c r="C316" s="39"/>
      <c r="D316" s="9"/>
      <c r="E316" s="9"/>
      <c r="F316" s="39"/>
      <c r="G316" s="213"/>
      <c r="H316" s="214"/>
      <c r="I316" s="49"/>
      <c r="J316" s="49"/>
      <c r="K316" s="49"/>
      <c r="L316" s="49"/>
    </row>
    <row r="317" spans="1:12">
      <c r="A317" s="9"/>
      <c r="B317" s="49"/>
      <c r="C317" s="39"/>
      <c r="D317" s="9"/>
      <c r="E317" s="9"/>
      <c r="F317" s="39"/>
      <c r="G317" s="213"/>
      <c r="H317" s="214"/>
      <c r="I317" s="49"/>
      <c r="J317" s="49"/>
      <c r="K317" s="49"/>
      <c r="L317" s="49"/>
    </row>
    <row r="318" spans="1:12">
      <c r="A318" s="9"/>
      <c r="B318" s="49"/>
      <c r="C318" s="39"/>
      <c r="D318" s="9"/>
      <c r="E318" s="9"/>
      <c r="F318" s="39"/>
      <c r="G318" s="213"/>
      <c r="H318" s="214"/>
      <c r="I318" s="49"/>
      <c r="J318" s="49"/>
      <c r="K318" s="49"/>
      <c r="L318" s="49"/>
    </row>
    <row r="319" spans="1:12">
      <c r="A319" s="9"/>
      <c r="B319" s="49"/>
      <c r="C319" s="39"/>
      <c r="D319" s="9"/>
      <c r="E319" s="9"/>
      <c r="F319" s="39"/>
      <c r="G319" s="213"/>
      <c r="H319" s="214"/>
      <c r="I319" s="49"/>
      <c r="J319" s="49"/>
      <c r="K319" s="49"/>
      <c r="L319" s="49"/>
    </row>
    <row r="320" spans="1:12">
      <c r="A320" s="9"/>
      <c r="B320" s="49"/>
      <c r="C320" s="39"/>
      <c r="D320" s="9"/>
      <c r="E320" s="9"/>
      <c r="F320" s="39"/>
      <c r="G320" s="213"/>
      <c r="H320" s="214"/>
      <c r="I320" s="49"/>
      <c r="J320" s="49"/>
      <c r="K320" s="49"/>
      <c r="L320" s="49"/>
    </row>
    <row r="321" spans="1:12">
      <c r="A321" s="9"/>
      <c r="B321" s="49"/>
      <c r="C321" s="39"/>
      <c r="D321" s="9"/>
      <c r="E321" s="9"/>
      <c r="F321" s="39"/>
      <c r="G321" s="213"/>
      <c r="H321" s="214"/>
      <c r="I321" s="49"/>
      <c r="J321" s="49"/>
      <c r="K321" s="49"/>
      <c r="L321" s="49"/>
    </row>
    <row r="322" spans="1:12">
      <c r="A322" s="9"/>
      <c r="B322" s="49"/>
      <c r="C322" s="39"/>
      <c r="D322" s="9"/>
      <c r="E322" s="9"/>
      <c r="F322" s="39"/>
      <c r="G322" s="213"/>
      <c r="H322" s="214"/>
      <c r="I322" s="49"/>
      <c r="J322" s="49"/>
      <c r="K322" s="49"/>
      <c r="L322" s="49"/>
    </row>
    <row r="323" spans="1:12">
      <c r="A323" s="9"/>
      <c r="B323" s="49"/>
      <c r="C323" s="39"/>
      <c r="D323" s="9"/>
      <c r="E323" s="9"/>
      <c r="F323" s="39"/>
      <c r="G323" s="213"/>
      <c r="H323" s="214"/>
      <c r="I323" s="49"/>
      <c r="J323" s="49"/>
      <c r="K323" s="49"/>
      <c r="L323" s="49"/>
    </row>
    <row r="324" spans="1:12">
      <c r="A324" s="9"/>
      <c r="B324" s="49"/>
      <c r="C324" s="39"/>
      <c r="D324" s="9"/>
      <c r="E324" s="9"/>
      <c r="F324" s="39"/>
      <c r="G324" s="213"/>
      <c r="H324" s="214"/>
      <c r="I324" s="49"/>
      <c r="J324" s="49"/>
      <c r="K324" s="49"/>
      <c r="L324" s="49"/>
    </row>
    <row r="325" spans="1:12">
      <c r="A325" s="9"/>
      <c r="B325" s="49"/>
      <c r="C325" s="39"/>
      <c r="D325" s="9"/>
      <c r="E325" s="9"/>
      <c r="F325" s="39"/>
      <c r="G325" s="213"/>
      <c r="H325" s="214"/>
      <c r="I325" s="49"/>
      <c r="J325" s="49"/>
      <c r="K325" s="49"/>
      <c r="L325" s="49"/>
    </row>
    <row r="326" spans="1:12">
      <c r="A326" s="9"/>
      <c r="B326" s="49"/>
      <c r="C326" s="39"/>
      <c r="D326" s="9"/>
      <c r="E326" s="9"/>
      <c r="F326" s="39"/>
      <c r="G326" s="213"/>
      <c r="H326" s="214"/>
      <c r="I326" s="49"/>
      <c r="J326" s="49"/>
      <c r="K326" s="49"/>
      <c r="L326" s="49"/>
    </row>
    <row r="327" spans="1:12">
      <c r="A327" s="9"/>
      <c r="B327" s="49"/>
      <c r="C327" s="39"/>
      <c r="D327" s="9"/>
      <c r="E327" s="9"/>
      <c r="F327" s="39"/>
      <c r="G327" s="213"/>
      <c r="H327" s="214"/>
      <c r="I327" s="49"/>
      <c r="J327" s="49"/>
      <c r="K327" s="49"/>
      <c r="L327" s="49"/>
    </row>
    <row r="328" spans="1:12">
      <c r="A328" s="9"/>
      <c r="B328" s="49"/>
      <c r="C328" s="39"/>
      <c r="D328" s="9"/>
      <c r="E328" s="9"/>
      <c r="F328" s="39"/>
      <c r="G328" s="213"/>
      <c r="H328" s="214"/>
      <c r="I328" s="49"/>
      <c r="J328" s="49"/>
      <c r="K328" s="49"/>
      <c r="L328" s="49"/>
    </row>
    <row r="329" spans="1:12">
      <c r="A329" s="9"/>
      <c r="B329" s="49"/>
      <c r="C329" s="39"/>
      <c r="D329" s="9"/>
      <c r="E329" s="9"/>
      <c r="F329" s="39"/>
      <c r="G329" s="213"/>
      <c r="H329" s="214"/>
      <c r="I329" s="49"/>
      <c r="J329" s="49"/>
      <c r="K329" s="49"/>
      <c r="L329" s="49"/>
    </row>
    <row r="330" spans="1:12">
      <c r="A330" s="9"/>
      <c r="B330" s="49"/>
      <c r="C330" s="39"/>
      <c r="D330" s="9"/>
      <c r="E330" s="9"/>
      <c r="F330" s="39"/>
      <c r="G330" s="213"/>
      <c r="H330" s="214"/>
      <c r="I330" s="49"/>
      <c r="J330" s="49"/>
      <c r="K330" s="49"/>
      <c r="L330" s="49"/>
    </row>
    <row r="331" spans="1:12">
      <c r="A331" s="9"/>
      <c r="B331" s="49"/>
      <c r="C331" s="39"/>
      <c r="D331" s="9"/>
      <c r="E331" s="9"/>
      <c r="F331" s="39"/>
      <c r="G331" s="213"/>
      <c r="H331" s="214"/>
      <c r="I331" s="49"/>
      <c r="J331" s="49"/>
      <c r="K331" s="49"/>
      <c r="L331" s="49"/>
    </row>
    <row r="332" spans="1:12">
      <c r="A332" s="9"/>
      <c r="B332" s="49"/>
      <c r="C332" s="39"/>
      <c r="D332" s="9"/>
      <c r="E332" s="9"/>
      <c r="F332" s="39"/>
      <c r="G332" s="213"/>
      <c r="H332" s="214"/>
      <c r="I332" s="49"/>
      <c r="J332" s="49"/>
      <c r="K332" s="49"/>
      <c r="L332" s="49"/>
    </row>
    <row r="333" spans="1:12">
      <c r="A333" s="9"/>
      <c r="B333" s="49"/>
      <c r="C333" s="39"/>
      <c r="D333" s="9"/>
      <c r="E333" s="9"/>
      <c r="F333" s="39"/>
      <c r="G333" s="213"/>
      <c r="H333" s="214"/>
      <c r="I333" s="49"/>
      <c r="J333" s="49"/>
      <c r="K333" s="49"/>
      <c r="L333" s="49"/>
    </row>
    <row r="334" spans="1:12">
      <c r="A334" s="9"/>
      <c r="B334" s="49"/>
      <c r="C334" s="39"/>
      <c r="D334" s="9"/>
      <c r="E334" s="9"/>
      <c r="F334" s="39"/>
      <c r="G334" s="213"/>
      <c r="H334" s="214"/>
      <c r="I334" s="49"/>
      <c r="J334" s="49"/>
      <c r="K334" s="49"/>
      <c r="L334" s="49"/>
    </row>
    <row r="335" spans="1:12">
      <c r="A335" s="9"/>
      <c r="B335" s="49"/>
      <c r="C335" s="39"/>
      <c r="D335" s="9"/>
      <c r="E335" s="9"/>
      <c r="F335" s="39"/>
      <c r="G335" s="213"/>
      <c r="H335" s="214"/>
      <c r="I335" s="49"/>
      <c r="J335" s="49"/>
      <c r="K335" s="49"/>
      <c r="L335" s="49"/>
    </row>
    <row r="336" spans="1:12">
      <c r="A336" s="9"/>
      <c r="B336" s="49"/>
      <c r="C336" s="39"/>
      <c r="D336" s="9"/>
      <c r="E336" s="9"/>
      <c r="F336" s="39"/>
      <c r="G336" s="213"/>
      <c r="H336" s="214"/>
      <c r="I336" s="49"/>
      <c r="J336" s="49"/>
      <c r="K336" s="49"/>
      <c r="L336" s="49"/>
    </row>
    <row r="337" spans="1:12">
      <c r="A337" s="9"/>
      <c r="B337" s="49"/>
      <c r="C337" s="39"/>
      <c r="D337" s="9"/>
      <c r="E337" s="9"/>
      <c r="F337" s="39"/>
      <c r="G337" s="213"/>
      <c r="H337" s="214"/>
      <c r="I337" s="49"/>
      <c r="J337" s="49"/>
      <c r="K337" s="49"/>
      <c r="L337" s="49"/>
    </row>
    <row r="338" spans="1:12">
      <c r="A338" s="9"/>
      <c r="B338" s="49"/>
      <c r="C338" s="39"/>
      <c r="D338" s="9"/>
      <c r="E338" s="9"/>
      <c r="F338" s="39"/>
      <c r="G338" s="213"/>
      <c r="H338" s="214"/>
      <c r="I338" s="49"/>
      <c r="J338" s="49"/>
      <c r="K338" s="49"/>
      <c r="L338" s="49"/>
    </row>
    <row r="339" spans="1:12">
      <c r="A339" s="9"/>
      <c r="B339" s="49"/>
      <c r="C339" s="39"/>
      <c r="D339" s="9"/>
      <c r="E339" s="9"/>
      <c r="F339" s="39"/>
      <c r="G339" s="213"/>
      <c r="H339" s="214"/>
      <c r="I339" s="49"/>
      <c r="J339" s="49"/>
      <c r="K339" s="49"/>
      <c r="L339" s="49"/>
    </row>
    <row r="340" spans="1:12">
      <c r="A340" s="9"/>
      <c r="B340" s="49"/>
      <c r="C340" s="39"/>
      <c r="D340" s="9"/>
      <c r="E340" s="9"/>
      <c r="F340" s="39"/>
      <c r="G340" s="213"/>
      <c r="H340" s="214"/>
      <c r="I340" s="49"/>
      <c r="J340" s="49"/>
      <c r="K340" s="49"/>
      <c r="L340" s="49"/>
    </row>
    <row r="341" spans="1:12">
      <c r="A341" s="9"/>
      <c r="B341" s="49"/>
      <c r="C341" s="39"/>
      <c r="D341" s="9"/>
      <c r="E341" s="9"/>
      <c r="F341" s="39"/>
      <c r="G341" s="213"/>
      <c r="H341" s="214"/>
      <c r="I341" s="49"/>
      <c r="J341" s="49"/>
      <c r="K341" s="49"/>
      <c r="L341" s="49"/>
    </row>
    <row r="342" spans="1:12">
      <c r="A342" s="9"/>
      <c r="B342" s="49"/>
      <c r="C342" s="39"/>
      <c r="D342" s="9"/>
      <c r="E342" s="9"/>
      <c r="F342" s="39"/>
      <c r="G342" s="213"/>
      <c r="H342" s="214"/>
      <c r="I342" s="49"/>
      <c r="J342" s="49"/>
      <c r="K342" s="49"/>
      <c r="L342" s="49"/>
    </row>
    <row r="343" spans="1:12">
      <c r="A343" s="9"/>
      <c r="B343" s="49"/>
      <c r="C343" s="39"/>
      <c r="D343" s="9"/>
      <c r="E343" s="9"/>
      <c r="F343" s="39"/>
      <c r="G343" s="213"/>
      <c r="H343" s="214"/>
      <c r="I343" s="49"/>
      <c r="J343" s="49"/>
      <c r="K343" s="49"/>
      <c r="L343" s="49"/>
    </row>
    <row r="344" spans="1:12">
      <c r="A344" s="9"/>
      <c r="B344" s="49"/>
      <c r="C344" s="39"/>
      <c r="D344" s="9"/>
      <c r="E344" s="9"/>
      <c r="F344" s="39"/>
      <c r="G344" s="213"/>
      <c r="H344" s="214"/>
      <c r="I344" s="49"/>
      <c r="J344" s="49"/>
      <c r="K344" s="49"/>
      <c r="L344" s="49"/>
    </row>
    <row r="345" spans="1:12">
      <c r="A345" s="9"/>
      <c r="B345" s="49"/>
      <c r="C345" s="39"/>
      <c r="D345" s="9"/>
      <c r="E345" s="9"/>
      <c r="F345" s="39"/>
      <c r="G345" s="213"/>
      <c r="H345" s="214"/>
      <c r="I345" s="49"/>
      <c r="J345" s="49"/>
      <c r="K345" s="49"/>
      <c r="L345" s="49"/>
    </row>
    <row r="346" spans="1:12">
      <c r="A346" s="9"/>
      <c r="B346" s="49"/>
      <c r="C346" s="39"/>
      <c r="D346" s="9"/>
      <c r="E346" s="9"/>
      <c r="F346" s="39"/>
      <c r="G346" s="213"/>
      <c r="H346" s="214"/>
      <c r="I346" s="49"/>
      <c r="J346" s="49"/>
      <c r="K346" s="49"/>
      <c r="L346" s="49"/>
    </row>
    <row r="347" spans="1:12">
      <c r="A347" s="9"/>
      <c r="B347" s="49"/>
      <c r="C347" s="39"/>
      <c r="D347" s="9"/>
      <c r="E347" s="9"/>
      <c r="F347" s="39"/>
      <c r="G347" s="213"/>
      <c r="H347" s="214"/>
      <c r="I347" s="49"/>
      <c r="J347" s="49"/>
      <c r="K347" s="49"/>
      <c r="L347" s="49"/>
    </row>
    <row r="348" spans="1:12">
      <c r="A348" s="9"/>
      <c r="B348" s="49"/>
      <c r="C348" s="39"/>
      <c r="D348" s="9"/>
      <c r="E348" s="9"/>
      <c r="F348" s="39"/>
      <c r="G348" s="213"/>
      <c r="H348" s="214"/>
      <c r="I348" s="49"/>
      <c r="J348" s="49"/>
      <c r="K348" s="49"/>
      <c r="L348" s="49"/>
    </row>
    <row r="349" spans="1:12">
      <c r="A349" s="9"/>
      <c r="B349" s="49"/>
      <c r="C349" s="39"/>
      <c r="D349" s="9"/>
      <c r="E349" s="9"/>
      <c r="F349" s="39"/>
      <c r="G349" s="213"/>
      <c r="H349" s="214"/>
      <c r="I349" s="49"/>
      <c r="J349" s="49"/>
      <c r="K349" s="49"/>
      <c r="L349" s="49"/>
    </row>
    <row r="350" spans="1:12">
      <c r="A350" s="9"/>
      <c r="B350" s="49"/>
      <c r="C350" s="39"/>
      <c r="D350" s="9"/>
      <c r="E350" s="9"/>
      <c r="F350" s="39"/>
      <c r="G350" s="213"/>
      <c r="H350" s="214"/>
      <c r="I350" s="49"/>
      <c r="J350" s="49"/>
      <c r="K350" s="49"/>
      <c r="L350" s="49"/>
    </row>
    <row r="351" spans="1:12">
      <c r="A351" s="9"/>
      <c r="B351" s="49"/>
      <c r="C351" s="39"/>
      <c r="D351" s="9"/>
      <c r="E351" s="9"/>
      <c r="F351" s="39"/>
      <c r="G351" s="213"/>
      <c r="H351" s="214"/>
      <c r="I351" s="49"/>
      <c r="J351" s="49"/>
      <c r="K351" s="49"/>
      <c r="L351" s="49"/>
    </row>
    <row r="352" spans="1:12">
      <c r="A352" s="9"/>
      <c r="B352" s="49"/>
      <c r="C352" s="39"/>
      <c r="D352" s="9"/>
      <c r="E352" s="9"/>
      <c r="F352" s="39"/>
      <c r="G352" s="213"/>
      <c r="H352" s="214"/>
      <c r="I352" s="49"/>
      <c r="J352" s="49"/>
      <c r="K352" s="49"/>
      <c r="L352" s="49"/>
    </row>
    <row r="353" spans="1:12">
      <c r="A353" s="9"/>
      <c r="B353" s="49"/>
      <c r="C353" s="39"/>
      <c r="D353" s="9"/>
      <c r="E353" s="9"/>
      <c r="F353" s="39"/>
      <c r="G353" s="213"/>
      <c r="H353" s="214"/>
      <c r="I353" s="49"/>
      <c r="J353" s="49"/>
      <c r="K353" s="49"/>
      <c r="L353" s="49"/>
    </row>
    <row r="354" spans="1:12">
      <c r="A354" s="9"/>
      <c r="B354" s="49"/>
      <c r="C354" s="39"/>
      <c r="D354" s="9"/>
      <c r="E354" s="9"/>
      <c r="F354" s="39"/>
      <c r="G354" s="213"/>
      <c r="H354" s="214"/>
      <c r="I354" s="49"/>
      <c r="J354" s="49"/>
      <c r="K354" s="49"/>
      <c r="L354" s="49"/>
    </row>
    <row r="355" spans="1:12">
      <c r="A355" s="9"/>
      <c r="B355" s="49"/>
      <c r="C355" s="39"/>
      <c r="D355" s="9"/>
      <c r="E355" s="9"/>
      <c r="F355" s="39"/>
      <c r="G355" s="213"/>
      <c r="H355" s="214"/>
      <c r="I355" s="49"/>
      <c r="J355" s="49"/>
      <c r="K355" s="49"/>
      <c r="L355" s="49"/>
    </row>
    <row r="356" spans="1:12">
      <c r="A356" s="9"/>
      <c r="B356" s="49"/>
      <c r="C356" s="39"/>
      <c r="D356" s="9"/>
      <c r="E356" s="9"/>
      <c r="F356" s="39"/>
      <c r="G356" s="213"/>
      <c r="H356" s="214"/>
      <c r="I356" s="49"/>
      <c r="J356" s="49"/>
      <c r="K356" s="49"/>
      <c r="L356" s="49"/>
    </row>
    <row r="357" spans="1:12">
      <c r="A357" s="9"/>
      <c r="B357" s="49"/>
      <c r="C357" s="39"/>
      <c r="D357" s="9"/>
      <c r="E357" s="9"/>
      <c r="F357" s="39"/>
      <c r="G357" s="213"/>
      <c r="H357" s="214"/>
      <c r="I357" s="49"/>
      <c r="J357" s="49"/>
      <c r="K357" s="49"/>
      <c r="L357" s="49"/>
    </row>
    <row r="358" spans="1:12">
      <c r="A358" s="9"/>
      <c r="B358" s="49"/>
      <c r="C358" s="39"/>
      <c r="D358" s="9"/>
      <c r="E358" s="9"/>
      <c r="F358" s="39"/>
      <c r="G358" s="213"/>
      <c r="H358" s="214"/>
      <c r="I358" s="49"/>
      <c r="J358" s="49"/>
      <c r="K358" s="49"/>
      <c r="L358" s="49"/>
    </row>
    <row r="359" spans="1:12">
      <c r="A359" s="9"/>
      <c r="B359" s="49"/>
      <c r="C359" s="39"/>
      <c r="D359" s="9"/>
      <c r="E359" s="9"/>
      <c r="F359" s="39"/>
      <c r="G359" s="213"/>
      <c r="H359" s="214"/>
      <c r="I359" s="49"/>
      <c r="J359" s="49"/>
      <c r="K359" s="49"/>
      <c r="L359" s="49"/>
    </row>
    <row r="360" spans="1:12">
      <c r="A360" s="9"/>
      <c r="B360" s="49"/>
      <c r="C360" s="39"/>
      <c r="D360" s="9"/>
      <c r="E360" s="9"/>
      <c r="F360" s="39"/>
      <c r="G360" s="213"/>
      <c r="H360" s="214"/>
      <c r="I360" s="49"/>
      <c r="J360" s="49"/>
      <c r="K360" s="49"/>
      <c r="L360" s="49"/>
    </row>
    <row r="361" spans="1:12">
      <c r="A361" s="9"/>
      <c r="B361" s="49"/>
      <c r="C361" s="39"/>
      <c r="D361" s="9"/>
      <c r="E361" s="9"/>
      <c r="F361" s="39"/>
      <c r="G361" s="213"/>
      <c r="H361" s="214"/>
      <c r="I361" s="49"/>
      <c r="J361" s="49"/>
      <c r="K361" s="49"/>
      <c r="L361" s="49"/>
    </row>
    <row r="362" spans="1:12">
      <c r="A362" s="9"/>
      <c r="B362" s="49"/>
      <c r="C362" s="39"/>
      <c r="D362" s="9"/>
      <c r="E362" s="9"/>
      <c r="F362" s="39"/>
      <c r="G362" s="213"/>
      <c r="H362" s="214"/>
      <c r="I362" s="49"/>
      <c r="J362" s="49"/>
      <c r="K362" s="49"/>
      <c r="L362" s="49"/>
    </row>
    <row r="363" spans="1:12">
      <c r="A363" s="9"/>
      <c r="B363" s="49"/>
      <c r="C363" s="39"/>
      <c r="D363" s="9"/>
      <c r="E363" s="9"/>
      <c r="F363" s="39"/>
      <c r="G363" s="213"/>
      <c r="H363" s="214"/>
      <c r="I363" s="49"/>
      <c r="J363" s="49"/>
      <c r="K363" s="49"/>
      <c r="L363" s="49"/>
    </row>
    <row r="364" spans="1:12">
      <c r="A364" s="9"/>
      <c r="B364" s="49"/>
      <c r="C364" s="39"/>
      <c r="D364" s="9"/>
      <c r="E364" s="9"/>
      <c r="F364" s="39"/>
      <c r="G364" s="213"/>
      <c r="H364" s="214"/>
      <c r="I364" s="49"/>
      <c r="J364" s="49"/>
      <c r="K364" s="49"/>
      <c r="L364" s="49"/>
    </row>
    <row r="365" spans="1:12">
      <c r="A365" s="35"/>
      <c r="B365" s="49"/>
      <c r="C365" s="39"/>
      <c r="D365" s="35"/>
      <c r="E365" s="35"/>
      <c r="F365" s="39"/>
      <c r="G365" s="213"/>
      <c r="H365" s="214"/>
      <c r="I365" s="49"/>
      <c r="J365" s="49"/>
      <c r="K365" s="49"/>
      <c r="L365" s="49"/>
    </row>
    <row r="1048550" spans="1:6">
      <c r="F1048550" s="14" t="s">
        <v>575</v>
      </c>
    </row>
    <row r="1048559" spans="1:6">
      <c r="A1048559" s="9"/>
    </row>
  </sheetData>
  <hyperlinks>
    <hyperlink ref="C2" r:id="rId1" display="21867778" xr:uid="{9DD614F8-E1DF-4FE1-B3AE-8DC260E169E7}"/>
    <hyperlink ref="C3" r:id="rId2" display="1" xr:uid="{4B6A2CBE-53B1-4FF5-925A-AD585E04DB68}"/>
    <hyperlink ref="E2" r:id="rId3" xr:uid="{D28C1072-178C-45F3-929D-B3837F54AA3E}"/>
    <hyperlink ref="C4" r:id="rId4" display="21868950" xr:uid="{A2C29904-2520-40BB-9231-02EE6004397F}"/>
    <hyperlink ref="C5" r:id="rId5" display="652" xr:uid="{BC8C8815-6C74-42FD-A842-D327AFD39809}"/>
    <hyperlink ref="E3" r:id="rId6" xr:uid="{BD6DD553-354D-4489-BDBB-B55E65FC49FF}"/>
    <hyperlink ref="E4" r:id="rId7" xr:uid="{6FC32DD4-C585-4300-AF9F-263AE63BCFE2}"/>
    <hyperlink ref="E5" r:id="rId8" xr:uid="{C520333F-D957-4D4F-A7C8-53373A325BF7}"/>
    <hyperlink ref="C6" r:id="rId9" display="656" xr:uid="{B67A616A-9B9A-4EFE-A34E-4DC1A0D167CA}"/>
    <hyperlink ref="F2" r:id="rId10" display="1178900" xr:uid="{F5140CBF-028E-4A3A-AE7A-A5114C209660}"/>
    <hyperlink ref="C7" r:id="rId11" display="753289" xr:uid="{8781C734-08C6-4D9D-96E2-48D3FDC45AD9}"/>
    <hyperlink ref="E6" r:id="rId12" xr:uid="{448D5BF9-4010-4F15-803A-7D44EA5994D9}"/>
    <hyperlink ref="F3" r:id="rId13" display="1102" xr:uid="{3239DBA0-6F77-4505-BA94-E5FEB8FA18A8}"/>
    <hyperlink ref="C8" r:id="rId14" display="658" xr:uid="{85850A56-97B1-43F9-95EF-DCF213AD0C37}"/>
    <hyperlink ref="F5" r:id="rId15" display="547" xr:uid="{41860993-4516-40EE-9AC7-6306E6F7B830}"/>
    <hyperlink ref="E7" r:id="rId16" xr:uid="{6B59D711-7EB1-4ABD-A77F-904C1106F7CA}"/>
    <hyperlink ref="F7" r:id="rId17" display="769322" xr:uid="{C63D31AA-2AC0-4518-85A6-CE8F5EF02918}"/>
    <hyperlink ref="F6" r:id="rId18" display="549" xr:uid="{F3E4B868-C984-4C82-BD04-C036704C3804}"/>
    <hyperlink ref="C9" r:id="rId19" display="901" xr:uid="{72DF82C4-11F1-4F50-9BF3-B314093F12FD}"/>
    <hyperlink ref="E8" r:id="rId20" xr:uid="{E792225A-64BE-4E14-960E-82E87932B398}"/>
    <hyperlink ref="E9" r:id="rId21" xr:uid="{40AF23B5-CFD4-41F2-8E6E-25BAC629C4A6}"/>
    <hyperlink ref="C10" r:id="rId22" display="3311" xr:uid="{7D3474AD-CE66-416E-9C72-776C6A0C8696}"/>
    <hyperlink ref="F11" r:id="rId23" display="912" xr:uid="{DAB3AC1C-73A8-417B-B9D8-0CBB5248B16D}"/>
    <hyperlink ref="E10" r:id="rId24" xr:uid="{BEAD1F0B-2C4C-4721-8FD2-385DF0FF82FE}"/>
    <hyperlink ref="F10" r:id="rId25" display="1264" xr:uid="{28A297F4-A8A3-43D2-80E2-4781ADD69EAD}"/>
    <hyperlink ref="C13" r:id="rId26" display="449" xr:uid="{8670BF5B-13F5-411F-B1CD-7A0E6F491EDE}"/>
    <hyperlink ref="C12" r:id="rId27" display="450" xr:uid="{15FF860D-F50A-42D0-8334-7FF9993CC1ED}"/>
    <hyperlink ref="F12" r:id="rId28" display="1091" xr:uid="{FC5C5E2F-66E5-4AFD-A6BC-FAE88CC66764}"/>
    <hyperlink ref="F13" r:id="rId29" display="1090" xr:uid="{429A78AD-767B-4617-88C6-33A02D8CB7D9}"/>
    <hyperlink ref="C15" r:id="rId30" xr:uid="{A4302DFF-BF31-42A2-9ECE-256BC3F22E6D}"/>
    <hyperlink ref="C16" r:id="rId31" display="7531" xr:uid="{8DA99861-BC8E-4955-A1D6-89DFDBF78012}"/>
    <hyperlink ref="E16" r:id="rId32" xr:uid="{25416193-9F4B-426A-A083-3061817B62A7}"/>
    <hyperlink ref="E17" r:id="rId33" xr:uid="{70D5F760-2F40-49D1-8CB8-E730E1E7193C}"/>
    <hyperlink ref="C17" r:id="rId34" display="59746" xr:uid="{030225AA-6A29-4036-8810-1429B3E3C6FB}"/>
    <hyperlink ref="C18" r:id="rId35" display="6242" xr:uid="{9744476F-3C5E-45AC-BA9A-961BD57F06AC}"/>
    <hyperlink ref="C19" r:id="rId36" display="3351" xr:uid="{440FD380-6F0A-48C2-9B43-F138D5FA4C14}"/>
    <hyperlink ref="F8" r:id="rId37" display="577" xr:uid="{A1092CE4-A62F-4F13-9C12-DDF7690A87D8}"/>
    <hyperlink ref="C14" r:id="rId38" xr:uid="{FCD614F0-2904-4853-A3B5-C34FDB273B3D}"/>
    <hyperlink ref="C20" r:id="rId39" display="26022025" xr:uid="{77B3D5AD-08AC-443E-8ABA-933753086540}"/>
    <hyperlink ref="E19" r:id="rId40" xr:uid="{76B98F9D-C325-47AF-B463-D79B273C29AE}"/>
    <hyperlink ref="E14" r:id="rId41" xr:uid="{2E76374D-3C3B-49C1-8219-0C8CEA7B5891}"/>
    <hyperlink ref="E20" r:id="rId42" xr:uid="{730509D3-595A-4CAB-A6EA-738864E3C90F}"/>
    <hyperlink ref="E18" r:id="rId43" xr:uid="{0F41B3AF-F891-4D2E-8D9C-1240CF5D6A51}"/>
    <hyperlink ref="C21" r:id="rId44" display="3343" xr:uid="{AB609D99-0F8B-41F8-81F2-C254172BA6FF}"/>
    <hyperlink ref="F19" r:id="rId45" display="FACTURA N° 1280 SAN BERNARDO PIOLA ACELERADOR DE CUERPO BOMBA B-8.pdf" xr:uid="{25E28BDE-38BE-4323-B29A-C2B79C7C4C18}"/>
    <hyperlink ref="C23" r:id="rId46" xr:uid="{E50C58B4-9C78-4FA2-B28B-65CEE89EF64C}"/>
    <hyperlink ref="C24" r:id="rId47" xr:uid="{DFA05275-5C51-48E1-99F6-5232ACE2D2A1}"/>
    <hyperlink ref="C25" r:id="rId48" display="7616" xr:uid="{2CACF6F9-8BD4-4566-8E07-DDDE976194EB}"/>
    <hyperlink ref="C26" r:id="rId49" display="7617" xr:uid="{C640E65C-A324-44DC-82BA-3BCE4454EA53}"/>
    <hyperlink ref="C27" r:id="rId50" display="7628" xr:uid="{811DA45D-A975-4372-9748-F1710940CB96}"/>
    <hyperlink ref="C28" r:id="rId51" display="7626" xr:uid="{79068082-DD53-46D2-A0E7-699C194FBE61}"/>
    <hyperlink ref="F14" r:id="rId52" display="1571001" xr:uid="{9324D4C6-6A32-49AF-ACDA-8B5F5E1ACAA6}"/>
    <hyperlink ref="F16" r:id="rId53" display="7531" xr:uid="{DF426A2E-5321-46BC-AA4A-3A78F11D47DB}"/>
    <hyperlink ref="F17" r:id="rId54" display="84434" xr:uid="{318309B7-8664-47B4-8FC6-C9881205640D}"/>
    <hyperlink ref="F18" r:id="rId55" display="47423" xr:uid="{3C169D13-5F20-4DF9-BAA0-22800151FB55}"/>
    <hyperlink ref="C29" r:id="rId56" display="4795899000082560000,00" xr:uid="{08CAE832-FF5E-4DBD-8FDE-7AAC50FB3F0D}"/>
    <hyperlink ref="E29" r:id="rId57" xr:uid="{D5B61D15-618F-4015-B162-967F08283D49}"/>
    <hyperlink ref="F29" r:id="rId58" display="1188329" xr:uid="{85676C01-D66D-44BE-9FF8-653CEA71FF74}"/>
    <hyperlink ref="C30" r:id="rId59" display="708098901" xr:uid="{4D474518-A58A-4DD3-8DA9-A19E39F30DD1}"/>
    <hyperlink ref="C31" r:id="rId60" display="60735" xr:uid="{EA958542-651D-4A67-984F-9B003DC29AAA}"/>
    <hyperlink ref="C32" r:id="rId61" xr:uid="{6E1CB448-0CCE-4262-A928-08717D49A211}"/>
    <hyperlink ref="C35" r:id="rId62" display="13479" xr:uid="{40B3342B-5700-412F-8095-54543A332FB7}"/>
    <hyperlink ref="E35" r:id="rId63" xr:uid="{8C3377F0-FB21-4128-B419-BC3D0B0FF8BB}"/>
    <hyperlink ref="E31" r:id="rId64" xr:uid="{67B0D785-9D80-460E-B72B-1997B138DDCA}"/>
    <hyperlink ref="E33" r:id="rId65" xr:uid="{C7A6421C-1911-4468-8830-4CBB2515F7EB}"/>
    <hyperlink ref="E32" r:id="rId66" xr:uid="{5D91AB51-A745-4674-BBD0-C969EE0F57F6}"/>
    <hyperlink ref="E30" r:id="rId67" xr:uid="{D4E0D90B-6B39-4358-B885-4493829DE98C}"/>
    <hyperlink ref="F32" r:id="rId68" display="1578879" xr:uid="{36420DD0-AE40-458D-9FC5-53D213EE4F0B}"/>
    <hyperlink ref="C36" r:id="rId69" xr:uid="{810AB85C-4651-408A-BF49-EE677F69EA11}"/>
    <hyperlink ref="C38" r:id="rId70" display="716" xr:uid="{3CBA0074-BB88-42DF-9715-B12DB6B86EFF}"/>
    <hyperlink ref="C42" r:id="rId71" display="61100" xr:uid="{44E2135F-82CD-4182-83C5-0F88F08FC6F6}"/>
    <hyperlink ref="C43" r:id="rId72" display="11531" xr:uid="{C3763DF0-7938-47B3-B0B3-557C66395C54}"/>
    <hyperlink ref="C37" r:id="rId73" display="7707" xr:uid="{E04AC634-691F-4C51-93A8-085C6F8EB956}"/>
    <hyperlink ref="C39" r:id="rId74" display="23218876" xr:uid="{4A92D406-4C54-4A45-9C04-BC01386DF560}"/>
    <hyperlink ref="C44" r:id="rId75" display="320" xr:uid="{510BBE40-F02F-4ADD-8F46-CED14DD8F4FA}"/>
    <hyperlink ref="C46" r:id="rId76" display="319" xr:uid="{2FDD0013-BAAF-47C8-8024-7397B2FEFBA8}"/>
    <hyperlink ref="C47" r:id="rId77" display="11678" xr:uid="{02544712-8315-4FBC-91ED-A101DBC94A40}"/>
    <hyperlink ref="E21" r:id="rId78" xr:uid="{8F3296E4-D32A-4E5A-B7B8-B14BC2F6EA92}"/>
    <hyperlink ref="E23" r:id="rId79" xr:uid="{0742FB20-CC75-4FB4-8AC0-F61CAA44DA6C}"/>
    <hyperlink ref="E24" r:id="rId80" xr:uid="{8BB035E7-A467-4158-8CA0-256580FE4BEB}"/>
    <hyperlink ref="F23" r:id="rId81" display="1578246" xr:uid="{A31E4D8B-2AF1-4CBA-A0AD-6C0ACE029690}"/>
    <hyperlink ref="F24" r:id="rId82" display="48124" xr:uid="{D7FE26F0-CD60-48F5-8139-2441B96B5012}"/>
    <hyperlink ref="C48" r:id="rId83" display="https://cuerpodebomberos.sharepoint.com/:b:/r/sites/MaterialMayor/Documentos%20compartidos/Material%20Mayor%202025/Cotizaciones%202025/Cotizaci%C3%B3n_0708159268%20PULMON%20RX4.pdf?csf=1&amp;web=1&amp;e=c9wAda" xr:uid="{AC9E0429-6203-4399-A397-8A9824063C9F}"/>
    <hyperlink ref="E36" r:id="rId84" xr:uid="{B3FE48EF-4066-495B-B03E-B691555E69A6}"/>
    <hyperlink ref="E37" r:id="rId85" xr:uid="{CCC0204A-06C7-44CA-A6CB-C10AF614C284}"/>
    <hyperlink ref="E38" r:id="rId86" xr:uid="{BC14ADBC-41B2-48EB-839C-9F1393B95709}"/>
    <hyperlink ref="E39" r:id="rId87" xr:uid="{DF9575B2-4919-4977-B3A6-28B8BBE82517}"/>
    <hyperlink ref="E43" r:id="rId88" xr:uid="{BDACDA36-617C-4E95-B930-57A338A12071}"/>
    <hyperlink ref="E42" r:id="rId89" xr:uid="{4869903E-63D8-48D0-88EA-EDB9A4E81EB4}"/>
    <hyperlink ref="E44" r:id="rId90" xr:uid="{47807F25-0E57-4D14-A309-206D76524F51}"/>
    <hyperlink ref="E46" r:id="rId91" xr:uid="{9A7A1F0F-B115-4378-B09B-25B3C067A1D7}"/>
    <hyperlink ref="E47" r:id="rId92" xr:uid="{A55DDDAA-3045-407B-807B-A296A7DE5D91}"/>
    <hyperlink ref="C40" r:id="rId93" display="7749" xr:uid="{A194E73B-AC34-4938-87C0-28EE0B1C4BBE}"/>
    <hyperlink ref="C41" r:id="rId94" display="7750" xr:uid="{94C8C782-4842-4717-A026-E63D3DA2E769}"/>
    <hyperlink ref="C45" r:id="rId95" display="22042025" xr:uid="{3B553F89-0E0C-4DBE-A2C7-3DA616436156}"/>
    <hyperlink ref="E48" r:id="rId96" xr:uid="{BA4BA8BC-D695-4834-9516-C2E71B131C19}"/>
    <hyperlink ref="C56" r:id="rId97" xr:uid="{17F925EF-5F35-4707-ACFF-57B71D25B981}"/>
    <hyperlink ref="F38" r:id="rId98" display="575" xr:uid="{E728737F-24ED-4848-8666-52D26284C575}"/>
    <hyperlink ref="C58" r:id="rId99" display="67643" xr:uid="{A5510492-34E7-461A-A4BD-CCB45C77327F}"/>
    <hyperlink ref="C59" r:id="rId100" display="67643" xr:uid="{22BD6515-3FA9-43C4-98A5-5855A01013D9}"/>
    <hyperlink ref="C57" r:id="rId101" display="61990" xr:uid="{14FC097C-4A22-4B2A-986F-887708DAC54D}"/>
    <hyperlink ref="C49" r:id="rId102" xr:uid="{E7887410-EB06-4114-8A9A-ECAC6EB47621}"/>
    <hyperlink ref="C50" r:id="rId103" display="16563" xr:uid="{CB2FFBF0-133A-4040-A9FD-51E023225B58}"/>
    <hyperlink ref="C51" r:id="rId104" display="3432" xr:uid="{A73E1C63-2295-48C1-AB69-9A6A0ADA66D0}"/>
    <hyperlink ref="C52" r:id="rId105" display="600" xr:uid="{7CE72110-D92C-46EF-9879-38DA7C8C7CDA}"/>
    <hyperlink ref="F52" r:id="rId106" display="511" xr:uid="{F8F87754-CCF8-48AF-90AD-50FDB33A53A1}"/>
    <hyperlink ref="C54" r:id="rId107" display="11747" xr:uid="{AF841139-1E3E-4215-BD2F-25D8444EA6FA}"/>
    <hyperlink ref="E54" r:id="rId108" xr:uid="{9EDCF0DB-7113-4F79-A6FB-58E6AC242F51}"/>
    <hyperlink ref="F54" r:id="rId109" display="3240" xr:uid="{50280562-CC0E-4A73-B922-2BEC6946B6DF}"/>
    <hyperlink ref="C60" r:id="rId110" display="3444" xr:uid="{7D6FE6CF-2CF9-4418-B049-AE10F499AE23}"/>
    <hyperlink ref="C63" r:id="rId111" display="3443" xr:uid="{66B03174-63CC-4DBD-9EFE-BE923AC3212D}"/>
    <hyperlink ref="C65" r:id="rId112" display="3447" xr:uid="{32457B8D-70BF-4106-8629-7340741E9F87}"/>
    <hyperlink ref="C64" r:id="rId113" display="3446" xr:uid="{98DF618E-154A-45F3-B4B3-78B477D6B27C}"/>
    <hyperlink ref="C66" r:id="rId114" display="3445" xr:uid="{781999C5-B951-4543-8F79-D92B8CDA25C2}"/>
    <hyperlink ref="C55" r:id="rId115" display="7015" xr:uid="{AFB63653-CBEE-4E1F-985A-8B555135A720}"/>
    <hyperlink ref="C67" r:id="rId116" xr:uid="{41EFDA78-6588-475B-B364-17C97BDDB79F}"/>
    <hyperlink ref="C53" r:id="rId117" display="11811" xr:uid="{EFB705C5-04B1-48D1-8848-8E385559D69F}"/>
    <hyperlink ref="E67" r:id="rId118" xr:uid="{7012664B-8AE3-4CA5-BCD0-2D49D5AD88FA}"/>
    <hyperlink ref="E55" r:id="rId119" xr:uid="{C37EA666-BD75-4EA0-8878-1B91685B0B36}"/>
    <hyperlink ref="E58" r:id="rId120" xr:uid="{649E3127-E528-4533-AA31-FBA2283342AE}"/>
    <hyperlink ref="E59" r:id="rId121" xr:uid="{FBF972EE-A28B-4602-8F49-0BCE5C87294D}"/>
    <hyperlink ref="C62" r:id="rId122" display="3443" xr:uid="{F8A5799C-DD68-48E2-80AF-9ED20898D02B}"/>
    <hyperlink ref="E61" r:id="rId123" xr:uid="{C349F07C-E7D6-488D-B6DB-226D0928E2C9}"/>
    <hyperlink ref="E65" r:id="rId124" xr:uid="{550887D8-8FAA-4EB8-AE53-D59572656099}"/>
    <hyperlink ref="E66" r:id="rId125" xr:uid="{B7833A54-6658-4AAF-B4E8-8D1A6953A2CF}"/>
    <hyperlink ref="F58" r:id="rId126" display="1397497" xr:uid="{AA2E0A2B-FBD7-4F08-A12A-D91C949A0D8C}"/>
    <hyperlink ref="F59" r:id="rId127" display="1397497" xr:uid="{B0F7AA1B-6129-4A7C-BF06-65B356E5173C}"/>
    <hyperlink ref="E62" r:id="rId128" xr:uid="{010D7CF6-7D91-43B6-BDFA-E713458F0262}"/>
    <hyperlink ref="E63" r:id="rId129" xr:uid="{F1E952E7-CE53-4674-B07D-DB91B592A44D}"/>
    <hyperlink ref="E64" r:id="rId130" xr:uid="{74750A48-4901-4B81-B0D1-DFEBDE5DD0F1}"/>
    <hyperlink ref="C68" r:id="rId131" display="13660" xr:uid="{3F510394-1ABB-4D31-A8F7-A1AF7092A212}"/>
    <hyperlink ref="E68" r:id="rId132" xr:uid="{CEB166F9-BAAA-4D5E-9540-1CCE41635350}"/>
    <hyperlink ref="F68" r:id="rId133" display="14757" xr:uid="{8EC61743-1EDD-4D8E-AACD-71DF772E9EF0}"/>
    <hyperlink ref="E56" r:id="rId134" xr:uid="{DF1D3827-8D82-4042-9FFE-8B210C768088}"/>
    <hyperlink ref="C69" r:id="rId135" display="14064" xr:uid="{30527D1B-B4D1-4027-8467-A536D41FCE9B}"/>
    <hyperlink ref="E69" r:id="rId136" xr:uid="{EA0C05DF-3938-431D-957F-C30B90BEB3B0}"/>
    <hyperlink ref="F56" r:id="rId137" display="711" xr:uid="{B1088859-8A43-41BF-976B-CD73574AE360}"/>
    <hyperlink ref="F67" r:id="rId138" display="100545" xr:uid="{AC12E6E3-A111-480D-A733-7F1CA25DDF14}"/>
    <hyperlink ref="F69" r:id="rId139" display="9444" xr:uid="{A3F8B41C-1C9B-45E3-93E7-E5941AFB5E82}"/>
    <hyperlink ref="C73" r:id="rId140" display="1555" xr:uid="{3317F775-5419-442D-B448-432218212F14}"/>
    <hyperlink ref="C72" r:id="rId141" xr:uid="{CDC97692-00C9-49F9-AC6A-76888D0F1F48}"/>
    <hyperlink ref="E70" r:id="rId142" xr:uid="{92D8BEF7-44F0-4099-AAEF-F6256D9277E0}"/>
    <hyperlink ref="C70" r:id="rId143" display="1001" xr:uid="{A69DFD98-DB2C-456E-BF1A-8E3B739E3D4E}"/>
    <hyperlink ref="C71" r:id="rId144" display="102372722" xr:uid="{14225026-0ED9-422E-AB73-B8DFCB425E96}"/>
    <hyperlink ref="C74" r:id="rId145" display="473" xr:uid="{AB0319F5-1938-4C7A-B695-0198975D1A02}"/>
    <hyperlink ref="E50" r:id="rId146" xr:uid="{A6F1F993-BEA9-4925-A6E1-E3DBDE1FA711}"/>
    <hyperlink ref="C75" r:id="rId147" display="1303675867" xr:uid="{54CB3159-7921-4511-8229-88ECF2433931}"/>
    <hyperlink ref="F76" r:id="rId148" display="117" xr:uid="{F2B9B617-C8A0-497E-AA49-D23D1D38ADD3}"/>
    <hyperlink ref="E76" r:id="rId149" xr:uid="{A8C6A3F0-5313-4BB6-802E-4586CC7499B8}"/>
    <hyperlink ref="C76" r:id="rId150" xr:uid="{3231DE2C-A638-43D4-A63E-07D1390E1F99}"/>
    <hyperlink ref="C78" r:id="rId151" display="11929198" xr:uid="{90DBFAE4-DCFC-49B5-B623-B56A3A84D290}"/>
    <hyperlink ref="C77" r:id="rId152" display="102382033" xr:uid="{7F07DFC2-CE7B-4542-850C-3334E5420306}"/>
    <hyperlink ref="E77" r:id="rId153" xr:uid="{12FEEE77-C950-4A79-A636-CA5FB3AF382C}"/>
    <hyperlink ref="C79" r:id="rId154" display="172543" xr:uid="{29B83051-3CBA-473B-B504-D4A47BA834BD}"/>
    <hyperlink ref="C80" r:id="rId155" display="102387923" xr:uid="{79DE9AF5-FBFA-4670-B454-19D544B8E5AE}"/>
    <hyperlink ref="C82" r:id="rId156" display="2249" xr:uid="{D377E94C-3037-4510-9D9C-ABFA7BDC9624}"/>
    <hyperlink ref="C81" r:id="rId157" display="2250" xr:uid="{1978276E-CA65-4274-9FC0-C9A55D24E43C}"/>
    <hyperlink ref="C83" r:id="rId158" display="1234" xr:uid="{8029511B-B296-4644-B064-F76B7B67F729}"/>
    <hyperlink ref="C84" r:id="rId159" display="6263" xr:uid="{5882EB07-85A6-4860-B4C0-E2D70BA2922F}"/>
    <hyperlink ref="E49" r:id="rId160" display="118" xr:uid="{CAD527AB-E8BC-4F97-9B62-98E5B6293790}"/>
    <hyperlink ref="F49" r:id="rId161" display="196" xr:uid="{23178663-D626-4EEC-AFB4-B34F3D773283}"/>
    <hyperlink ref="E80" r:id="rId162" xr:uid="{037AA525-F9FC-4F9E-8C64-73D8042E4CE9}"/>
    <hyperlink ref="C85" r:id="rId163" display="365556" xr:uid="{F3D3EC0C-9DFD-4CC1-99F1-4A624FF0B3B7}"/>
    <hyperlink ref="C86" r:id="rId164" display="102394421" xr:uid="{220861B8-D23D-4C98-85E6-15326C1F2744}"/>
    <hyperlink ref="C87" r:id="rId165" xr:uid="{FF2871DC-19A9-4812-881F-4F5D3B4EAFB8}"/>
    <hyperlink ref="F83" r:id="rId166" display="198" xr:uid="{6DC288B7-EF34-4143-8B46-8B45C0526307}"/>
    <hyperlink ref="C88" r:id="rId167" display="708341417" xr:uid="{EDB3FA67-CA6D-4A33-8CFC-D3DE02BA45B1}"/>
    <hyperlink ref="E83" r:id="rId168" xr:uid="{9B7365FE-D172-476F-A1A4-029E3B8E0EC3}"/>
    <hyperlink ref="E84" r:id="rId169" xr:uid="{278CD132-0364-4A41-90D0-D42ACA80278A}"/>
    <hyperlink ref="E86" r:id="rId170" xr:uid="{BFCFF398-AA0E-455D-8B43-3D3A16BB597B}"/>
    <hyperlink ref="F84" r:id="rId171" display="2964" xr:uid="{FD6C82D6-A304-44FB-A719-00B75787D9A1}"/>
    <hyperlink ref="C89" r:id="rId172" display="70418" xr:uid="{CE289212-791B-435C-B719-3EB8AA5115BF}"/>
    <hyperlink ref="C90" r:id="rId173" display="14375" xr:uid="{65A96CC8-B7E7-4EC8-AEB0-E9758DE04618}"/>
    <hyperlink ref="F80" r:id="rId174" display="6418680" xr:uid="{D57A2F6A-9A06-4557-8E6F-BD3A2663CF5C}"/>
    <hyperlink ref="C92" r:id="rId175" display="708381052" xr:uid="{1590E61B-1434-4B33-8ABA-93F0F7D32E34}"/>
    <hyperlink ref="C91" r:id="rId176" display="597438" xr:uid="{ED9DC805-A08D-462E-B3AD-562934AE2F4D}"/>
    <hyperlink ref="C93" r:id="rId177" display="365851" xr:uid="{B356AE5A-B6DA-4240-979E-2F08A33C9440}"/>
    <hyperlink ref="E82" r:id="rId178" xr:uid="{F26BB1D8-271D-4B60-94A5-E52803DEC3F9}"/>
    <hyperlink ref="E81" r:id="rId179" xr:uid="{BD6FE84D-80CC-4ECE-91D5-88122595FAD3}"/>
    <hyperlink ref="E93" r:id="rId180" xr:uid="{99AFB513-5CAC-4BF1-8931-9972673D6301}"/>
    <hyperlink ref="E94" r:id="rId181" xr:uid="{0AA17693-6706-4A1F-A145-726BE4AF51D8}"/>
    <hyperlink ref="E91" r:id="rId182" xr:uid="{3FB731A5-F252-460C-AB3E-ADB7D42AF30E}"/>
    <hyperlink ref="E90" r:id="rId183" xr:uid="{B528471F-7B83-4F08-8D4F-9B572C9BFC72}"/>
    <hyperlink ref="E89" r:id="rId184" xr:uid="{75620A20-5F9F-45C7-B9E2-AE89BFADB1C5}"/>
    <hyperlink ref="C94" r:id="rId185" display="365852" xr:uid="{9E2C9976-9293-4287-82B2-80D8FBA2697A}"/>
    <hyperlink ref="E87" r:id="rId186" xr:uid="{F38E79B0-E533-4806-B464-5C0F242AF8D7}"/>
    <hyperlink ref="C95" r:id="rId187" display="71211" xr:uid="{D5681743-46E0-4A1F-83D5-BF96EE6D712E}"/>
    <hyperlink ref="C98" r:id="rId188" display="71341" xr:uid="{F733B3FB-834E-4DC8-B70C-1291E3B28873}"/>
    <hyperlink ref="C99" r:id="rId189" display="2389" xr:uid="{41143746-3386-4F37-A78B-E34EE463B5B9}"/>
    <hyperlink ref="E96" r:id="rId190" xr:uid="{862B3392-0505-4075-95B1-3F5D5C1AAB31}"/>
    <hyperlink ref="E72" r:id="rId191" xr:uid="{BA70F2B1-5F20-421C-9BA8-0DAF321DF41B}"/>
    <hyperlink ref="E79" r:id="rId192" xr:uid="{CC65336E-CA61-4105-A599-0B56EDAAFA11}"/>
    <hyperlink ref="E97" r:id="rId193" xr:uid="{9D801525-7C44-4589-9A01-154F217E2F24}"/>
    <hyperlink ref="E98" r:id="rId194" xr:uid="{7475C78A-B0D8-423B-9340-6E8FCABEF3C9}"/>
    <hyperlink ref="E75" r:id="rId195" xr:uid="{BF422CBB-F9F8-4685-8AB9-A5FFBA09A6DF}"/>
    <hyperlink ref="C97" r:id="rId196" display="495" xr:uid="{EF0398CD-61B6-452A-93B1-21D0720BCB13}"/>
    <hyperlink ref="C96" r:id="rId197" display="494" xr:uid="{45AD07CE-0CA8-4C7F-916E-707181471881}"/>
    <hyperlink ref="F97" r:id="rId198" display="1229" xr:uid="{1D147D95-2CCC-44F8-B93A-94F9C534ECA0}"/>
    <hyperlink ref="F96" r:id="rId199" display="1230" xr:uid="{92C9ABAF-57D9-4F66-9536-4C207B4D895E}"/>
    <hyperlink ref="C104" r:id="rId200" display="11942270" xr:uid="{974571CC-7171-4E54-B1E4-D26F90ABEABA}"/>
    <hyperlink ref="C105" r:id="rId201" display="11942280" xr:uid="{41D6F475-C03D-4FC6-8853-922E8F89E738}"/>
    <hyperlink ref="C106" r:id="rId202" display="11942268" xr:uid="{806E79E9-B31B-4A2F-9089-4CDC4502F988}"/>
    <hyperlink ref="C103" r:id="rId203" display="1010" xr:uid="{4B8BA9F8-DDED-4D73-BFAD-DCEFDFD291B9}"/>
    <hyperlink ref="C101" r:id="rId204" display="708432580" xr:uid="{526933A2-43EF-4A1F-BBF7-F36865E79934}"/>
    <hyperlink ref="C102" r:id="rId205" display="23313670" xr:uid="{E217988A-C3D8-4BFB-965E-38837FB7F852}"/>
    <hyperlink ref="F89" r:id="rId206" display="1406149" xr:uid="{D89FE511-0E9E-4CF9-B2F2-F66530E2B6F8}"/>
    <hyperlink ref="F93" r:id="rId207" display="168754" xr:uid="{B381E413-F7B7-4ECF-945C-B4FB83A939D7}"/>
    <hyperlink ref="F94" r:id="rId208" display="168755" xr:uid="{03AA86D5-2867-4D9D-B7CA-CDA11B519425}"/>
    <hyperlink ref="E102" r:id="rId209" xr:uid="{35CEADD8-BFE5-44DD-A4D7-98B131C9E055}"/>
    <hyperlink ref="F95" r:id="rId210" display="1407908" xr:uid="{1F46D004-2846-4940-B780-5333098C5442}"/>
    <hyperlink ref="E88" r:id="rId211" xr:uid="{A0B5F5F6-9161-4B74-AB44-1EFAF8F09328}"/>
    <hyperlink ref="E101" r:id="rId212" xr:uid="{8A5376D7-1D65-468C-9948-38B3EBF32FE3}"/>
    <hyperlink ref="E95" r:id="rId213" xr:uid="{57C8065B-073E-42EB-9A2D-64942EBB4FFB}"/>
    <hyperlink ref="F79" r:id="rId214" display="39428" xr:uid="{BDFA0E66-259B-4DFB-8413-9A7A6E4B225A}"/>
    <hyperlink ref="F99" r:id="rId215" display="79" xr:uid="{4FBDAB3A-6759-490A-AA0C-1283B48D0029}"/>
    <hyperlink ref="F81" r:id="rId216" display="80" xr:uid="{9BC09AEF-D1CE-48FD-A23E-F111867488C7}"/>
    <hyperlink ref="E108" r:id="rId217" xr:uid="{B7751837-9458-4700-805F-84EB312AA940}"/>
    <hyperlink ref="E107" r:id="rId218" xr:uid="{CC619443-3483-479D-B459-0FBD3C2D8F81}"/>
    <hyperlink ref="E105" r:id="rId219" xr:uid="{7F648C02-D59D-40FF-B909-C1210CA547BE}"/>
    <hyperlink ref="E106" r:id="rId220" xr:uid="{79666C3C-655C-4931-BFEC-E844DD445BAF}"/>
    <hyperlink ref="E104" r:id="rId221" xr:uid="{1F70AEA1-7E0C-4E8A-93D5-4E4A035FA7EA}"/>
    <hyperlink ref="E99" r:id="rId222" xr:uid="{1E356E1D-F4E5-47F7-996A-E2A79158E720}"/>
    <hyperlink ref="F98" r:id="rId223" display="1408330" xr:uid="{EE7DBBBF-5150-4115-B011-301B03A8BCFF}"/>
    <hyperlink ref="F108" r:id="rId224" display="8063" xr:uid="{2EC0E5C4-F8E1-4F14-9E50-FDC3F9E59A59}"/>
    <hyperlink ref="C108" r:id="rId225" display="https://cuerpodebomberos.sharepoint.com/:b:/r/sites/MaterialMayor/Documentos%20compartidos/Material%20Mayor%202025/Cotizaciones%202025/Cotizacion%207974%20BX-7.pdf?csf=1&amp;web=1&amp;e=J1PmHZ" xr:uid="{3CF95E17-E86F-43B5-AC54-6A145E1466E1}"/>
    <hyperlink ref="F100" r:id="rId226" display="189" xr:uid="{1320CCF9-68B9-48CC-82D4-A187AA5B6270}"/>
    <hyperlink ref="F102" r:id="rId227" display="5004238" xr:uid="{754454E3-8CAB-42FD-8FA4-CCC44F6BCE9B}"/>
    <hyperlink ref="C109" r:id="rId228" display="23313689" xr:uid="{4D34E3E5-4EB9-43E4-B4B4-E81E218808D9}"/>
    <hyperlink ref="C110" r:id="rId229" display="23313698" xr:uid="{35CB0D0B-0F93-43B7-BAB4-6D3D8A23334F}"/>
    <hyperlink ref="C111" r:id="rId230" display="23313703" xr:uid="{2797FC9C-ECE8-46DE-84EC-1750A6735E50}"/>
    <hyperlink ref="C112" r:id="rId231" display="23313712" xr:uid="{52F0CB11-B6B6-41C5-B142-0A0D159503BB}"/>
    <hyperlink ref="C113" r:id="rId232" display="23311330" xr:uid="{C69F31F8-B002-48A1-AD53-E27C0140D979}"/>
    <hyperlink ref="C114" r:id="rId233" display="8074" xr:uid="{74EAF555-41B7-427C-83D0-279452DB6939}"/>
    <hyperlink ref="C115" r:id="rId234" display="373" xr:uid="{65D8AA7A-C39B-43B2-86E4-A60631EFA36F}"/>
    <hyperlink ref="C116" r:id="rId235" display="371" xr:uid="{42BB3F46-9167-473C-9B35-8D992D15411A}"/>
    <hyperlink ref="E115" r:id="rId236" xr:uid="{25C3FB6E-8EE4-4996-ACB9-0ECF2681D86B}"/>
    <hyperlink ref="C117" r:id="rId237" display="3525" xr:uid="{E45911C2-82E6-4F59-AC3A-85E082BC76A0}"/>
    <hyperlink ref="E74" r:id="rId238" xr:uid="{26E0067A-0286-461D-A4E4-6F505F60CB6F}"/>
    <hyperlink ref="C119" r:id="rId239" display="319" xr:uid="{137A191B-E8DA-4612-B8C8-F626E4ACF99C}"/>
    <hyperlink ref="F119" r:id="rId240" display="423" xr:uid="{7B87262D-A9CA-462A-BA2D-808C80E10520}"/>
    <hyperlink ref="F115" r:id="rId241" display="430" xr:uid="{C57D4C02-B4F1-4CE7-8B7C-24EE82CE9592}"/>
    <hyperlink ref="F46" r:id="rId242" display="386" xr:uid="{AA25C11B-9386-4BF6-A4FF-9478FF27C498}"/>
    <hyperlink ref="F74" r:id="rId243" display="1252" xr:uid="{6EEE2288-BA54-4920-8749-59C8AF88BE98}"/>
    <hyperlink ref="E111" r:id="rId244" xr:uid="{30519836-AE6D-4941-8EF3-1B7FFE939A3D}"/>
    <hyperlink ref="E110" r:id="rId245" xr:uid="{8B9B5D66-3A66-4B77-AE21-534133CF49A4}"/>
    <hyperlink ref="E109" r:id="rId246" xr:uid="{BAEE0E4A-5AE0-4456-9812-298F14CC29EA}"/>
    <hyperlink ref="E113" r:id="rId247" xr:uid="{A330BD9E-9EA1-4B56-9A73-E3D585B3D726}"/>
    <hyperlink ref="E112" r:id="rId248" xr:uid="{6FD6E975-79E9-428A-B684-E3DC99EC0AD2}"/>
    <hyperlink ref="C107" r:id="rId249" display="366626" xr:uid="{2761E471-A24C-485C-A0B4-F6F0E36CE5EE}"/>
    <hyperlink ref="F107" r:id="rId250" display="170317" xr:uid="{08040DFA-4726-4E40-B35E-B563A7D8B082}"/>
    <hyperlink ref="E119" r:id="rId251" xr:uid="{04D05721-565E-4749-875F-AB47449194A0}"/>
    <hyperlink ref="C120" r:id="rId252" display="510" xr:uid="{CA928A98-5DC7-486A-83DC-45E0FCE2B889}"/>
    <hyperlink ref="C121" r:id="rId253" display="514" xr:uid="{9230DDB3-B152-4897-918F-ABBC3EC60B4F}"/>
    <hyperlink ref="C122" r:id="rId254" display="522" xr:uid="{26AE901F-3BE7-4B06-A834-93A19722C305}"/>
    <hyperlink ref="C123" r:id="rId255" display="528" xr:uid="{BBE2BB59-742A-46D3-957D-006CD2FC7E69}"/>
    <hyperlink ref="C124" r:id="rId256" display="539" xr:uid="{4AF6204C-6B53-4A52-B8CB-06BF2C8869EC}"/>
    <hyperlink ref="C125" r:id="rId257" display="542" xr:uid="{AFCD9DF6-3B8C-4EDE-85D3-B88BC5FC10F0}"/>
    <hyperlink ref="E122" r:id="rId258" display="199" xr:uid="{CFDB1669-8875-46BF-B9B9-967F8E80D669}"/>
    <hyperlink ref="E123" r:id="rId259" display="200" xr:uid="{2632CD11-A314-40C4-BA0A-D51E839CAD78}"/>
    <hyperlink ref="E121" r:id="rId260" display="198" xr:uid="{2C1C5F7E-932F-430F-9AE7-00A60F7A9118}"/>
    <hyperlink ref="E120" r:id="rId261" display="197" xr:uid="{84AEB6FB-99C5-49F9-8E1C-EE05B8593C7C}"/>
    <hyperlink ref="E124" r:id="rId262" display="201" xr:uid="{9193002D-DA03-4104-BD11-1B19E1B20292}"/>
    <hyperlink ref="E125" r:id="rId263" display="202" xr:uid="{DA39D9EE-D28C-4BCB-89B4-4BD1E5B9636B}"/>
    <hyperlink ref="E118" r:id="rId264" xr:uid="{9ABB3B18-ADC0-4642-A777-41D0F583C434}"/>
    <hyperlink ref="F125" r:id="rId265" display="1271" xr:uid="{E7E9053F-5C14-4D79-B29F-EC52F766918F}"/>
    <hyperlink ref="F124" r:id="rId266" display="1268" xr:uid="{A58533D9-EC13-4227-A02A-ECDEFCB8ACE7}"/>
    <hyperlink ref="F123" r:id="rId267" display="1264" xr:uid="{7BCE6DD1-79CB-4E34-B58C-1B60B3402D40}"/>
    <hyperlink ref="F122" r:id="rId268" display="1261" xr:uid="{D637F5CD-41A0-41FE-BFBB-96B62760DC59}"/>
    <hyperlink ref="F121" r:id="rId269" display="1258" xr:uid="{81B9270A-FF0F-4010-B7AD-09C84709C228}"/>
    <hyperlink ref="F120" r:id="rId270" display="1254" xr:uid="{825FDF4F-1F0E-4C97-9C56-C87E5DD62594}"/>
    <hyperlink ref="C128" r:id="rId271" display="549" xr:uid="{5DAC3C76-AD72-4BE5-9EFF-EB07F0A0B46B}"/>
    <hyperlink ref="C127" r:id="rId272" display="534" xr:uid="{4941EF9E-2B3D-4D0A-94AF-36A3599B843B}"/>
    <hyperlink ref="C126" r:id="rId273" display="517" xr:uid="{248A2201-77E9-4618-9EA0-83F1973D1EA5}"/>
    <hyperlink ref="C129" r:id="rId274" display="23332952" xr:uid="{F9E668C5-B887-47BC-AB6E-5A772CD10D18}"/>
    <hyperlink ref="C131" r:id="rId275" display="388" xr:uid="{9561FC86-AC0B-41AB-8E4F-40CE7845FF10}"/>
    <hyperlink ref="C130" r:id="rId276" display="387" xr:uid="{D31840A0-41CB-49E1-BDD6-F7BE5230BDBF}"/>
    <hyperlink ref="E126" r:id="rId277" xr:uid="{CF714DCB-7602-47F6-A55E-4F0C95222FA0}"/>
    <hyperlink ref="E128" r:id="rId278" xr:uid="{C0FB18BA-68DA-4D38-982B-7C06B5890A68}"/>
    <hyperlink ref="E127" r:id="rId279" xr:uid="{93646A42-CCAD-4982-B019-65D0023B1201}"/>
    <hyperlink ref="C132" r:id="rId280" xr:uid="{31C9875E-D177-4073-AD26-C5A0D9426FF8}"/>
    <hyperlink ref="C133" r:id="rId281" display="367160" xr:uid="{29A09984-E061-41CA-9B71-C0DEC166A638}"/>
    <hyperlink ref="C134" r:id="rId282" xr:uid="{633AC31B-125B-4CD7-8924-BC664CA14387}"/>
    <hyperlink ref="E133" r:id="rId283" xr:uid="{210459B3-16BA-4FFE-8DB5-EE543874FE75}"/>
    <hyperlink ref="E132" r:id="rId284" xr:uid="{108D1350-DDC6-4E3E-BE62-3936ADD7D790}"/>
    <hyperlink ref="E134" r:id="rId285" xr:uid="{5956FD4F-A090-4169-8476-0DC7D3C76BFC}"/>
    <hyperlink ref="E130" r:id="rId286" xr:uid="{355ADDA7-58CC-4670-9818-A5C0EEB2AB1C}"/>
    <hyperlink ref="E131" r:id="rId287" xr:uid="{AE359DE7-1984-42FE-A7E6-38358262D5D7}"/>
    <hyperlink ref="E129" r:id="rId288" xr:uid="{91C1267C-017F-4261-AD65-A1CFDC352B38}"/>
    <hyperlink ref="E116" r:id="rId289" xr:uid="{6E492636-27BE-40E7-8E41-4148AE8ABC7E}"/>
    <hyperlink ref="E114" r:id="rId290" xr:uid="{A6A40518-4C58-4900-9D88-740F5998BA37}"/>
    <hyperlink ref="E117" r:id="rId291" xr:uid="{B179E8B4-18EE-4597-AEC7-37489CC7487D}"/>
    <hyperlink ref="F114" r:id="rId292" display="8139" xr:uid="{6ECA777C-9E82-4AC4-9782-EC4DF58915C1}"/>
    <hyperlink ref="F116" r:id="rId293" display="443" xr:uid="{741FD7C5-4A00-412F-B4CC-23E75E601EBE}"/>
    <hyperlink ref="F131" r:id="rId294" display="440" xr:uid="{ECC3087B-CD67-4767-8850-0B7F4208F764}"/>
    <hyperlink ref="F130" r:id="rId295" display="439" xr:uid="{808F0745-5ECD-48B4-AE3C-F342FBB871B4}"/>
    <hyperlink ref="F127" r:id="rId296" display="1290" xr:uid="{93803DA8-AED2-4322-B1D1-1936B887C0DB}"/>
    <hyperlink ref="F128" r:id="rId297" display="1287" xr:uid="{908B768D-1BE0-4B6F-97EC-483720D06271}"/>
    <hyperlink ref="F126" r:id="rId298" display="1285" xr:uid="{F550C43E-0E4C-4524-A3E3-D702BD5F6965}"/>
    <hyperlink ref="F110" r:id="rId299" display="5040401" xr:uid="{1BB4DC5F-E4B2-4419-A38E-9C697FC999E1}"/>
    <hyperlink ref="F112" r:id="rId300" display="5040464" xr:uid="{95AB177A-9EBB-4FAA-8B3C-172E43F2140C}"/>
    <hyperlink ref="F111" r:id="rId301" display="5040405" xr:uid="{51B696C3-7396-4098-A2FC-8A96EFDC6A02}"/>
    <hyperlink ref="F113" r:id="rId302" display="5040398" xr:uid="{2B34549D-D0E4-4D26-AD34-0D4E8A78E1D3}"/>
    <hyperlink ref="F109" r:id="rId303" display="5040395" xr:uid="{D1E5FCF4-8A0E-400E-BF2E-8539F15B3394}"/>
    <hyperlink ref="F101" r:id="rId304" display="311803" xr:uid="{5E6C3868-FB7A-4A2B-84B4-E3F47FFE9FF8}"/>
    <hyperlink ref="F134" r:id="rId305" display="2449928" xr:uid="{C685295D-CF93-4063-8554-E203886C2C08}"/>
    <hyperlink ref="F133" r:id="rId306" display="170945" xr:uid="{CC26B594-1783-4D09-B8FA-6FEA8BB79F59}"/>
    <hyperlink ref="F86" r:id="rId307" display="6461032" xr:uid="{60C2FEA7-39F4-451C-BFC9-C4DAA386FF5E}"/>
    <hyperlink ref="F73" r:id="rId308" display="919" xr:uid="{54681093-7354-4F46-8515-D3D3C5CFA950}"/>
    <hyperlink ref="E73" r:id="rId309" xr:uid="{C526A6B3-901B-49FF-894E-3E27CB81F37D}"/>
    <hyperlink ref="C138" r:id="rId310" xr:uid="{DB24698C-4D59-4347-A26B-93B8A7A41C64}"/>
    <hyperlink ref="C137" r:id="rId311" display="708577549" xr:uid="{A4B8CA90-256F-44BA-A1F6-FF58BC83203E}"/>
    <hyperlink ref="C135" r:id="rId312" display="708498621" xr:uid="{716251AE-2419-4018-885F-B4E599B84660}"/>
    <hyperlink ref="C136" r:id="rId313" display="708498590" xr:uid="{1322D0BA-83D1-4A11-8D79-CDC96394D4F3}"/>
    <hyperlink ref="E136" r:id="rId314" xr:uid="{FC535558-EB0D-4870-8D43-035E1DEC4B3E}"/>
    <hyperlink ref="E135" r:id="rId315" xr:uid="{BF6634C4-782A-49C1-9CDA-70771F20B9FC}"/>
    <hyperlink ref="F117" r:id="rId316" display="1363" xr:uid="{FB7AE4BF-5EBD-4858-A445-3D7A7ECD202D}"/>
    <hyperlink ref="C141" r:id="rId317" display="708610362" xr:uid="{BB74B725-CB7F-465B-B8F6-37B1A011788B}"/>
    <hyperlink ref="C142" r:id="rId318" display="368849" xr:uid="{EE6397D7-6766-4238-BAC4-1F32429D086B}"/>
    <hyperlink ref="C144" r:id="rId319" display="23367401" xr:uid="{81970FEE-9994-4006-90A9-8071C1A62329}"/>
    <hyperlink ref="C143" r:id="rId320" display="23367401" xr:uid="{58609891-E180-4F77-A598-21302C66998F}"/>
    <hyperlink ref="C145" r:id="rId321" display="110" xr:uid="{B9483A55-6B9D-4326-A874-A74E3F702479}"/>
    <hyperlink ref="C140" r:id="rId322" display="42999" xr:uid="{E83C2755-91A9-467C-8F25-E94C7E311F2C}"/>
    <hyperlink ref="F143" r:id="rId323" display="5088258" xr:uid="{D530CE30-B6FA-4F36-B586-ECC73ADAA6FD}"/>
    <hyperlink ref="F139" r:id="rId324" display="1364" xr:uid="{D4874D87-2763-426F-9FAA-3609BBBAA92D}"/>
    <hyperlink ref="F135" r:id="rId325" display="6611117" xr:uid="{1A01D42B-0F18-48D6-BC6E-0DBFE858BF0B}"/>
    <hyperlink ref="F136" r:id="rId326" display="6611118" xr:uid="{653EE21D-2395-44B0-BB60-BA2C12567717}"/>
    <hyperlink ref="E143" r:id="rId327" xr:uid="{D5E517A6-8E7D-4C57-AEFD-88CDF8C2278A}"/>
    <hyperlink ref="E141" r:id="rId328" xr:uid="{9157990A-D973-4753-ADFD-11EBE3E5AD70}"/>
    <hyperlink ref="E142" r:id="rId329" xr:uid="{BB304D0F-D62A-4F46-89EC-DA9C265F1688}"/>
    <hyperlink ref="E144" r:id="rId330" xr:uid="{17C6F5C3-25ED-4B7E-ACEA-067C58A9FF64}"/>
    <hyperlink ref="E137" r:id="rId331" xr:uid="{E6C38016-738F-4DE9-B9FA-BEAD038D5936}"/>
    <hyperlink ref="E138" r:id="rId332" xr:uid="{01A91570-FE00-4D6D-8609-8A64B8999C7D}"/>
    <hyperlink ref="F137" r:id="rId333" display="6570889" xr:uid="{5DB4AB5B-FA92-4B68-A85C-A40934FC9530}"/>
    <hyperlink ref="C154" r:id="rId334" display="412" xr:uid="{1014F539-E2B7-49A1-A6F4-24B40F25A9DD}"/>
    <hyperlink ref="F129" r:id="rId335" display="5035001" xr:uid="{352F01BD-7446-4C69-AAA5-CBD5CF6C57F6}"/>
    <hyperlink ref="F150" r:id="rId336" display="sin fact" xr:uid="{5464DD92-9AA8-4282-8F4D-30830F180CFC}"/>
    <hyperlink ref="F141" r:id="rId337" display="6685158" xr:uid="{2283439E-3440-4E8B-B322-31B2E6D4A37A}"/>
    <hyperlink ref="F146" r:id="rId338" display="14" xr:uid="{D8577990-AE10-4554-AD14-421F9A79363E}"/>
    <hyperlink ref="E153" r:id="rId339" xr:uid="{A92205F0-E40C-46DE-8C72-584802D503AA}"/>
    <hyperlink ref="C152" r:id="rId340" display="180" xr:uid="{2B5F3CE9-DE76-4E74-A3D6-8BBD885418BC}"/>
    <hyperlink ref="C153" r:id="rId341" display="1303742826" xr:uid="{C342C797-CEDE-4BC1-87CA-6C496B1E71DB}"/>
    <hyperlink ref="E151" r:id="rId342" xr:uid="{8E9FBF8D-5719-4CA2-8125-692188EBA407}"/>
    <hyperlink ref="F151" r:id="rId343" display="337" xr:uid="{F78E25A8-60E6-4BD6-8EED-446DB3991CE9}"/>
    <hyperlink ref="C151" r:id="rId344" xr:uid="{C9CCB087-5827-4736-978B-B9F800F4A9F5}"/>
    <hyperlink ref="C149" r:id="rId345" xr:uid="{A6CDE0F3-40A2-46A1-AB57-6A690D863063}"/>
    <hyperlink ref="E154" r:id="rId346" xr:uid="{33457B83-E103-471E-BEAA-A34FAB915990}"/>
    <hyperlink ref="E140" r:id="rId347" xr:uid="{39337763-2784-4713-9106-D25B1F113CEA}"/>
    <hyperlink ref="F155" r:id="rId348" display="1420136" xr:uid="{5FD0C2BD-7948-4309-895A-7C6B21551ECF}"/>
    <hyperlink ref="F144" r:id="rId349" display="5109408" xr:uid="{9063E206-4068-47D9-B81D-3C753A37D6A4}"/>
    <hyperlink ref="F156" r:id="rId350" display="26330" xr:uid="{2D382814-58C5-4DA1-B957-155E8B80FD14}"/>
    <hyperlink ref="F149" r:id="rId351" display="6130805" xr:uid="{164DD694-2223-4B40-AEAD-92D51BCD4DC8}"/>
    <hyperlink ref="F157" r:id="rId352" display="227" xr:uid="{0A499EFD-762B-410C-88BF-0DDC5D873FF1}"/>
    <hyperlink ref="F138" r:id="rId353" display="336" xr:uid="{237A5636-268B-4BD7-82C1-430C42B84AA1}"/>
    <hyperlink ref="E156" r:id="rId354" xr:uid="{093B93C9-F490-4872-A4A1-CD672DE584C0}"/>
    <hyperlink ref="E155" r:id="rId355" xr:uid="{A8C94F9F-C7F7-411E-A439-A05C0E3F4630}"/>
    <hyperlink ref="E147" r:id="rId356" xr:uid="{E2C59DD1-9F10-4EBC-A35F-58240357DA18}"/>
    <hyperlink ref="F147" r:id="rId357" display="5108583" xr:uid="{91502E4F-BA01-4DC1-BEB3-E885D57F912F}"/>
    <hyperlink ref="C155" r:id="rId358" display="75056" xr:uid="{DD19BCAE-75D4-4473-8DA9-52B4EA428723}"/>
    <hyperlink ref="C156" r:id="rId359" display="1072" xr:uid="{7871CC4F-1C8B-4429-A163-270628C586E0}"/>
    <hyperlink ref="F142" r:id="rId360" display="172863" xr:uid="{521DF39B-FF47-46E1-91D0-87B344552E57}"/>
    <hyperlink ref="C159" r:id="rId361" display="708698490" xr:uid="{909FEDF5-71DE-486B-9D17-336ADB4656C8}"/>
    <hyperlink ref="C158" r:id="rId362" xr:uid="{03AFECEA-FD72-46A6-90DA-EBE99AA64319}"/>
    <hyperlink ref="E158" r:id="rId363" xr:uid="{EDA5C210-50F3-4194-ACC2-F66FE9EBABF2}"/>
    <hyperlink ref="E159" r:id="rId364" xr:uid="{5C68CBB5-F51B-4E51-8A3C-BF4277C40018}"/>
    <hyperlink ref="F140" r:id="rId365" display="368493" xr:uid="{3757E895-AC15-47C3-9151-8EC4EC3CE44F}"/>
    <hyperlink ref="F161" r:id="rId366" display="30" xr:uid="{3B9F143C-B5C6-494E-B199-D1056481F7F4}"/>
    <hyperlink ref="F162" r:id="rId367" display="31" xr:uid="{237387ED-14DC-4D6C-B4A6-AD52A3F51B13}"/>
    <hyperlink ref="F163" r:id="rId368" display="32" xr:uid="{5087E229-A38E-4181-826F-A89BE268D0DF}"/>
    <hyperlink ref="C161" r:id="rId369" xr:uid="{0CE1EA37-72EB-4545-B339-60C4ACEFCFA0}"/>
    <hyperlink ref="C162" r:id="rId370" xr:uid="{0E701FF3-B129-4845-A818-D63D887FFFC6}"/>
    <hyperlink ref="C163" r:id="rId371" xr:uid="{DFC68286-35DA-4F94-A05D-AD82F3C6FA16}"/>
    <hyperlink ref="E163" r:id="rId372" xr:uid="{8AB44EF4-710C-4546-B094-BB95C47841CC}"/>
    <hyperlink ref="E162" r:id="rId373" xr:uid="{76DD6584-CF07-4A7F-8CF9-1B35BB41F529}"/>
    <hyperlink ref="E161" r:id="rId374" xr:uid="{170D246A-5EC9-40AD-8B06-7FC2FEC95293}"/>
    <hyperlink ref="F159" r:id="rId375" display="6752677" xr:uid="{3078F271-D1CA-46B0-AD3F-F67987CBBF5D}"/>
    <hyperlink ref="C160" r:id="rId376" xr:uid="{7EDB6FC6-E38C-4635-8A7F-2FFA0A3B8736}"/>
    <hyperlink ref="C148" r:id="rId377" xr:uid="{4F3E44D4-5B2E-4027-A530-14FB19CF9209}"/>
    <hyperlink ref="F148" r:id="rId378" display="2456415" xr:uid="{A7B9C027-0648-4080-B948-89C8EA476581}"/>
    <hyperlink ref="E148" r:id="rId379" xr:uid="{57F18642-D1E6-472C-B41E-9B8AE3845376}"/>
    <hyperlink ref="F154" r:id="rId380" display="478" xr:uid="{3A972917-D7A9-401B-BB5B-250A40891DF9}"/>
    <hyperlink ref="E164" r:id="rId381" xr:uid="{C1455C76-9550-4AE6-ACAD-D7D3E8B26B3F}"/>
    <hyperlink ref="C164" r:id="rId382" display="20620849" xr:uid="{8BA9412F-2617-4222-886C-395E666C84A7}"/>
    <hyperlink ref="C165" r:id="rId383" display="20621489" xr:uid="{CD9F6D66-1351-461B-A008-865E5011D500}"/>
    <hyperlink ref="C166" r:id="rId384" display="426" xr:uid="{C711E4FB-902D-4D94-B847-8E7B566FE403}"/>
    <hyperlink ref="C167" r:id="rId385" display="552" xr:uid="{F5B33436-A969-442F-954A-1FB29147B335}"/>
    <hyperlink ref="C168" r:id="rId386" display="554" xr:uid="{B4DCADFB-AE8F-46B1-AD30-5DE909B8D56C}"/>
    <hyperlink ref="C169" r:id="rId387" display="556" xr:uid="{B40C81B7-6415-4167-9324-8054FBDF2677}"/>
    <hyperlink ref="C170" r:id="rId388" display="559" xr:uid="{C3F1CCD7-DB89-46AA-AE09-B390D83BD964}"/>
    <hyperlink ref="C171" r:id="rId389" display="561" xr:uid="{E5AED81E-0DFF-47C5-AEA2-E2710B7BCDC0}"/>
    <hyperlink ref="C172" r:id="rId390" display="564" xr:uid="{C9DE1620-1DCD-4310-8158-FD611C74ACF3}"/>
    <hyperlink ref="C173" r:id="rId391" display="566" xr:uid="{686C2701-1014-4372-BE09-048632ECBBB7}"/>
    <hyperlink ref="C174" r:id="rId392" display="567" xr:uid="{8536DC67-584E-46F6-A686-495F1AFE7688}"/>
    <hyperlink ref="C175" r:id="rId393" display="569" xr:uid="{A0E1556E-FBC9-4991-9866-FBEA06B96975}"/>
    <hyperlink ref="C176" r:id="rId394" display="572" xr:uid="{9CE63FAB-196C-49E6-938F-85F330B980BD}"/>
    <hyperlink ref="F170" r:id="rId395" display="1369" xr:uid="{5B5E6962-74ED-4542-A052-D2C6621F68BB}"/>
    <hyperlink ref="F173" r:id="rId396" display="1375" xr:uid="{51185D49-1302-4CBB-8A3F-51AF9ADE5529}"/>
    <hyperlink ref="F168" r:id="rId397" display="1356" xr:uid="{EEEC5574-659F-4DF0-9595-2C49F48ABB76}"/>
    <hyperlink ref="F167" r:id="rId398" display="1355" xr:uid="{84D8FEC2-608E-4A95-9063-9209A18F0ED2}"/>
    <hyperlink ref="F176" r:id="rId399" display="1383" xr:uid="{DBCA4942-92FE-4494-AD54-3F4B53FE5CC3}"/>
    <hyperlink ref="F171" r:id="rId400" display="1352" xr:uid="{75C8CA2B-5F11-4ACB-A491-9E8436C30327}"/>
    <hyperlink ref="F174" r:id="rId401" display="1379" xr:uid="{6B9667FF-D50D-4E2D-9F42-20D90E2B698D}"/>
    <hyperlink ref="F175" r:id="rId402" display="1381" xr:uid="{751A0BEC-3005-4905-9431-BA0C8ECB6DE9}"/>
    <hyperlink ref="F172" r:id="rId403" display="1372" xr:uid="{DC39E718-D976-41FA-BF92-3EB6B2DE1519}"/>
    <hyperlink ref="F169" r:id="rId404" display="1360" xr:uid="{23D9B2D2-4023-4290-B6C3-078FFDC6186F}"/>
    <hyperlink ref="C184" r:id="rId405" display="595" xr:uid="{14C051AA-F953-4C5D-8924-8FAB1CD287DF}"/>
    <hyperlink ref="C185" r:id="rId406" display="597" xr:uid="{F281FBA0-653F-48AD-8500-A36506CD3909}"/>
    <hyperlink ref="C186" r:id="rId407" display="600" xr:uid="{8BA887CE-9913-4049-9A4E-3618D0DF0C27}"/>
    <hyperlink ref="C177" r:id="rId408" display="573" xr:uid="{42ACAB69-C795-4927-B29B-C0F9C94336CF}"/>
    <hyperlink ref="C178" r:id="rId409" display="576" xr:uid="{D78ADEDC-8966-4C60-A989-525FACCE3278}"/>
    <hyperlink ref="C179" r:id="rId410" display="579" xr:uid="{8DF66F0C-0212-4494-B8C3-D54EA455889E}"/>
    <hyperlink ref="C180" r:id="rId411" display="582" xr:uid="{A1BBF269-A8BA-4056-84D6-0C14196A94FF}"/>
    <hyperlink ref="C181" r:id="rId412" display="586" xr:uid="{40801D62-8078-40FD-B994-77BB3BC9139B}"/>
    <hyperlink ref="C182" r:id="rId413" display="589" xr:uid="{DC0077CD-9220-437B-865E-6325BAC3E1B6}"/>
    <hyperlink ref="C183" r:id="rId414" display="592" xr:uid="{07165231-9D80-434D-9F85-967C4CD411AF}"/>
    <hyperlink ref="C187" r:id="rId415" display="20624006" xr:uid="{32B5DCCA-9CC2-4EE3-995B-326DAB65E829}"/>
    <hyperlink ref="C188" r:id="rId416" display="20624147" xr:uid="{78C7EC5E-3B10-459B-8072-E13DF4912594}"/>
    <hyperlink ref="C189" r:id="rId417" display="20626045" xr:uid="{1413E76A-FB14-447D-A81F-18F170FC79CA}"/>
    <hyperlink ref="C190" r:id="rId418" display="708799309" xr:uid="{B3FE7A58-2978-4FC8-B14F-92FBDBC06EB3}"/>
    <hyperlink ref="C191" r:id="rId419" display="1798" xr:uid="{62A10D4E-75AB-4B5D-ABAE-32F404E1FD02}"/>
    <hyperlink ref="E184" r:id="rId420" xr:uid="{49DA5AC4-4961-4EE3-93E1-07AD76BACAD2}"/>
    <hyperlink ref="E185" r:id="rId421" xr:uid="{D9E76306-6E74-4F4E-943C-5B0BE6AE4013}"/>
    <hyperlink ref="E186" r:id="rId422" xr:uid="{39702D59-3BC0-4E44-A8CA-BCDC3AB2F605}"/>
    <hyperlink ref="E177" r:id="rId423" xr:uid="{7D678707-D086-4DED-A0AF-FF25568B6ACA}"/>
    <hyperlink ref="E178" r:id="rId424" xr:uid="{4A5CFF1D-6D1A-4988-9D9F-EA44CDAEFC06}"/>
    <hyperlink ref="E179" r:id="rId425" xr:uid="{FC13B1F3-2745-4BCB-9E3A-A5591E8EA748}"/>
    <hyperlink ref="E180" r:id="rId426" xr:uid="{682348B7-823E-45B1-BF0A-626B1D083119}"/>
    <hyperlink ref="E181" r:id="rId427" xr:uid="{64AAF3BD-10F8-46E9-AEF5-4D0F59EFAED6}"/>
    <hyperlink ref="E182" r:id="rId428" xr:uid="{7AE25803-4FE7-415C-899F-ECCF61579E13}"/>
    <hyperlink ref="E183" r:id="rId429" xr:uid="{D5B4C6D4-128B-4E6E-AA42-3C16F5CD6A21}"/>
    <hyperlink ref="E189" r:id="rId430" xr:uid="{DDB78308-814A-4D98-8C63-0A60520A7B2F}"/>
    <hyperlink ref="C207" r:id="rId431" xr:uid="{1A01EE0D-453A-4A7F-BE31-050E4D766911}"/>
    <hyperlink ref="C206" r:id="rId432" display="20637363" xr:uid="{ADE2DC4E-6719-478B-A86C-0DC360F297F4}"/>
    <hyperlink ref="C209" r:id="rId433" xr:uid="{0AFF4444-73BB-4DC0-8003-CF71165A6DE4}"/>
    <hyperlink ref="C208" r:id="rId434" xr:uid="{9BAB0D1D-ABC7-4E94-BFDD-64C281C17BB7}"/>
    <hyperlink ref="C210" r:id="rId435" display="955" xr:uid="{C168A9EA-A52E-4B14-A0FB-2FAF9B122AFB}"/>
    <hyperlink ref="E210" r:id="rId436" xr:uid="{DF988523-4C80-499F-8B71-C3BD728863FE}"/>
    <hyperlink ref="F210" r:id="rId437" display="726" xr:uid="{52CE7266-AF53-4C5F-A1C1-23F098AAB499}"/>
    <hyperlink ref="C211" r:id="rId438" display="1764" xr:uid="{1DB45137-F785-4404-A174-D15132065DFA}"/>
    <hyperlink ref="C212" r:id="rId439" display="23456070" xr:uid="{3E946E9C-D63D-42F7-BC57-4E482A0ACF69}"/>
    <hyperlink ref="C213" r:id="rId440" display="20633298" xr:uid="{F21812BF-7440-451E-B7C4-040B9CFBD5C0}"/>
    <hyperlink ref="F213" r:id="rId441" display="620861" xr:uid="{AB3CD731-49BF-4342-AB83-48AA040F8837}"/>
    <hyperlink ref="E213" r:id="rId442" xr:uid="{18CCF641-A6AB-41F9-8F3D-55E7D2D30A8D}"/>
    <hyperlink ref="C215" r:id="rId443" display="633" xr:uid="{5F770E95-6DC4-41C8-B4AC-94C6DD506096}"/>
    <hyperlink ref="C214" r:id="rId444" display="631" xr:uid="{D3FA1ACE-0114-478C-B80E-CB2A55C6EA9F}"/>
    <hyperlink ref="C216" r:id="rId445" display="636" xr:uid="{55CA14D8-36D8-4894-BB1B-BE32B19AD513}"/>
    <hyperlink ref="C220" r:id="rId446" display="641" xr:uid="{FCA4E1D9-44D1-45FE-A94B-0FE01099072B}"/>
    <hyperlink ref="C219" r:id="rId447" display="640" xr:uid="{E70E93E5-125B-43FA-AEBA-90C4A8CCAB76}"/>
    <hyperlink ref="C218" r:id="rId448" display="639" xr:uid="{77079A71-AB2F-4282-9803-84B7D6B9661E}"/>
    <hyperlink ref="C217" r:id="rId449" display="638" xr:uid="{FC213846-8DA4-45F6-9337-C151CE880E64}"/>
    <hyperlink ref="C221" r:id="rId450" display="644" xr:uid="{69DAF578-543C-4667-A5D5-0DA5F52B2A6F}"/>
    <hyperlink ref="C222" r:id="rId451" display="80342" xr:uid="{985FDB76-D0F2-4D15-B1D2-0F6FE84EED64}"/>
    <hyperlink ref="C223" r:id="rId452" display="80340" xr:uid="{27E58FE9-EF14-4CFD-A19C-5B44E52D9EAE}"/>
    <hyperlink ref="C227" r:id="rId453" xr:uid="{4056A6D2-E2DB-4469-A688-DC1F567E0A23}"/>
    <hyperlink ref="C225" r:id="rId454" display="958" xr:uid="{9E70D894-C04C-40BA-9ED8-818B147C4164}"/>
    <hyperlink ref="C226" r:id="rId455" display="957" xr:uid="{596027AD-FA7A-4A89-805F-F80A58A72703}"/>
    <hyperlink ref="C224" r:id="rId456" display="80338" xr:uid="{79AFFA6B-1944-440C-AF09-B6E198C7422F}"/>
    <hyperlink ref="E224" r:id="rId457" xr:uid="{5516694D-ACDD-4166-B1C3-D39728B06D6B}"/>
    <hyperlink ref="E223" r:id="rId458" xr:uid="{9F6AA405-08D3-4193-8EDD-955B6E98C991}"/>
    <hyperlink ref="E222" r:id="rId459" xr:uid="{3D177702-0C5C-4D36-8C31-BC9A9B0F39CB}"/>
    <hyperlink ref="E212" r:id="rId460" xr:uid="{BF6C7EF4-A7D1-459D-B8C2-A32C6E7A8F21}"/>
    <hyperlink ref="E206" r:id="rId461" xr:uid="{A7D0B177-DA27-458B-8DE1-9F4EB8ADCE0D}"/>
    <hyperlink ref="E226" r:id="rId462" xr:uid="{C240CD37-FCB9-4B05-86D7-E55A1CF63695}"/>
    <hyperlink ref="E209" r:id="rId463" xr:uid="{AAB2AE83-3D9C-4CCE-877D-86E772D8467A}"/>
    <hyperlink ref="E208" r:id="rId464" xr:uid="{EB5066B7-96E8-477F-8AAF-A0E19D4B4EE4}"/>
    <hyperlink ref="E225" r:id="rId465" xr:uid="{4B28D694-F459-4E18-8AF5-1D018B02E69E}"/>
    <hyperlink ref="C230" r:id="rId466" display="708977801" xr:uid="{AA8BAF67-D12E-46B1-9127-C125ACF46122}"/>
    <hyperlink ref="C228" r:id="rId467" display="964" xr:uid="{48E2ABD9-A527-46B4-94CD-FB6611EA306D}"/>
    <hyperlink ref="C229" r:id="rId468" display="1271154" xr:uid="{70E0A6D2-ACA8-49FF-AC34-02C64011885D}"/>
    <hyperlink ref="E230" r:id="rId469" xr:uid="{6C580417-162E-4BCA-98E4-A95C17AFA1FD}"/>
    <hyperlink ref="E228" r:id="rId470" xr:uid="{1F23FEBD-4053-4137-AFE7-7D49121F5A4C}"/>
    <hyperlink ref="E229" r:id="rId471" xr:uid="{0D741CBE-3F45-44E6-92F4-45978B03A578}"/>
    <hyperlink ref="E215" r:id="rId472" xr:uid="{2BBABF64-5868-4A05-87B3-B9ED9C852E76}"/>
    <hyperlink ref="E216" r:id="rId473" xr:uid="{FD029782-DF0C-4904-A13D-6EEBA5D22D78}"/>
    <hyperlink ref="E217" r:id="rId474" xr:uid="{1D3B8E11-9B15-4C66-9402-833D5074ABA8}"/>
    <hyperlink ref="E219" r:id="rId475" xr:uid="{7663F2A2-3EC8-40A0-9A7A-EC31C232DA98}"/>
    <hyperlink ref="E218" r:id="rId476" xr:uid="{5C63E693-7E7E-4ACC-8C32-C02BA9BD398E}"/>
    <hyperlink ref="E220" r:id="rId477" xr:uid="{D43D3D58-E72E-4A46-A8FF-49BB70EA38EE}"/>
    <hyperlink ref="E221" r:id="rId478" xr:uid="{BE40A468-43B6-4926-95C3-667824934A3A}"/>
    <hyperlink ref="E214" r:id="rId479" xr:uid="{15789346-C43C-4F7B-A435-5B2C20D091D3}"/>
    <hyperlink ref="F221" r:id="rId480" display="1500" xr:uid="{1DAEF779-D807-47A5-9C82-D8C5CB2D40CC}"/>
    <hyperlink ref="F220" r:id="rId481" display="1500" xr:uid="{BC9986C5-274D-480C-946D-FEEB9DAAC7E0}"/>
    <hyperlink ref="F218" r:id="rId482" display="1500" xr:uid="{BC42993F-D707-4ADF-8482-51E068DA2AD9}"/>
    <hyperlink ref="F214" r:id="rId483" display="1499" xr:uid="{DED115B2-059B-4F21-9C6F-EABDC0A58059}"/>
    <hyperlink ref="F215" r:id="rId484" display="1498" xr:uid="{A5C0639B-15F0-4FB1-AB52-FA26FB6AA7B4}"/>
    <hyperlink ref="F216" r:id="rId485" display="1498" xr:uid="{5569D165-1AF4-48AF-983E-4550309C849C}"/>
    <hyperlink ref="F217" r:id="rId486" display="1498" xr:uid="{E1F63F18-316F-4276-8BBD-D98711EABB7B}"/>
    <hyperlink ref="F219" r:id="rId487" display="1498" xr:uid="{0721CE74-A99B-4AFE-9839-A10FC3BA344F}"/>
    <hyperlink ref="C242" r:id="rId488" display="709104552" xr:uid="{1F41B43C-5040-441C-A45D-29C20B4AC608}"/>
    <hyperlink ref="C241" r:id="rId489" display="708744943" xr:uid="{84E2B30E-C7EA-46BE-9840-80A357F303FD}"/>
    <hyperlink ref="C240" r:id="rId490" display="708744943" xr:uid="{B455E472-8561-478D-B4C7-2CC08791C261}"/>
    <hyperlink ref="C243" r:id="rId491" display="67" xr:uid="{2DC5AF54-80C9-440B-91F8-75B416BEF54D}"/>
    <hyperlink ref="E236" r:id="rId492" xr:uid="{192BD0F1-53E2-4659-9E9F-874354E063B3}"/>
    <hyperlink ref="E234" r:id="rId493" xr:uid="{589EE70A-418D-402D-AB06-4D9C2B33FF6D}"/>
    <hyperlink ref="E235" r:id="rId494" xr:uid="{4ABC875D-0C17-4242-9ECA-CC64750C53B7}"/>
    <hyperlink ref="E239" r:id="rId495" xr:uid="{B5E6B242-24E0-4EDB-A6B6-D3ED2C24750C}"/>
    <hyperlink ref="C245" r:id="rId496" display="653" xr:uid="{53769BB3-BF1F-4FB6-86B1-7C5E19FA3CA5}"/>
    <hyperlink ref="C246" r:id="rId497" display="655" xr:uid="{60178AE6-B8B7-48AA-A15C-724A288C2190}"/>
    <hyperlink ref="C247" r:id="rId498" display="658" xr:uid="{478A125D-4C92-424E-9E01-0B4FC6464373}"/>
    <hyperlink ref="C248" r:id="rId499" display="661" xr:uid="{857C0E5E-25C4-4AB7-9B13-D37A1C459A69}"/>
    <hyperlink ref="C249" r:id="rId500" display="663" xr:uid="{0355FD89-3A73-4D72-B62C-7E67D6294931}"/>
    <hyperlink ref="C244" r:id="rId501" display="648" xr:uid="{31F19DCC-6339-4B19-AB81-6A304623368C}"/>
    <hyperlink ref="C234" r:id="rId502" display="107640" xr:uid="{D3054133-B15C-4BD1-B3F6-CB4C326BC8D6}"/>
    <hyperlink ref="C235" r:id="rId503" display="107639" xr:uid="{ED927708-474D-4CAA-A1B0-D4C34BA0BEA8}"/>
    <hyperlink ref="C236" r:id="rId504" display="107637" xr:uid="{8C410398-5B21-4897-A208-6DB631BEB3D6}"/>
    <hyperlink ref="C237" r:id="rId505" display="107636" xr:uid="{DCACBDF5-A699-493D-A9D9-98799A3AA1F4}"/>
    <hyperlink ref="C239" r:id="rId506" display="107635" xr:uid="{F94DDCD6-4418-412A-ABA5-A5EAB88815AA}"/>
    <hyperlink ref="C238" r:id="rId507" display="107641" xr:uid="{0F36029D-96DB-48C4-AB5C-28219BCDA231}"/>
    <hyperlink ref="C265" r:id="rId508" display="377833" xr:uid="{AE3CBA54-1400-47F6-8DF3-98C405F9398F}"/>
    <hyperlink ref="C267" r:id="rId509" display="377833" xr:uid="{5A2DEF9C-0D40-4CE2-9C3F-F89BF6AA9B56}"/>
    <hyperlink ref="C266" r:id="rId510" display="377865" xr:uid="{11D9CC1B-1FE8-41CF-880B-18E96D31C1CF}"/>
    <hyperlink ref="C262" r:id="rId511" display="709182882" xr:uid="{A4A8B243-0CD2-473F-8A35-EDF8DECA2BB9}"/>
    <hyperlink ref="C260" r:id="rId512" display="709181263" xr:uid="{9690C674-7DDF-4BBE-B382-AD18D2AF93D5}"/>
    <hyperlink ref="C261" r:id="rId513" display="709182676" xr:uid="{F9484FD0-BC11-4C42-A90B-8AB37D90665F}"/>
    <hyperlink ref="C264" r:id="rId514" display="709182722" xr:uid="{A15295FF-871C-4698-ACF5-E48F0203AD26}"/>
    <hyperlink ref="C263" r:id="rId515" display="709183048" xr:uid="{FF74B6F9-3DF9-4405-B9FC-B39F2F7D06CD}"/>
    <hyperlink ref="C268" r:id="rId516" xr:uid="{833F7ECF-39EF-4A15-A6C2-BEABC303F14F}"/>
    <hyperlink ref="E238" r:id="rId517" xr:uid="{27CCCA32-9E54-4741-AC5F-B7C2FB65B73A}"/>
    <hyperlink ref="E237" r:id="rId518" xr:uid="{07B74507-6A1D-4BD0-A252-B32C756801C7}"/>
    <hyperlink ref="E250" r:id="rId519" xr:uid="{57C52E39-2FB9-44D5-A678-FC8C25E6C52E}"/>
    <hyperlink ref="E254" r:id="rId520" xr:uid="{19358233-0087-4EC3-8962-23733BE4452F}"/>
    <hyperlink ref="E255" r:id="rId521" xr:uid="{4618C14C-23C5-4463-9FC4-194423F04913}"/>
    <hyperlink ref="E252" r:id="rId522" xr:uid="{2780431E-9D73-4CFD-BCFC-DA8C49F8703D}"/>
    <hyperlink ref="E251" r:id="rId523" xr:uid="{8DA279B9-225A-41E1-85D9-884285F808DC}"/>
    <hyperlink ref="E253" r:id="rId524" xr:uid="{C2717387-6F9C-4EB9-AC37-A052513D6595}"/>
    <hyperlink ref="C253" r:id="rId525" display="699" xr:uid="{F57B7C70-CE81-4005-8CAD-2F0DE197A061}"/>
    <hyperlink ref="C252" r:id="rId526" display="670" xr:uid="{0477CADC-8744-4CEF-A0C0-59D6EC97C199}"/>
    <hyperlink ref="C251" r:id="rId527" display="681" xr:uid="{49244540-C21B-485E-A2B5-BED4EFCFBEC4}"/>
    <hyperlink ref="C250" r:id="rId528" display="682" xr:uid="{DC3847D1-9A95-4F70-BFEA-27DD7459B1F8}"/>
    <hyperlink ref="C255" r:id="rId529" display="698" xr:uid="{3A9718A9-536C-4883-BF8F-1A287441E6B5}"/>
    <hyperlink ref="C254" r:id="rId530" display="690" xr:uid="{896B07C9-9E32-4D10-8475-39F18E6A7F42}"/>
    <hyperlink ref="F250" r:id="rId531" display="1553" xr:uid="{D300883F-9683-41C9-A0B5-DA07C744520A}"/>
    <hyperlink ref="F251" r:id="rId532" display="1556" xr:uid="{85495560-3BDD-4B33-93EA-4331CF8E9B3A}"/>
    <hyperlink ref="F252" r:id="rId533" display="1559" xr:uid="{50D63FC1-6E33-40B9-A534-E41FAF6F6AC7}"/>
    <hyperlink ref="F254" r:id="rId534" display="1564" xr:uid="{5D34F94B-2A88-4A5E-84AC-A88796584E35}"/>
    <hyperlink ref="F253" r:id="rId535" display="1563" xr:uid="{F79078F5-BCF1-4BD6-B757-4ADC6BA448E0}"/>
    <hyperlink ref="F255" r:id="rId536" display="1565" xr:uid="{5B9EF902-4022-46C4-B772-5DE57597751E}"/>
    <hyperlink ref="C257" r:id="rId537" display="688" xr:uid="{F3F266FB-AE3B-4D53-B92C-D51C5D884F3E}"/>
    <hyperlink ref="C256" r:id="rId538" display="691" xr:uid="{A64FDD42-259C-4524-BAA7-E5DE8BEC8FB9}"/>
    <hyperlink ref="C259" r:id="rId539" display="684" xr:uid="{9188583E-0024-4564-B87A-35F736F18678}"/>
    <hyperlink ref="C258" r:id="rId540" display="666" xr:uid="{CF780ABC-6D10-4F8E-A3C2-BD2A89E56CC6}"/>
    <hyperlink ref="C269" r:id="rId541" display="1013" xr:uid="{907E36B8-DDCA-4870-BFB3-59E5AEEE1CBE}"/>
    <hyperlink ref="E258" r:id="rId542" xr:uid="{91266A83-0891-4B45-9651-F26737CE70D7}"/>
    <hyperlink ref="E257" r:id="rId543" xr:uid="{9F7476A3-FB77-4086-BC71-63909DFCAF3A}"/>
    <hyperlink ref="E256" r:id="rId544" xr:uid="{97CEA542-FD82-4CC4-B632-553F21D64706}"/>
    <hyperlink ref="E259" r:id="rId545" xr:uid="{7D5ADF9A-8D8D-4C7D-9F3C-3B61CD612221}"/>
    <hyperlink ref="C270" r:id="rId546" display="679" xr:uid="{F72F7D03-C155-40EA-95D6-EA1B250F6008}"/>
    <hyperlink ref="C271" r:id="rId547" display="704" xr:uid="{762618D6-6398-4EF1-9D3D-CE66A609EF83}"/>
    <hyperlink ref="C272" r:id="rId548" display="23510810" xr:uid="{C0216B68-6E17-4E71-9B61-3E8CC15E1724}"/>
  </hyperlinks>
  <pageMargins left="0.7" right="0.7" top="0.75" bottom="0.75" header="0.3" footer="0.3"/>
  <tableParts count="1">
    <tablePart r:id="rId54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774D-DC47-470D-B077-B9BF1AAAE9C3}">
  <dimension ref="A1:H37"/>
  <sheetViews>
    <sheetView topLeftCell="F1" workbookViewId="0">
      <selection activeCell="H16" sqref="H16"/>
    </sheetView>
  </sheetViews>
  <sheetFormatPr defaultRowHeight="15"/>
  <cols>
    <col min="1" max="1" width="10.85546875" bestFit="1" customWidth="1"/>
    <col min="2" max="2" width="14.140625" customWidth="1"/>
    <col min="3" max="3" width="12.28515625" bestFit="1" customWidth="1"/>
    <col min="4" max="4" width="12" bestFit="1" customWidth="1"/>
    <col min="5" max="5" width="9.5703125" bestFit="1" customWidth="1"/>
    <col min="6" max="6" width="10.7109375" bestFit="1" customWidth="1"/>
    <col min="7" max="7" width="165.28515625" customWidth="1"/>
  </cols>
  <sheetData>
    <row r="1" spans="1:8">
      <c r="A1" t="s">
        <v>1</v>
      </c>
      <c r="B1" t="s">
        <v>66</v>
      </c>
      <c r="C1" t="s">
        <v>2</v>
      </c>
      <c r="D1" t="s">
        <v>1132</v>
      </c>
      <c r="E1" t="s">
        <v>1133</v>
      </c>
      <c r="F1" t="s">
        <v>31</v>
      </c>
      <c r="G1" t="s">
        <v>1134</v>
      </c>
      <c r="H1" t="s">
        <v>1135</v>
      </c>
    </row>
    <row r="2" spans="1:8">
      <c r="A2" t="s">
        <v>11</v>
      </c>
      <c r="B2" s="50">
        <v>45992</v>
      </c>
      <c r="C2" t="s">
        <v>1136</v>
      </c>
      <c r="D2" t="s">
        <v>14</v>
      </c>
      <c r="E2">
        <v>11330</v>
      </c>
      <c r="F2" t="s">
        <v>1137</v>
      </c>
      <c r="G2" t="s">
        <v>1138</v>
      </c>
      <c r="H2">
        <f>+PREVENTIVOS_DB[[#This Row],[HM]]+400</f>
        <v>11730</v>
      </c>
    </row>
    <row r="3" spans="1:8">
      <c r="A3" t="s">
        <v>13</v>
      </c>
      <c r="B3" s="50">
        <v>46023</v>
      </c>
      <c r="C3" t="s">
        <v>1136</v>
      </c>
      <c r="D3" t="s">
        <v>14</v>
      </c>
      <c r="E3">
        <v>4317</v>
      </c>
      <c r="F3" t="s">
        <v>1137</v>
      </c>
      <c r="G3" t="s">
        <v>1138</v>
      </c>
      <c r="H3">
        <f>+PREVENTIVOS_DB[[#This Row],[HM]]+400</f>
        <v>4717</v>
      </c>
    </row>
    <row r="4" spans="1:8">
      <c r="A4" t="s">
        <v>15</v>
      </c>
      <c r="B4" s="50">
        <v>45748</v>
      </c>
      <c r="C4" t="s">
        <v>1136</v>
      </c>
      <c r="D4" t="s">
        <v>14</v>
      </c>
      <c r="E4">
        <v>0</v>
      </c>
      <c r="F4" t="s">
        <v>1137</v>
      </c>
      <c r="G4" t="s">
        <v>1139</v>
      </c>
      <c r="H4">
        <f>+PREVENTIVOS_DB[[#This Row],[HM]]+400</f>
        <v>400</v>
      </c>
    </row>
    <row r="5" spans="1:8">
      <c r="A5" t="s">
        <v>18</v>
      </c>
      <c r="B5" s="50">
        <v>45901</v>
      </c>
      <c r="C5" t="s">
        <v>1136</v>
      </c>
      <c r="D5" t="s">
        <v>14</v>
      </c>
      <c r="E5">
        <v>5698</v>
      </c>
      <c r="F5" t="s">
        <v>1137</v>
      </c>
      <c r="G5" t="s">
        <v>299</v>
      </c>
      <c r="H5">
        <f>+PREVENTIVOS_DB[[#This Row],[HM]]+400</f>
        <v>6098</v>
      </c>
    </row>
    <row r="6" spans="1:8">
      <c r="A6" t="s">
        <v>20</v>
      </c>
      <c r="B6" s="50">
        <v>45962</v>
      </c>
      <c r="C6" t="s">
        <v>1136</v>
      </c>
      <c r="D6" t="s">
        <v>14</v>
      </c>
      <c r="E6">
        <v>0</v>
      </c>
      <c r="F6" t="s">
        <v>1137</v>
      </c>
      <c r="G6" t="s">
        <v>1139</v>
      </c>
      <c r="H6">
        <f>+PREVENTIVOS_DB[[#This Row],[HM]]+400</f>
        <v>400</v>
      </c>
    </row>
    <row r="7" spans="1:8">
      <c r="A7" t="s">
        <v>23</v>
      </c>
      <c r="B7" s="50">
        <v>46238</v>
      </c>
      <c r="C7" t="s">
        <v>1136</v>
      </c>
      <c r="D7" t="s">
        <v>14</v>
      </c>
      <c r="E7">
        <v>7245</v>
      </c>
      <c r="F7" t="s">
        <v>1137</v>
      </c>
      <c r="G7" t="s">
        <v>319</v>
      </c>
      <c r="H7">
        <f>+PREVENTIVOS_DB[[#This Row],[HM]]+400</f>
        <v>7645</v>
      </c>
    </row>
    <row r="8" spans="1:8">
      <c r="A8" t="s">
        <v>24</v>
      </c>
      <c r="B8" s="50">
        <v>45962</v>
      </c>
      <c r="C8" t="s">
        <v>1136</v>
      </c>
      <c r="D8" t="s">
        <v>14</v>
      </c>
      <c r="E8">
        <v>642</v>
      </c>
      <c r="F8" t="s">
        <v>1137</v>
      </c>
      <c r="G8" t="s">
        <v>323</v>
      </c>
      <c r="H8">
        <f>+PREVENTIVOS_DB[[#This Row],[HM]]+400</f>
        <v>1042</v>
      </c>
    </row>
    <row r="9" spans="1:8">
      <c r="A9" t="s">
        <v>26</v>
      </c>
      <c r="B9" s="50">
        <v>45962</v>
      </c>
      <c r="C9" t="s">
        <v>1136</v>
      </c>
      <c r="D9" t="s">
        <v>14</v>
      </c>
      <c r="E9">
        <v>5351</v>
      </c>
      <c r="F9" t="s">
        <v>1137</v>
      </c>
      <c r="G9" t="s">
        <v>318</v>
      </c>
      <c r="H9">
        <f>+PREVENTIVOS_DB[[#This Row],[HM]]+400</f>
        <v>5751</v>
      </c>
    </row>
    <row r="10" spans="1:8">
      <c r="A10" t="s">
        <v>27</v>
      </c>
      <c r="B10" s="50">
        <v>45901</v>
      </c>
      <c r="C10" t="s">
        <v>1136</v>
      </c>
      <c r="D10" t="s">
        <v>14</v>
      </c>
      <c r="E10">
        <v>5141</v>
      </c>
      <c r="F10" t="s">
        <v>1137</v>
      </c>
      <c r="G10" t="s">
        <v>288</v>
      </c>
      <c r="H10">
        <f>+PREVENTIVOS_DB[[#This Row],[HM]]+400</f>
        <v>5541</v>
      </c>
    </row>
    <row r="11" spans="1:8">
      <c r="A11" t="s">
        <v>28</v>
      </c>
      <c r="B11" s="50">
        <v>45809</v>
      </c>
      <c r="C11" t="s">
        <v>1136</v>
      </c>
      <c r="D11" t="s">
        <v>14</v>
      </c>
      <c r="E11">
        <v>0</v>
      </c>
      <c r="F11" t="s">
        <v>1137</v>
      </c>
      <c r="G11" t="s">
        <v>1140</v>
      </c>
      <c r="H11">
        <f>+PREVENTIVOS_DB[[#This Row],[HM]]+400</f>
        <v>400</v>
      </c>
    </row>
    <row r="12" spans="1:8">
      <c r="A12" t="s">
        <v>29</v>
      </c>
      <c r="B12" s="50">
        <v>46146</v>
      </c>
      <c r="C12" t="s">
        <v>1136</v>
      </c>
      <c r="D12" t="s">
        <v>64</v>
      </c>
      <c r="E12">
        <v>0</v>
      </c>
      <c r="F12" t="s">
        <v>1137</v>
      </c>
      <c r="G12" t="s">
        <v>154</v>
      </c>
      <c r="H12">
        <f>+PREVENTIVOS_DB[[#This Row],[HM]]+400</f>
        <v>400</v>
      </c>
    </row>
    <row r="13" spans="1:8">
      <c r="A13" t="s">
        <v>33</v>
      </c>
      <c r="B13" s="50">
        <v>46155</v>
      </c>
      <c r="C13" t="s">
        <v>1136</v>
      </c>
      <c r="D13" t="s">
        <v>14</v>
      </c>
      <c r="E13">
        <v>0</v>
      </c>
      <c r="F13" t="s">
        <v>1137</v>
      </c>
      <c r="G13" t="s">
        <v>1138</v>
      </c>
      <c r="H13">
        <f>+PREVENTIVOS_DB[[#This Row],[HM]]+400</f>
        <v>400</v>
      </c>
    </row>
    <row r="14" spans="1:8">
      <c r="A14" t="s">
        <v>34</v>
      </c>
      <c r="B14" s="50">
        <v>45739</v>
      </c>
      <c r="C14" t="s">
        <v>1136</v>
      </c>
      <c r="D14" t="s">
        <v>14</v>
      </c>
      <c r="E14">
        <v>0</v>
      </c>
      <c r="F14" t="s">
        <v>1137</v>
      </c>
      <c r="G14" t="s">
        <v>1138</v>
      </c>
      <c r="H14">
        <f>+PREVENTIVOS_DB[[#This Row],[HM]]+400</f>
        <v>400</v>
      </c>
    </row>
    <row r="15" spans="1:8">
      <c r="A15" t="s">
        <v>35</v>
      </c>
      <c r="B15" s="50">
        <v>46055</v>
      </c>
      <c r="C15" t="s">
        <v>1136</v>
      </c>
      <c r="D15" t="s">
        <v>14</v>
      </c>
      <c r="E15">
        <v>0</v>
      </c>
      <c r="F15" t="s">
        <v>1137</v>
      </c>
      <c r="G15" t="s">
        <v>1141</v>
      </c>
      <c r="H15">
        <f>+PREVENTIVOS_DB[[#This Row],[HM]]+400</f>
        <v>400</v>
      </c>
    </row>
    <row r="16" spans="1:8" ht="45.75">
      <c r="A16" t="s">
        <v>38</v>
      </c>
      <c r="B16" s="50">
        <v>46275</v>
      </c>
      <c r="C16" t="s">
        <v>1136</v>
      </c>
      <c r="D16" t="s">
        <v>14</v>
      </c>
      <c r="E16">
        <v>6032</v>
      </c>
      <c r="F16">
        <v>33880</v>
      </c>
      <c r="G16" s="70" t="s">
        <v>1142</v>
      </c>
      <c r="H16">
        <f>+PREVENTIVOS_DB[[#This Row],[HM]]+400</f>
        <v>6432</v>
      </c>
    </row>
    <row r="17" spans="1:8">
      <c r="A17" t="s">
        <v>39</v>
      </c>
      <c r="B17" s="50">
        <v>46327</v>
      </c>
      <c r="C17" t="s">
        <v>1136</v>
      </c>
      <c r="D17" t="s">
        <v>14</v>
      </c>
      <c r="E17">
        <v>0</v>
      </c>
      <c r="F17" t="s">
        <v>1137</v>
      </c>
      <c r="G17" t="s">
        <v>317</v>
      </c>
      <c r="H17">
        <f>+PREVENTIVOS_DB[[#This Row],[HM]]+400</f>
        <v>400</v>
      </c>
    </row>
    <row r="18" spans="1:8">
      <c r="A18" t="s">
        <v>40</v>
      </c>
      <c r="B18" s="166">
        <v>45793</v>
      </c>
      <c r="C18" t="s">
        <v>1136</v>
      </c>
      <c r="D18" t="s">
        <v>64</v>
      </c>
      <c r="E18">
        <v>0</v>
      </c>
      <c r="F18" t="s">
        <v>1137</v>
      </c>
      <c r="G18" s="167" t="s">
        <v>151</v>
      </c>
      <c r="H18">
        <f>+PREVENTIVOS_DB[[#This Row],[HM]]+400</f>
        <v>400</v>
      </c>
    </row>
    <row r="19" spans="1:8">
      <c r="A19" t="s">
        <v>43</v>
      </c>
      <c r="B19" s="50">
        <v>45901</v>
      </c>
      <c r="C19" t="s">
        <v>1136</v>
      </c>
      <c r="D19" t="s">
        <v>14</v>
      </c>
      <c r="E19">
        <v>0</v>
      </c>
      <c r="F19" t="s">
        <v>1137</v>
      </c>
      <c r="G19" s="168" t="s">
        <v>268</v>
      </c>
      <c r="H19">
        <f>+PREVENTIVOS_DB[[#This Row],[HM]]+400</f>
        <v>400</v>
      </c>
    </row>
    <row r="20" spans="1:8">
      <c r="A20" t="s">
        <v>44</v>
      </c>
      <c r="B20" s="50">
        <v>45901</v>
      </c>
      <c r="C20" t="s">
        <v>1136</v>
      </c>
      <c r="D20" t="s">
        <v>14</v>
      </c>
      <c r="E20">
        <v>0</v>
      </c>
      <c r="F20" t="s">
        <v>1137</v>
      </c>
      <c r="G20" t="s">
        <v>311</v>
      </c>
      <c r="H20">
        <f>+PREVENTIVOS_DB[[#This Row],[HM]]+400</f>
        <v>400</v>
      </c>
    </row>
    <row r="21" spans="1:8">
      <c r="A21" t="s">
        <v>45</v>
      </c>
      <c r="B21" s="50">
        <v>45779</v>
      </c>
      <c r="C21" t="s">
        <v>1136</v>
      </c>
      <c r="D21" t="s">
        <v>64</v>
      </c>
      <c r="E21">
        <v>0</v>
      </c>
      <c r="F21" t="s">
        <v>1137</v>
      </c>
      <c r="G21" t="s">
        <v>154</v>
      </c>
      <c r="H21">
        <f>+PREVENTIVOS_DB[[#This Row],[HM]]+400</f>
        <v>400</v>
      </c>
    </row>
    <row r="22" spans="1:8">
      <c r="A22" t="s">
        <v>47</v>
      </c>
      <c r="B22" s="50">
        <v>46058</v>
      </c>
      <c r="C22" t="s">
        <v>1136</v>
      </c>
      <c r="D22" t="s">
        <v>14</v>
      </c>
      <c r="E22">
        <v>0</v>
      </c>
      <c r="F22" t="s">
        <v>1137</v>
      </c>
      <c r="G22" s="167" t="s">
        <v>381</v>
      </c>
      <c r="H22">
        <f>+PREVENTIVOS_DB[[#This Row],[HM]]+400</f>
        <v>400</v>
      </c>
    </row>
    <row r="23" spans="1:8">
      <c r="A23" t="s">
        <v>49</v>
      </c>
      <c r="B23" s="50">
        <v>45826</v>
      </c>
      <c r="C23" t="s">
        <v>1136</v>
      </c>
      <c r="D23" t="s">
        <v>14</v>
      </c>
      <c r="E23">
        <v>6193</v>
      </c>
      <c r="F23" t="s">
        <v>1137</v>
      </c>
      <c r="G23" t="s">
        <v>1143</v>
      </c>
      <c r="H23">
        <f>+PREVENTIVOS_DB[[#This Row],[HM]]+400</f>
        <v>6593</v>
      </c>
    </row>
    <row r="24" spans="1:8">
      <c r="A24" t="s">
        <v>50</v>
      </c>
      <c r="B24" s="50">
        <v>45677</v>
      </c>
      <c r="C24" t="s">
        <v>1136</v>
      </c>
      <c r="D24" t="s">
        <v>64</v>
      </c>
      <c r="E24">
        <v>0</v>
      </c>
      <c r="F24" t="s">
        <v>1137</v>
      </c>
      <c r="G24" t="s">
        <v>368</v>
      </c>
      <c r="H24">
        <f>+PREVENTIVOS_DB[[#This Row],[HM]]+400</f>
        <v>400</v>
      </c>
    </row>
    <row r="25" spans="1:8">
      <c r="A25" t="s">
        <v>52</v>
      </c>
      <c r="B25" s="50">
        <v>45870</v>
      </c>
      <c r="C25" t="s">
        <v>1136</v>
      </c>
      <c r="D25" t="s">
        <v>64</v>
      </c>
      <c r="E25">
        <v>0</v>
      </c>
      <c r="F25" t="s">
        <v>1137</v>
      </c>
      <c r="G25" t="s">
        <v>368</v>
      </c>
      <c r="H25">
        <f>+PREVENTIVOS_DB[[#This Row],[HM]]+400</f>
        <v>400</v>
      </c>
    </row>
    <row r="26" spans="1:8">
      <c r="A26" t="s">
        <v>53</v>
      </c>
      <c r="B26" s="50">
        <v>46041</v>
      </c>
      <c r="C26" t="s">
        <v>1136</v>
      </c>
      <c r="D26" t="s">
        <v>64</v>
      </c>
      <c r="E26">
        <v>0</v>
      </c>
      <c r="F26" t="s">
        <v>1137</v>
      </c>
      <c r="G26" t="s">
        <v>365</v>
      </c>
      <c r="H26">
        <f>+PREVENTIVOS_DB[[#This Row],[HM]]+400</f>
        <v>400</v>
      </c>
    </row>
    <row r="27" spans="1:8">
      <c r="A27" t="s">
        <v>54</v>
      </c>
      <c r="B27" s="50">
        <v>45383</v>
      </c>
      <c r="C27" t="s">
        <v>1136</v>
      </c>
      <c r="D27" t="s">
        <v>64</v>
      </c>
      <c r="E27">
        <v>0</v>
      </c>
      <c r="F27" t="s">
        <v>1137</v>
      </c>
      <c r="G27" t="s">
        <v>368</v>
      </c>
      <c r="H27">
        <f>+PREVENTIVOS_DB[[#This Row],[HM]]+400</f>
        <v>400</v>
      </c>
    </row>
    <row r="28" spans="1:8">
      <c r="A28" t="s">
        <v>55</v>
      </c>
      <c r="B28" s="50">
        <v>45962</v>
      </c>
      <c r="C28" t="s">
        <v>1136</v>
      </c>
      <c r="D28" t="s">
        <v>64</v>
      </c>
      <c r="E28">
        <v>0</v>
      </c>
      <c r="F28" t="s">
        <v>1137</v>
      </c>
      <c r="G28" t="s">
        <v>368</v>
      </c>
      <c r="H28">
        <f>+PREVENTIVOS_DB[[#This Row],[HM]]+400</f>
        <v>400</v>
      </c>
    </row>
    <row r="29" spans="1:8">
      <c r="A29" t="s">
        <v>57</v>
      </c>
      <c r="B29" s="50">
        <v>46023</v>
      </c>
      <c r="C29" t="s">
        <v>1136</v>
      </c>
      <c r="D29" t="s">
        <v>64</v>
      </c>
      <c r="E29">
        <v>0</v>
      </c>
      <c r="F29" t="s">
        <v>1137</v>
      </c>
      <c r="G29" t="s">
        <v>368</v>
      </c>
      <c r="H29">
        <f>+PREVENTIVOS_DB[[#This Row],[HM]]+400</f>
        <v>400</v>
      </c>
    </row>
    <row r="30" spans="1:8">
      <c r="A30" t="s">
        <v>59</v>
      </c>
      <c r="B30" s="50">
        <v>45870</v>
      </c>
      <c r="C30" t="s">
        <v>1136</v>
      </c>
      <c r="D30" t="s">
        <v>64</v>
      </c>
      <c r="E30">
        <v>0</v>
      </c>
      <c r="F30" t="s">
        <v>1137</v>
      </c>
      <c r="G30" t="s">
        <v>368</v>
      </c>
      <c r="H30">
        <f>+PREVENTIVOS_DB[[#This Row],[HM]]+400</f>
        <v>400</v>
      </c>
    </row>
    <row r="31" spans="1:8">
      <c r="A31" t="s">
        <v>61</v>
      </c>
      <c r="B31" s="50">
        <v>45778</v>
      </c>
      <c r="C31" t="s">
        <v>1136</v>
      </c>
      <c r="D31" t="s">
        <v>14</v>
      </c>
      <c r="E31">
        <v>0</v>
      </c>
      <c r="F31" t="s">
        <v>1137</v>
      </c>
      <c r="G31" t="s">
        <v>151</v>
      </c>
      <c r="H31">
        <f>+PREVENTIVOS_DB[[#This Row],[HM]]+400</f>
        <v>400</v>
      </c>
    </row>
    <row r="32" spans="1:8">
      <c r="A32" t="s">
        <v>62</v>
      </c>
      <c r="B32" s="50">
        <v>45292</v>
      </c>
      <c r="C32" t="s">
        <v>1136</v>
      </c>
      <c r="D32" t="s">
        <v>64</v>
      </c>
      <c r="E32">
        <v>102298</v>
      </c>
      <c r="F32" t="s">
        <v>1137</v>
      </c>
      <c r="G32" t="s">
        <v>1144</v>
      </c>
      <c r="H32">
        <f>+PREVENTIVOS_DB[[#This Row],[HM]]+400</f>
        <v>102698</v>
      </c>
    </row>
    <row r="33" spans="1:8">
      <c r="A33" t="s">
        <v>65</v>
      </c>
      <c r="B33" s="50">
        <v>45689</v>
      </c>
      <c r="C33" t="s">
        <v>1145</v>
      </c>
      <c r="D33" t="s">
        <v>64</v>
      </c>
      <c r="E33">
        <v>0</v>
      </c>
      <c r="F33" t="s">
        <v>1137</v>
      </c>
      <c r="G33" t="s">
        <v>1144</v>
      </c>
      <c r="H33">
        <f>+PREVENTIVOS_DB[[#This Row],[HM]]+400</f>
        <v>400</v>
      </c>
    </row>
    <row r="34" spans="1:8">
      <c r="A34" t="s">
        <v>33</v>
      </c>
      <c r="B34" s="50">
        <v>46155</v>
      </c>
      <c r="C34" t="s">
        <v>1136</v>
      </c>
      <c r="D34" t="s">
        <v>14</v>
      </c>
      <c r="E34">
        <v>2754</v>
      </c>
      <c r="F34" t="s">
        <v>1137</v>
      </c>
      <c r="G34" t="s">
        <v>464</v>
      </c>
      <c r="H34">
        <f>+PREVENTIVOS_DB[[#This Row],[HM]]+400</f>
        <v>3154</v>
      </c>
    </row>
    <row r="35" spans="1:8">
      <c r="A35" t="s">
        <v>61</v>
      </c>
      <c r="B35" s="50">
        <v>46062</v>
      </c>
      <c r="C35" t="s">
        <v>1146</v>
      </c>
      <c r="D35" t="s">
        <v>14</v>
      </c>
      <c r="E35">
        <v>50</v>
      </c>
      <c r="F35" t="s">
        <v>1137</v>
      </c>
      <c r="G35" t="s">
        <v>1147</v>
      </c>
      <c r="H35">
        <f>+PREVENTIVOS_DB[[#This Row],[HM]]+400</f>
        <v>450</v>
      </c>
    </row>
    <row r="36" spans="1:8">
      <c r="A36" t="s">
        <v>62</v>
      </c>
      <c r="B36" s="50">
        <v>46154</v>
      </c>
      <c r="C36" t="s">
        <v>1136</v>
      </c>
      <c r="D36" t="s">
        <v>64</v>
      </c>
      <c r="E36">
        <v>102298</v>
      </c>
      <c r="F36" t="s">
        <v>1137</v>
      </c>
      <c r="G36" t="s">
        <v>1144</v>
      </c>
      <c r="H36">
        <f>+PREVENTIVOS_DB[[#This Row],[HM]]+400</f>
        <v>102698</v>
      </c>
    </row>
    <row r="37" spans="1:8">
      <c r="A37" t="s">
        <v>65</v>
      </c>
      <c r="B37" s="50">
        <v>46160</v>
      </c>
      <c r="C37" t="s">
        <v>1136</v>
      </c>
      <c r="D37" t="s">
        <v>64</v>
      </c>
      <c r="E37">
        <v>111034</v>
      </c>
      <c r="F37" t="s">
        <v>1137</v>
      </c>
      <c r="G37" t="s">
        <v>1144</v>
      </c>
      <c r="H37">
        <f>+PREVENTIVOS_DB[[#This Row],[HM]]+400</f>
        <v>111434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16450-BCFC-4C45-8E37-4B874D3E77A5}">
  <dimension ref="A2:B38"/>
  <sheetViews>
    <sheetView workbookViewId="0">
      <selection activeCell="B31" sqref="B31"/>
    </sheetView>
  </sheetViews>
  <sheetFormatPr defaultRowHeight="15"/>
  <cols>
    <col min="1" max="1" width="12.85546875" bestFit="1" customWidth="1"/>
    <col min="2" max="2" width="16.5703125" style="115" bestFit="1" customWidth="1"/>
  </cols>
  <sheetData>
    <row r="2" spans="1:2">
      <c r="A2" s="169" t="s">
        <v>1</v>
      </c>
      <c r="B2" s="115" t="s">
        <v>1148</v>
      </c>
    </row>
    <row r="3" spans="1:2">
      <c r="A3" t="s">
        <v>11</v>
      </c>
      <c r="B3" s="115">
        <v>10607863</v>
      </c>
    </row>
    <row r="4" spans="1:2">
      <c r="A4" t="s">
        <v>49</v>
      </c>
      <c r="B4" s="115">
        <v>6612174</v>
      </c>
    </row>
    <row r="5" spans="1:2">
      <c r="A5" t="s">
        <v>23</v>
      </c>
      <c r="B5" s="115">
        <v>1386433</v>
      </c>
    </row>
    <row r="6" spans="1:2">
      <c r="A6" t="s">
        <v>26</v>
      </c>
      <c r="B6" s="115">
        <v>1297100</v>
      </c>
    </row>
    <row r="7" spans="1:2">
      <c r="A7" t="s">
        <v>33</v>
      </c>
      <c r="B7" s="115">
        <v>2212177</v>
      </c>
    </row>
    <row r="8" spans="1:2">
      <c r="A8" t="s">
        <v>38</v>
      </c>
      <c r="B8" s="115">
        <v>233377</v>
      </c>
    </row>
    <row r="9" spans="1:2">
      <c r="A9" t="s">
        <v>43</v>
      </c>
      <c r="B9" s="115">
        <v>1911735</v>
      </c>
    </row>
    <row r="10" spans="1:2">
      <c r="A10" t="s">
        <v>47</v>
      </c>
      <c r="B10" s="115">
        <v>3883842</v>
      </c>
    </row>
    <row r="11" spans="1:2">
      <c r="A11" t="s">
        <v>34</v>
      </c>
      <c r="B11" s="115">
        <v>1842722</v>
      </c>
    </row>
    <row r="12" spans="1:2">
      <c r="A12" t="s">
        <v>62</v>
      </c>
      <c r="B12" s="115">
        <v>630700</v>
      </c>
    </row>
    <row r="13" spans="1:2">
      <c r="A13" t="s">
        <v>65</v>
      </c>
      <c r="B13" s="115">
        <v>797300</v>
      </c>
    </row>
    <row r="14" spans="1:2">
      <c r="A14" t="s">
        <v>61</v>
      </c>
      <c r="B14" s="115">
        <v>47600</v>
      </c>
    </row>
    <row r="15" spans="1:2">
      <c r="A15" t="s">
        <v>13</v>
      </c>
      <c r="B15" s="115">
        <v>3953147</v>
      </c>
    </row>
    <row r="16" spans="1:2">
      <c r="A16" t="s">
        <v>44</v>
      </c>
      <c r="B16" s="115">
        <v>366520</v>
      </c>
    </row>
    <row r="17" spans="1:2">
      <c r="A17" t="s">
        <v>614</v>
      </c>
      <c r="B17" s="115">
        <v>1222229</v>
      </c>
    </row>
    <row r="18" spans="1:2">
      <c r="A18" t="s">
        <v>55</v>
      </c>
      <c r="B18" s="115">
        <v>566240</v>
      </c>
    </row>
    <row r="19" spans="1:2">
      <c r="A19" t="s">
        <v>54</v>
      </c>
      <c r="B19" s="115">
        <v>95200</v>
      </c>
    </row>
    <row r="20" spans="1:2">
      <c r="A20" t="s">
        <v>52</v>
      </c>
      <c r="B20" s="115">
        <v>1081921</v>
      </c>
    </row>
    <row r="21" spans="1:2">
      <c r="A21" t="s">
        <v>50</v>
      </c>
      <c r="B21" s="115">
        <v>513395</v>
      </c>
    </row>
    <row r="22" spans="1:2">
      <c r="A22" t="s">
        <v>53</v>
      </c>
      <c r="B22" s="115">
        <v>412505</v>
      </c>
    </row>
    <row r="23" spans="1:2">
      <c r="A23" t="s">
        <v>18</v>
      </c>
      <c r="B23" s="115">
        <v>2905296</v>
      </c>
    </row>
    <row r="24" spans="1:2">
      <c r="A24" t="s">
        <v>39</v>
      </c>
      <c r="B24" s="115">
        <v>178500</v>
      </c>
    </row>
    <row r="25" spans="1:2">
      <c r="A25" t="s">
        <v>24</v>
      </c>
      <c r="B25" s="115">
        <v>3788213</v>
      </c>
    </row>
    <row r="26" spans="1:2">
      <c r="A26" t="s">
        <v>20</v>
      </c>
      <c r="B26" s="115">
        <v>1328067</v>
      </c>
    </row>
    <row r="27" spans="1:2">
      <c r="A27" t="s">
        <v>27</v>
      </c>
      <c r="B27" s="115">
        <v>71400</v>
      </c>
    </row>
    <row r="28" spans="1:2">
      <c r="A28" t="s">
        <v>57</v>
      </c>
      <c r="B28" s="115">
        <v>759985</v>
      </c>
    </row>
    <row r="29" spans="1:2">
      <c r="A29" t="s">
        <v>40</v>
      </c>
      <c r="B29" s="115">
        <v>718760</v>
      </c>
    </row>
    <row r="30" spans="1:2">
      <c r="A30" t="s">
        <v>1149</v>
      </c>
    </row>
    <row r="31" spans="1:2">
      <c r="A31" t="s">
        <v>1150</v>
      </c>
      <c r="B31" s="115">
        <v>49424401</v>
      </c>
    </row>
    <row r="32" spans="1:2">
      <c r="B32"/>
    </row>
    <row r="33" spans="2:2">
      <c r="B33"/>
    </row>
    <row r="34" spans="2:2">
      <c r="B34"/>
    </row>
    <row r="35" spans="2:2">
      <c r="B35"/>
    </row>
    <row r="36" spans="2:2">
      <c r="B36"/>
    </row>
    <row r="37" spans="2:2">
      <c r="B37"/>
    </row>
    <row r="38" spans="2:2">
      <c r="B3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DCB4-474F-4C9A-9B53-F6ADC6CDAA01}">
  <dimension ref="A1:Q30"/>
  <sheetViews>
    <sheetView topLeftCell="A12" workbookViewId="0">
      <selection activeCell="C32" sqref="C32:C33"/>
    </sheetView>
  </sheetViews>
  <sheetFormatPr defaultRowHeight="15"/>
  <cols>
    <col min="1" max="1" width="16.42578125" customWidth="1"/>
    <col min="2" max="2" width="9.140625" style="3"/>
    <col min="3" max="3" width="76.7109375" customWidth="1"/>
    <col min="4" max="4" width="15.140625" bestFit="1" customWidth="1"/>
    <col min="8" max="8" width="13.28515625" customWidth="1"/>
    <col min="10" max="10" width="22" customWidth="1"/>
    <col min="11" max="11" width="17.5703125" customWidth="1"/>
    <col min="13" max="13" width="16.28515625" customWidth="1"/>
  </cols>
  <sheetData>
    <row r="1" spans="1:17">
      <c r="A1" s="51" t="s">
        <v>1151</v>
      </c>
      <c r="B1" s="52" t="s">
        <v>1152</v>
      </c>
      <c r="C1" s="51" t="s">
        <v>1153</v>
      </c>
      <c r="D1" s="51" t="s">
        <v>553</v>
      </c>
      <c r="E1" s="56" t="s">
        <v>1154</v>
      </c>
    </row>
    <row r="2" spans="1:17">
      <c r="A2" s="50">
        <v>45415</v>
      </c>
      <c r="B2" s="3" t="s">
        <v>49</v>
      </c>
      <c r="C2" t="s">
        <v>1155</v>
      </c>
      <c r="D2" t="s">
        <v>1156</v>
      </c>
      <c r="E2">
        <v>2</v>
      </c>
    </row>
    <row r="3" spans="1:17">
      <c r="A3" s="50">
        <v>45412</v>
      </c>
      <c r="B3" s="3" t="s">
        <v>18</v>
      </c>
      <c r="C3" t="s">
        <v>1157</v>
      </c>
      <c r="D3" t="s">
        <v>1158</v>
      </c>
      <c r="E3">
        <v>6</v>
      </c>
    </row>
    <row r="4" spans="1:17">
      <c r="A4" s="50">
        <v>45350</v>
      </c>
      <c r="B4" s="3" t="s">
        <v>57</v>
      </c>
      <c r="C4" t="s">
        <v>1159</v>
      </c>
      <c r="D4" t="s">
        <v>393</v>
      </c>
      <c r="E4">
        <v>1</v>
      </c>
    </row>
    <row r="5" spans="1:17">
      <c r="A5" s="50">
        <v>45402</v>
      </c>
      <c r="B5" s="3" t="s">
        <v>26</v>
      </c>
      <c r="C5" t="s">
        <v>1160</v>
      </c>
      <c r="D5" t="s">
        <v>393</v>
      </c>
      <c r="E5">
        <v>6</v>
      </c>
      <c r="H5" s="238" t="s">
        <v>1161</v>
      </c>
      <c r="I5" s="239"/>
      <c r="J5" s="239"/>
      <c r="K5" s="240"/>
      <c r="L5" s="53"/>
      <c r="M5" s="241" t="s">
        <v>1162</v>
      </c>
      <c r="N5" s="239"/>
      <c r="O5" s="239"/>
      <c r="P5" s="240"/>
      <c r="Q5" s="53"/>
    </row>
    <row r="6" spans="1:17">
      <c r="A6" s="50">
        <v>45437</v>
      </c>
      <c r="B6" s="3" t="s">
        <v>15</v>
      </c>
      <c r="C6" t="s">
        <v>1163</v>
      </c>
      <c r="D6" t="s">
        <v>1158</v>
      </c>
      <c r="E6">
        <v>2</v>
      </c>
      <c r="H6" s="54" t="s">
        <v>1151</v>
      </c>
      <c r="I6" s="55" t="s">
        <v>1164</v>
      </c>
      <c r="J6" s="55" t="s">
        <v>1165</v>
      </c>
      <c r="K6" s="56" t="s">
        <v>1154</v>
      </c>
      <c r="L6" s="57"/>
      <c r="M6" s="55" t="s">
        <v>1151</v>
      </c>
      <c r="N6" s="55" t="s">
        <v>1164</v>
      </c>
      <c r="O6" s="55" t="s">
        <v>1165</v>
      </c>
      <c r="P6" s="56" t="s">
        <v>1154</v>
      </c>
      <c r="Q6" s="57"/>
    </row>
    <row r="7" spans="1:17">
      <c r="A7" s="50">
        <v>45482</v>
      </c>
      <c r="B7" s="3" t="s">
        <v>40</v>
      </c>
      <c r="C7" t="s">
        <v>1157</v>
      </c>
      <c r="D7" t="s">
        <v>1158</v>
      </c>
      <c r="E7">
        <v>2</v>
      </c>
      <c r="H7" s="58"/>
      <c r="I7" s="59" t="s">
        <v>38</v>
      </c>
      <c r="J7" s="60" t="s">
        <v>1166</v>
      </c>
      <c r="K7" s="60">
        <v>2</v>
      </c>
      <c r="L7" s="57"/>
      <c r="M7" s="61">
        <v>44218</v>
      </c>
      <c r="N7" s="59" t="s">
        <v>11</v>
      </c>
      <c r="O7" s="60" t="s">
        <v>1166</v>
      </c>
      <c r="P7" s="60">
        <v>2</v>
      </c>
      <c r="Q7" s="57"/>
    </row>
    <row r="8" spans="1:17">
      <c r="A8" s="50">
        <v>45489</v>
      </c>
      <c r="B8" s="3" t="s">
        <v>39</v>
      </c>
      <c r="C8" t="s">
        <v>1163</v>
      </c>
      <c r="D8" t="s">
        <v>1158</v>
      </c>
      <c r="E8">
        <v>2</v>
      </c>
      <c r="H8" s="58"/>
      <c r="I8" s="59" t="s">
        <v>33</v>
      </c>
      <c r="J8" s="60" t="s">
        <v>1166</v>
      </c>
      <c r="K8" s="60">
        <v>2</v>
      </c>
      <c r="L8" s="57"/>
      <c r="M8" s="61">
        <v>44278</v>
      </c>
      <c r="N8" s="59" t="s">
        <v>44</v>
      </c>
      <c r="O8" s="60" t="s">
        <v>1166</v>
      </c>
      <c r="P8" s="60">
        <v>2</v>
      </c>
      <c r="Q8" s="57"/>
    </row>
    <row r="9" spans="1:17">
      <c r="A9" s="50">
        <v>45534</v>
      </c>
      <c r="B9" s="3" t="s">
        <v>99</v>
      </c>
      <c r="C9" t="s">
        <v>1163</v>
      </c>
      <c r="D9" t="s">
        <v>1158</v>
      </c>
      <c r="E9">
        <v>2</v>
      </c>
      <c r="H9" s="58"/>
      <c r="I9" s="59" t="s">
        <v>1167</v>
      </c>
      <c r="J9" s="60"/>
      <c r="K9" s="60">
        <v>2</v>
      </c>
      <c r="L9" s="57"/>
      <c r="M9" s="61">
        <v>44338</v>
      </c>
      <c r="N9" s="59" t="s">
        <v>99</v>
      </c>
      <c r="O9" s="60" t="s">
        <v>1166</v>
      </c>
      <c r="P9" s="60">
        <v>1</v>
      </c>
      <c r="Q9" s="57"/>
    </row>
    <row r="10" spans="1:17">
      <c r="A10" s="50">
        <v>45569</v>
      </c>
      <c r="B10" s="3" t="s">
        <v>13</v>
      </c>
      <c r="C10" t="s">
        <v>1168</v>
      </c>
      <c r="D10" t="s">
        <v>1158</v>
      </c>
      <c r="E10">
        <v>2</v>
      </c>
      <c r="H10" s="58"/>
      <c r="I10" s="59" t="s">
        <v>99</v>
      </c>
      <c r="J10" s="60" t="s">
        <v>1166</v>
      </c>
      <c r="K10" s="60">
        <v>2</v>
      </c>
      <c r="L10" s="57"/>
      <c r="M10" s="61">
        <v>44338</v>
      </c>
      <c r="N10" s="59" t="s">
        <v>49</v>
      </c>
      <c r="O10" s="60" t="s">
        <v>1166</v>
      </c>
      <c r="P10" s="60">
        <v>2</v>
      </c>
      <c r="Q10" s="57"/>
    </row>
    <row r="11" spans="1:17">
      <c r="A11" s="50">
        <v>45569</v>
      </c>
      <c r="B11" s="3" t="s">
        <v>20</v>
      </c>
      <c r="C11" t="s">
        <v>1169</v>
      </c>
      <c r="D11" t="s">
        <v>1158</v>
      </c>
      <c r="E11">
        <v>2</v>
      </c>
      <c r="H11" s="58"/>
      <c r="I11" s="59" t="s">
        <v>39</v>
      </c>
      <c r="J11" s="60"/>
      <c r="K11" s="60"/>
      <c r="L11" s="57"/>
      <c r="M11" s="61">
        <v>44379</v>
      </c>
      <c r="N11" s="59" t="s">
        <v>28</v>
      </c>
      <c r="O11" s="60" t="s">
        <v>1170</v>
      </c>
      <c r="P11" s="60">
        <v>2</v>
      </c>
      <c r="Q11" s="57"/>
    </row>
    <row r="12" spans="1:17">
      <c r="A12" s="50">
        <v>45574</v>
      </c>
      <c r="B12" s="3" t="s">
        <v>23</v>
      </c>
      <c r="C12" t="s">
        <v>1171</v>
      </c>
      <c r="D12" t="s">
        <v>1158</v>
      </c>
      <c r="E12">
        <v>6</v>
      </c>
      <c r="H12" s="58"/>
      <c r="I12" s="59" t="s">
        <v>57</v>
      </c>
      <c r="J12" s="60"/>
      <c r="K12" s="60"/>
      <c r="L12" s="57"/>
      <c r="M12" s="61">
        <v>44384</v>
      </c>
      <c r="N12" s="59" t="s">
        <v>1172</v>
      </c>
      <c r="O12" s="60" t="s">
        <v>1173</v>
      </c>
      <c r="P12" s="60">
        <v>2</v>
      </c>
      <c r="Q12" s="57"/>
    </row>
    <row r="13" spans="1:17">
      <c r="H13" s="62">
        <v>44105</v>
      </c>
      <c r="I13" s="59" t="s">
        <v>47</v>
      </c>
      <c r="J13" s="60" t="s">
        <v>1174</v>
      </c>
      <c r="K13" s="60">
        <v>2</v>
      </c>
      <c r="L13" s="57"/>
      <c r="M13" s="61">
        <v>44387</v>
      </c>
      <c r="N13" s="59" t="s">
        <v>13</v>
      </c>
      <c r="O13" s="60" t="s">
        <v>1170</v>
      </c>
      <c r="P13" s="60">
        <v>2</v>
      </c>
      <c r="Q13" s="57"/>
    </row>
    <row r="14" spans="1:17">
      <c r="H14" s="63"/>
      <c r="I14" s="64"/>
      <c r="J14" s="64"/>
      <c r="K14" s="64"/>
      <c r="L14" s="64"/>
      <c r="M14" s="64"/>
      <c r="N14" s="64"/>
      <c r="O14" s="64"/>
      <c r="P14" s="64"/>
      <c r="Q14" s="57"/>
    </row>
    <row r="15" spans="1:17">
      <c r="A15" s="51" t="s">
        <v>1151</v>
      </c>
      <c r="B15" s="52" t="s">
        <v>1152</v>
      </c>
      <c r="C15" s="51" t="s">
        <v>1153</v>
      </c>
      <c r="D15" s="51" t="s">
        <v>553</v>
      </c>
      <c r="E15" s="56" t="s">
        <v>1154</v>
      </c>
      <c r="H15" s="65"/>
      <c r="I15" s="66"/>
      <c r="J15" s="66"/>
      <c r="K15" s="66"/>
      <c r="L15" s="64"/>
      <c r="M15" s="64"/>
      <c r="N15" s="64"/>
      <c r="O15" s="64"/>
      <c r="P15" s="64"/>
      <c r="Q15" s="57"/>
    </row>
    <row r="16" spans="1:17">
      <c r="A16" s="50">
        <v>45807</v>
      </c>
      <c r="B16" s="3" t="s">
        <v>18</v>
      </c>
      <c r="C16" t="s">
        <v>1171</v>
      </c>
      <c r="D16" t="s">
        <v>1158</v>
      </c>
      <c r="E16">
        <v>6</v>
      </c>
      <c r="H16" s="242" t="s">
        <v>1175</v>
      </c>
      <c r="I16" s="243"/>
      <c r="J16" s="243"/>
      <c r="K16" s="244"/>
      <c r="L16" s="64"/>
      <c r="M16" s="64"/>
      <c r="N16" s="64"/>
      <c r="O16" s="64"/>
      <c r="P16" s="64"/>
      <c r="Q16" s="57"/>
    </row>
    <row r="17" spans="1:17">
      <c r="A17" s="50">
        <v>45807</v>
      </c>
      <c r="B17" s="3" t="s">
        <v>61</v>
      </c>
      <c r="C17" t="s">
        <v>1176</v>
      </c>
      <c r="D17" t="s">
        <v>1158</v>
      </c>
      <c r="E17">
        <v>2</v>
      </c>
      <c r="H17" s="54" t="s">
        <v>1151</v>
      </c>
      <c r="I17" s="55" t="s">
        <v>1164</v>
      </c>
      <c r="J17" s="55" t="s">
        <v>1165</v>
      </c>
      <c r="K17" s="56" t="s">
        <v>1154</v>
      </c>
      <c r="L17" s="64"/>
      <c r="M17" s="64"/>
      <c r="N17" s="64"/>
      <c r="O17" s="64"/>
      <c r="P17" s="64"/>
      <c r="Q17" s="57"/>
    </row>
    <row r="18" spans="1:17">
      <c r="A18" s="103">
        <v>45889</v>
      </c>
      <c r="B18" s="3" t="s">
        <v>39</v>
      </c>
      <c r="C18" t="s">
        <v>1177</v>
      </c>
      <c r="D18" t="s">
        <v>1158</v>
      </c>
      <c r="E18">
        <v>2</v>
      </c>
      <c r="H18" s="62">
        <v>44602</v>
      </c>
      <c r="I18" s="59" t="s">
        <v>23</v>
      </c>
      <c r="J18" s="60" t="s">
        <v>1178</v>
      </c>
      <c r="K18" s="60">
        <v>6</v>
      </c>
      <c r="L18" s="64"/>
      <c r="M18" s="64"/>
      <c r="N18" s="64"/>
      <c r="O18" s="64"/>
      <c r="P18" s="64"/>
      <c r="Q18" s="57"/>
    </row>
    <row r="19" spans="1:17">
      <c r="A19" s="50">
        <v>45898</v>
      </c>
      <c r="B19" s="3" t="s">
        <v>43</v>
      </c>
      <c r="C19" t="s">
        <v>1179</v>
      </c>
      <c r="D19" t="s">
        <v>1158</v>
      </c>
      <c r="E19">
        <v>2</v>
      </c>
      <c r="H19" s="62">
        <v>44669</v>
      </c>
      <c r="I19" s="59" t="s">
        <v>529</v>
      </c>
      <c r="J19" s="60" t="s">
        <v>1180</v>
      </c>
      <c r="K19" s="60">
        <v>2</v>
      </c>
      <c r="L19" s="64"/>
      <c r="M19" s="64"/>
      <c r="N19" s="64"/>
      <c r="O19" s="64"/>
      <c r="P19" s="64"/>
      <c r="Q19" s="57"/>
    </row>
    <row r="20" spans="1:17">
      <c r="A20" s="50">
        <v>45898</v>
      </c>
      <c r="B20" s="3" t="s">
        <v>59</v>
      </c>
      <c r="C20" t="s">
        <v>1181</v>
      </c>
      <c r="D20" t="s">
        <v>1158</v>
      </c>
      <c r="E20">
        <v>1</v>
      </c>
      <c r="H20" s="62">
        <v>44669</v>
      </c>
      <c r="I20" s="59" t="s">
        <v>49</v>
      </c>
      <c r="J20" s="60" t="s">
        <v>1182</v>
      </c>
      <c r="K20" s="60">
        <v>2</v>
      </c>
      <c r="L20" s="64"/>
      <c r="M20" s="64"/>
      <c r="N20" s="64"/>
      <c r="O20" s="64"/>
      <c r="P20" s="64"/>
      <c r="Q20" s="57"/>
    </row>
    <row r="21" spans="1:17">
      <c r="A21" s="50">
        <v>45899</v>
      </c>
      <c r="B21" s="3" t="s">
        <v>23</v>
      </c>
      <c r="C21" t="s">
        <v>1171</v>
      </c>
      <c r="D21" t="s">
        <v>1158</v>
      </c>
      <c r="E21">
        <v>6</v>
      </c>
      <c r="H21" s="62">
        <v>44762</v>
      </c>
      <c r="I21" s="59" t="s">
        <v>39</v>
      </c>
      <c r="J21" s="60" t="s">
        <v>1180</v>
      </c>
      <c r="K21" s="60">
        <v>2</v>
      </c>
      <c r="L21" s="64"/>
      <c r="M21" s="64"/>
      <c r="N21" s="64"/>
      <c r="O21" s="64"/>
      <c r="P21" s="64"/>
      <c r="Q21" s="57"/>
    </row>
    <row r="22" spans="1:17">
      <c r="A22" s="50">
        <v>45929</v>
      </c>
      <c r="B22" s="3" t="s">
        <v>49</v>
      </c>
      <c r="C22" t="s">
        <v>1177</v>
      </c>
      <c r="D22" t="s">
        <v>1158</v>
      </c>
      <c r="E22">
        <v>2</v>
      </c>
      <c r="H22" s="62">
        <v>44762</v>
      </c>
      <c r="I22" s="59" t="s">
        <v>49</v>
      </c>
      <c r="J22" s="60" t="s">
        <v>1174</v>
      </c>
      <c r="K22" s="60">
        <v>2</v>
      </c>
      <c r="L22" s="64"/>
      <c r="M22" s="64"/>
      <c r="N22" s="64"/>
      <c r="O22" s="64"/>
      <c r="P22" s="64"/>
      <c r="Q22" s="57"/>
    </row>
    <row r="23" spans="1:17">
      <c r="A23" s="50">
        <v>45968</v>
      </c>
      <c r="B23" s="3" t="s">
        <v>54</v>
      </c>
      <c r="C23" t="s">
        <v>1183</v>
      </c>
      <c r="D23" t="s">
        <v>236</v>
      </c>
      <c r="E23">
        <v>2</v>
      </c>
      <c r="H23" s="62">
        <v>44762</v>
      </c>
      <c r="I23" s="59" t="s">
        <v>47</v>
      </c>
      <c r="J23" s="60" t="s">
        <v>1174</v>
      </c>
      <c r="K23" s="60">
        <v>2</v>
      </c>
      <c r="L23" s="64"/>
      <c r="M23" s="64"/>
      <c r="N23" s="64"/>
      <c r="O23" s="64"/>
      <c r="P23" s="64"/>
      <c r="Q23" s="57"/>
    </row>
    <row r="24" spans="1:17">
      <c r="A24" s="50">
        <v>46001</v>
      </c>
      <c r="B24" s="3" t="s">
        <v>50</v>
      </c>
      <c r="C24" t="s">
        <v>1184</v>
      </c>
      <c r="D24" t="s">
        <v>1158</v>
      </c>
      <c r="E24">
        <v>1</v>
      </c>
      <c r="H24" s="62">
        <v>44767</v>
      </c>
      <c r="I24" s="59" t="s">
        <v>38</v>
      </c>
      <c r="J24" s="60" t="s">
        <v>1174</v>
      </c>
      <c r="K24" s="60">
        <v>2</v>
      </c>
      <c r="L24" s="64"/>
      <c r="M24" s="64"/>
      <c r="N24" s="64"/>
      <c r="O24" s="64"/>
      <c r="P24" s="64"/>
      <c r="Q24" s="57"/>
    </row>
    <row r="25" spans="1:17">
      <c r="H25" s="62">
        <v>44824</v>
      </c>
      <c r="I25" s="59" t="s">
        <v>27</v>
      </c>
      <c r="J25" s="60" t="s">
        <v>1178</v>
      </c>
      <c r="K25" s="60">
        <v>3</v>
      </c>
      <c r="L25" s="64"/>
      <c r="M25" s="64"/>
      <c r="N25" s="64"/>
      <c r="O25" s="64"/>
      <c r="P25" s="64"/>
      <c r="Q25" s="57"/>
    </row>
    <row r="26" spans="1:17">
      <c r="H26" s="62">
        <v>44836</v>
      </c>
      <c r="I26" s="59" t="s">
        <v>1167</v>
      </c>
      <c r="J26" s="60" t="s">
        <v>1178</v>
      </c>
      <c r="K26" s="60">
        <v>2</v>
      </c>
      <c r="L26" s="64"/>
      <c r="M26" s="64"/>
      <c r="N26" s="64"/>
      <c r="O26" s="64"/>
      <c r="P26" s="64"/>
      <c r="Q26" s="57"/>
    </row>
    <row r="27" spans="1:17">
      <c r="A27" s="51" t="s">
        <v>1151</v>
      </c>
      <c r="B27" s="52" t="s">
        <v>1152</v>
      </c>
      <c r="C27" s="51" t="s">
        <v>1153</v>
      </c>
      <c r="D27" s="51" t="s">
        <v>553</v>
      </c>
      <c r="E27" s="56" t="s">
        <v>1154</v>
      </c>
      <c r="H27" s="65"/>
      <c r="I27" s="66"/>
      <c r="J27" s="66"/>
      <c r="K27" s="66"/>
      <c r="L27" s="66"/>
      <c r="M27" s="66"/>
      <c r="N27" s="66"/>
      <c r="O27" s="66"/>
      <c r="P27" s="66"/>
      <c r="Q27" s="60"/>
    </row>
    <row r="28" spans="1:17">
      <c r="A28" s="50">
        <v>46029</v>
      </c>
      <c r="B28" s="3" t="s">
        <v>33</v>
      </c>
      <c r="C28" t="s">
        <v>1177</v>
      </c>
      <c r="D28" t="s">
        <v>1158</v>
      </c>
      <c r="E28">
        <v>2</v>
      </c>
    </row>
    <row r="29" spans="1:17">
      <c r="A29" s="50">
        <v>46136</v>
      </c>
      <c r="B29" s="3" t="s">
        <v>50</v>
      </c>
      <c r="C29" t="s">
        <v>1184</v>
      </c>
      <c r="D29" t="s">
        <v>1158</v>
      </c>
      <c r="E29">
        <v>1</v>
      </c>
    </row>
    <row r="30" spans="1:17">
      <c r="A30" s="50">
        <v>46137</v>
      </c>
      <c r="B30" s="3" t="s">
        <v>44</v>
      </c>
      <c r="C30" t="s">
        <v>1177</v>
      </c>
      <c r="D30" t="s">
        <v>1158</v>
      </c>
      <c r="E30">
        <v>2</v>
      </c>
    </row>
  </sheetData>
  <mergeCells count="3">
    <mergeCell ref="H5:K5"/>
    <mergeCell ref="M5:P5"/>
    <mergeCell ref="H16:K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opLeftCell="A19" workbookViewId="0">
      <selection activeCell="B9" sqref="B9"/>
    </sheetView>
  </sheetViews>
  <sheetFormatPr defaultColWidth="14.42578125" defaultRowHeight="15" customHeight="1"/>
  <cols>
    <col min="1" max="1" width="13.42578125" customWidth="1"/>
    <col min="2" max="2" width="9.7109375" customWidth="1"/>
    <col min="3" max="3" width="16.28515625" customWidth="1"/>
    <col min="4" max="4" width="18.140625" customWidth="1"/>
    <col min="5" max="5" width="7.5703125" customWidth="1"/>
    <col min="6" max="6" width="23" customWidth="1"/>
    <col min="7" max="7" width="22.140625" bestFit="1" customWidth="1"/>
    <col min="8" max="8" width="11.42578125" bestFit="1" customWidth="1"/>
    <col min="9" max="9" width="17" customWidth="1"/>
  </cols>
  <sheetData>
    <row r="1" spans="1:9">
      <c r="A1" s="1"/>
      <c r="C1" s="2"/>
      <c r="D1" s="2"/>
      <c r="E1" s="3"/>
      <c r="F1" s="4"/>
      <c r="G1" s="4"/>
      <c r="H1" s="3"/>
    </row>
    <row r="2" spans="1:9">
      <c r="C2" s="2"/>
      <c r="D2" s="2"/>
      <c r="E2" s="3"/>
      <c r="F2" s="4"/>
      <c r="G2" s="4"/>
      <c r="H2" s="3"/>
    </row>
    <row r="3" spans="1:9">
      <c r="C3" s="2"/>
      <c r="D3" s="2"/>
      <c r="E3" s="3"/>
      <c r="F3" s="4"/>
      <c r="G3" s="4"/>
      <c r="H3" s="3"/>
    </row>
    <row r="4" spans="1:9">
      <c r="C4" s="2"/>
      <c r="D4" s="245" t="s">
        <v>1185</v>
      </c>
      <c r="E4" s="274"/>
      <c r="F4" s="274"/>
      <c r="G4" s="274"/>
      <c r="H4" s="274"/>
      <c r="I4" s="274"/>
    </row>
    <row r="5" spans="1:9">
      <c r="C5" s="2"/>
      <c r="D5" s="2"/>
      <c r="E5" s="3"/>
      <c r="F5" s="4"/>
      <c r="G5" s="4"/>
      <c r="H5" s="3"/>
    </row>
    <row r="6" spans="1:9">
      <c r="C6" s="2"/>
      <c r="E6" s="3"/>
      <c r="F6" s="4"/>
      <c r="G6" s="4"/>
      <c r="H6" s="3"/>
    </row>
    <row r="7" spans="1:9">
      <c r="C7" s="2"/>
      <c r="D7" s="2"/>
      <c r="E7" s="3"/>
      <c r="F7" s="4"/>
      <c r="G7" s="4"/>
      <c r="H7" s="3"/>
    </row>
    <row r="8" spans="1:9">
      <c r="A8" s="197" t="s">
        <v>0</v>
      </c>
      <c r="B8" s="198" t="s">
        <v>1186</v>
      </c>
      <c r="C8" s="199" t="s">
        <v>1187</v>
      </c>
      <c r="D8" s="199" t="s">
        <v>1188</v>
      </c>
      <c r="E8" s="198" t="s">
        <v>552</v>
      </c>
      <c r="F8" s="198" t="s">
        <v>1189</v>
      </c>
      <c r="G8" s="198" t="s">
        <v>1190</v>
      </c>
      <c r="H8" s="198" t="s">
        <v>1191</v>
      </c>
      <c r="I8" s="200" t="s">
        <v>1192</v>
      </c>
    </row>
    <row r="9" spans="1:9">
      <c r="A9" s="171" t="s">
        <v>1193</v>
      </c>
      <c r="B9" s="7" t="s">
        <v>11</v>
      </c>
      <c r="C9" s="8" t="s">
        <v>1194</v>
      </c>
      <c r="D9" s="8" t="s">
        <v>1195</v>
      </c>
      <c r="E9" s="7">
        <v>2007</v>
      </c>
      <c r="F9" s="7" t="s">
        <v>1196</v>
      </c>
      <c r="G9" s="7" t="s">
        <v>1197</v>
      </c>
      <c r="H9" s="7" t="s">
        <v>1198</v>
      </c>
      <c r="I9" s="192">
        <v>46389</v>
      </c>
    </row>
    <row r="10" spans="1:9">
      <c r="A10" s="171" t="s">
        <v>1193</v>
      </c>
      <c r="B10" s="7" t="s">
        <v>13</v>
      </c>
      <c r="C10" s="8" t="s">
        <v>1199</v>
      </c>
      <c r="D10" s="8" t="s">
        <v>1200</v>
      </c>
      <c r="E10" s="7">
        <v>1998</v>
      </c>
      <c r="F10" s="7" t="s">
        <v>1201</v>
      </c>
      <c r="G10" s="10" t="s">
        <v>1202</v>
      </c>
      <c r="H10" s="7" t="s">
        <v>1203</v>
      </c>
      <c r="I10" s="192">
        <v>46304</v>
      </c>
    </row>
    <row r="11" spans="1:9">
      <c r="A11" s="171" t="s">
        <v>1193</v>
      </c>
      <c r="B11" s="32" t="s">
        <v>1204</v>
      </c>
      <c r="C11" s="41" t="s">
        <v>1205</v>
      </c>
      <c r="D11" s="41" t="s">
        <v>1206</v>
      </c>
      <c r="E11" s="32">
        <v>2002</v>
      </c>
      <c r="F11" s="42"/>
      <c r="G11" s="31" t="s">
        <v>1207</v>
      </c>
      <c r="H11" s="32" t="s">
        <v>1208</v>
      </c>
      <c r="I11" s="194">
        <v>46432</v>
      </c>
    </row>
    <row r="12" spans="1:9">
      <c r="A12" s="171" t="s">
        <v>1193</v>
      </c>
      <c r="B12" s="7" t="s">
        <v>15</v>
      </c>
      <c r="C12" s="8" t="s">
        <v>1209</v>
      </c>
      <c r="D12" s="8" t="s">
        <v>1210</v>
      </c>
      <c r="E12" s="7">
        <v>2008</v>
      </c>
      <c r="F12" s="7">
        <v>518526</v>
      </c>
      <c r="G12" s="10" t="s">
        <v>1211</v>
      </c>
      <c r="H12" s="7" t="s">
        <v>1212</v>
      </c>
      <c r="I12" s="192">
        <v>46303</v>
      </c>
    </row>
    <row r="13" spans="1:9">
      <c r="A13" s="172" t="s">
        <v>1213</v>
      </c>
      <c r="B13" s="30" t="s">
        <v>18</v>
      </c>
      <c r="C13" s="33" t="s">
        <v>1214</v>
      </c>
      <c r="D13" s="33" t="s">
        <v>1215</v>
      </c>
      <c r="E13" s="30">
        <v>2011</v>
      </c>
      <c r="F13" s="30">
        <v>73229790</v>
      </c>
      <c r="G13" s="34" t="s">
        <v>1216</v>
      </c>
      <c r="H13" s="30" t="s">
        <v>1217</v>
      </c>
      <c r="I13" s="193">
        <v>46301</v>
      </c>
    </row>
    <row r="14" spans="1:9">
      <c r="A14" s="173" t="s">
        <v>1213</v>
      </c>
      <c r="B14" s="7" t="s">
        <v>20</v>
      </c>
      <c r="C14" s="8" t="s">
        <v>1218</v>
      </c>
      <c r="D14" s="8" t="s">
        <v>1219</v>
      </c>
      <c r="E14" s="7">
        <v>2021</v>
      </c>
      <c r="F14" s="7" t="s">
        <v>1220</v>
      </c>
      <c r="G14" s="10" t="s">
        <v>1221</v>
      </c>
      <c r="H14" s="7" t="s">
        <v>1222</v>
      </c>
      <c r="I14" s="192">
        <v>46389</v>
      </c>
    </row>
    <row r="15" spans="1:9">
      <c r="A15" s="174" t="s">
        <v>1223</v>
      </c>
      <c r="B15" s="32" t="s">
        <v>23</v>
      </c>
      <c r="C15" s="37" t="s">
        <v>1205</v>
      </c>
      <c r="D15" s="37" t="s">
        <v>1224</v>
      </c>
      <c r="E15" s="32">
        <v>2015</v>
      </c>
      <c r="F15" s="32">
        <v>73598550</v>
      </c>
      <c r="G15" s="31" t="s">
        <v>1225</v>
      </c>
      <c r="H15" s="11" t="s">
        <v>1226</v>
      </c>
      <c r="I15" s="194">
        <v>46390</v>
      </c>
    </row>
    <row r="16" spans="1:9">
      <c r="A16" s="174" t="s">
        <v>1223</v>
      </c>
      <c r="B16" s="7" t="s">
        <v>24</v>
      </c>
      <c r="C16" s="8" t="s">
        <v>1227</v>
      </c>
      <c r="D16" s="8" t="s">
        <v>1228</v>
      </c>
      <c r="E16" s="7">
        <v>2023</v>
      </c>
      <c r="F16" s="7">
        <v>74884819</v>
      </c>
      <c r="G16" s="27" t="s">
        <v>1229</v>
      </c>
      <c r="H16" s="236" t="s">
        <v>1230</v>
      </c>
      <c r="I16" s="192">
        <v>46302</v>
      </c>
    </row>
    <row r="17" spans="1:9">
      <c r="A17" s="175" t="s">
        <v>298</v>
      </c>
      <c r="B17" s="7" t="s">
        <v>26</v>
      </c>
      <c r="C17" s="8" t="s">
        <v>1205</v>
      </c>
      <c r="D17" s="8" t="s">
        <v>1224</v>
      </c>
      <c r="E17" s="7">
        <v>2017</v>
      </c>
      <c r="F17" s="7">
        <v>74046967</v>
      </c>
      <c r="G17" s="10" t="s">
        <v>1231</v>
      </c>
      <c r="H17" s="7" t="s">
        <v>1232</v>
      </c>
      <c r="I17" s="192">
        <v>46359</v>
      </c>
    </row>
    <row r="18" spans="1:9">
      <c r="A18" s="176" t="s">
        <v>298</v>
      </c>
      <c r="B18" s="32" t="s">
        <v>27</v>
      </c>
      <c r="C18" s="37" t="s">
        <v>1205</v>
      </c>
      <c r="D18" s="37" t="s">
        <v>1224</v>
      </c>
      <c r="E18" s="32">
        <v>2011</v>
      </c>
      <c r="F18" s="32">
        <v>73267648</v>
      </c>
      <c r="G18" s="31" t="s">
        <v>1233</v>
      </c>
      <c r="H18" s="84" t="s">
        <v>1234</v>
      </c>
      <c r="I18" s="194">
        <v>46400</v>
      </c>
    </row>
    <row r="19" spans="1:9">
      <c r="A19" s="177" t="s">
        <v>298</v>
      </c>
      <c r="B19" s="7" t="s">
        <v>28</v>
      </c>
      <c r="C19" s="8" t="s">
        <v>1199</v>
      </c>
      <c r="D19" s="8" t="s">
        <v>1200</v>
      </c>
      <c r="E19" s="7">
        <v>1994</v>
      </c>
      <c r="F19" s="7" t="s">
        <v>1235</v>
      </c>
      <c r="G19" s="10" t="s">
        <v>1236</v>
      </c>
      <c r="H19" s="16" t="s">
        <v>1237</v>
      </c>
      <c r="I19" s="192">
        <v>46252</v>
      </c>
    </row>
    <row r="20" spans="1:9">
      <c r="A20" s="177" t="s">
        <v>298</v>
      </c>
      <c r="B20" s="7" t="s">
        <v>29</v>
      </c>
      <c r="C20" s="8" t="s">
        <v>1238</v>
      </c>
      <c r="D20" s="8" t="s">
        <v>1239</v>
      </c>
      <c r="E20" s="7">
        <v>2026</v>
      </c>
      <c r="F20" s="7" t="s">
        <v>1240</v>
      </c>
      <c r="G20" s="10" t="s">
        <v>1241</v>
      </c>
      <c r="H20" s="236" t="s">
        <v>1242</v>
      </c>
      <c r="I20" s="192" t="s">
        <v>1243</v>
      </c>
    </row>
    <row r="21" spans="1:9">
      <c r="A21" s="178" t="s">
        <v>1244</v>
      </c>
      <c r="B21" s="7" t="s">
        <v>33</v>
      </c>
      <c r="C21" s="8" t="s">
        <v>1245</v>
      </c>
      <c r="D21" s="8" t="s">
        <v>1246</v>
      </c>
      <c r="E21" s="7">
        <v>2021</v>
      </c>
      <c r="F21" s="7">
        <v>22856025895616</v>
      </c>
      <c r="G21" s="10" t="s">
        <v>1247</v>
      </c>
      <c r="H21" s="16" t="s">
        <v>1248</v>
      </c>
      <c r="I21" s="192" t="s">
        <v>1249</v>
      </c>
    </row>
    <row r="22" spans="1:9">
      <c r="A22" s="179" t="s">
        <v>1244</v>
      </c>
      <c r="B22" s="7" t="s">
        <v>34</v>
      </c>
      <c r="C22" s="8" t="s">
        <v>1245</v>
      </c>
      <c r="D22" s="8" t="s">
        <v>1250</v>
      </c>
      <c r="E22" s="7">
        <v>2013</v>
      </c>
      <c r="F22" s="7">
        <v>22834645963468</v>
      </c>
      <c r="G22" s="10" t="s">
        <v>1251</v>
      </c>
      <c r="H22" s="16" t="s">
        <v>1252</v>
      </c>
      <c r="I22" s="192">
        <v>46389</v>
      </c>
    </row>
    <row r="23" spans="1:9">
      <c r="A23" s="180" t="s">
        <v>1244</v>
      </c>
      <c r="B23" s="32" t="s">
        <v>1253</v>
      </c>
      <c r="C23" s="37" t="s">
        <v>1254</v>
      </c>
      <c r="D23" s="37" t="s">
        <v>1254</v>
      </c>
      <c r="E23" s="32">
        <v>2026</v>
      </c>
      <c r="F23" s="32">
        <v>0</v>
      </c>
      <c r="G23" s="42">
        <v>0</v>
      </c>
      <c r="H23" s="84" t="s">
        <v>1255</v>
      </c>
      <c r="I23" s="194">
        <v>46325</v>
      </c>
    </row>
    <row r="24" spans="1:9">
      <c r="A24" s="180" t="s">
        <v>1244</v>
      </c>
      <c r="B24" s="32" t="s">
        <v>1256</v>
      </c>
      <c r="C24" s="41" t="s">
        <v>1257</v>
      </c>
      <c r="D24" s="41" t="s">
        <v>1258</v>
      </c>
      <c r="E24" s="32">
        <v>2025</v>
      </c>
      <c r="F24" s="42"/>
      <c r="G24" s="42"/>
      <c r="H24" s="84"/>
      <c r="I24" s="194"/>
    </row>
    <row r="25" spans="1:9">
      <c r="A25" s="181" t="s">
        <v>1259</v>
      </c>
      <c r="B25" s="32" t="s">
        <v>38</v>
      </c>
      <c r="C25" s="37" t="s">
        <v>1209</v>
      </c>
      <c r="D25" s="37" t="s">
        <v>1260</v>
      </c>
      <c r="E25" s="32">
        <v>2015</v>
      </c>
      <c r="F25" s="32">
        <v>1046135</v>
      </c>
      <c r="G25" s="31" t="s">
        <v>1261</v>
      </c>
      <c r="H25" s="84" t="s">
        <v>1262</v>
      </c>
      <c r="I25" s="194">
        <v>46355</v>
      </c>
    </row>
    <row r="26" spans="1:9" ht="15.75" customHeight="1">
      <c r="A26" s="182" t="s">
        <v>1259</v>
      </c>
      <c r="B26" s="7" t="s">
        <v>39</v>
      </c>
      <c r="C26" s="8" t="s">
        <v>1209</v>
      </c>
      <c r="D26" s="8" t="s">
        <v>1260</v>
      </c>
      <c r="E26" s="7">
        <v>2018</v>
      </c>
      <c r="F26" s="7">
        <v>1509868</v>
      </c>
      <c r="G26" s="10" t="s">
        <v>1263</v>
      </c>
      <c r="H26" s="16" t="s">
        <v>1264</v>
      </c>
      <c r="I26" s="192">
        <v>46429</v>
      </c>
    </row>
    <row r="27" spans="1:9" ht="15.75" customHeight="1">
      <c r="A27" s="183" t="s">
        <v>1259</v>
      </c>
      <c r="B27" s="7" t="s">
        <v>40</v>
      </c>
      <c r="C27" s="8" t="s">
        <v>1265</v>
      </c>
      <c r="D27" s="8" t="s">
        <v>1266</v>
      </c>
      <c r="E27" s="7">
        <v>2015</v>
      </c>
      <c r="F27" s="7" t="s">
        <v>1267</v>
      </c>
      <c r="G27" s="10" t="s">
        <v>1268</v>
      </c>
      <c r="H27" s="16" t="s">
        <v>1269</v>
      </c>
      <c r="I27" s="192">
        <v>46389</v>
      </c>
    </row>
    <row r="28" spans="1:9" ht="15.75" customHeight="1">
      <c r="A28" s="184" t="s">
        <v>1270</v>
      </c>
      <c r="B28" s="7" t="s">
        <v>43</v>
      </c>
      <c r="C28" s="8" t="s">
        <v>1199</v>
      </c>
      <c r="D28" s="8" t="s">
        <v>1271</v>
      </c>
      <c r="E28" s="7">
        <v>1994</v>
      </c>
      <c r="F28" s="7" t="s">
        <v>1272</v>
      </c>
      <c r="G28" s="10" t="s">
        <v>1273</v>
      </c>
      <c r="H28" s="16" t="s">
        <v>1274</v>
      </c>
      <c r="I28" s="192">
        <v>46290</v>
      </c>
    </row>
    <row r="29" spans="1:9" ht="15.75" customHeight="1">
      <c r="A29" s="185" t="s">
        <v>1270</v>
      </c>
      <c r="B29" s="30" t="s">
        <v>44</v>
      </c>
      <c r="C29" s="33" t="s">
        <v>1209</v>
      </c>
      <c r="D29" s="33" t="s">
        <v>1260</v>
      </c>
      <c r="E29" s="30">
        <v>2015</v>
      </c>
      <c r="F29" s="34">
        <v>1235185</v>
      </c>
      <c r="G29" s="10" t="s">
        <v>1275</v>
      </c>
      <c r="H29" s="36" t="s">
        <v>1276</v>
      </c>
      <c r="I29" s="195">
        <v>46379</v>
      </c>
    </row>
    <row r="30" spans="1:9" ht="15.75" customHeight="1">
      <c r="A30" s="185" t="s">
        <v>1270</v>
      </c>
      <c r="B30" s="30" t="s">
        <v>45</v>
      </c>
      <c r="C30" s="33" t="s">
        <v>1277</v>
      </c>
      <c r="D30" s="33" t="s">
        <v>1278</v>
      </c>
      <c r="E30" s="30">
        <v>2025</v>
      </c>
      <c r="F30" s="34" t="s">
        <v>1279</v>
      </c>
      <c r="G30" s="31" t="s">
        <v>1280</v>
      </c>
      <c r="H30" s="237" t="s">
        <v>1281</v>
      </c>
      <c r="I30" s="195">
        <v>46721</v>
      </c>
    </row>
    <row r="31" spans="1:9" ht="15.75" customHeight="1">
      <c r="A31" s="186" t="s">
        <v>1282</v>
      </c>
      <c r="B31" s="7" t="s">
        <v>47</v>
      </c>
      <c r="C31" s="8" t="s">
        <v>1194</v>
      </c>
      <c r="D31" s="8" t="s">
        <v>1283</v>
      </c>
      <c r="E31" s="7">
        <v>2004</v>
      </c>
      <c r="F31" s="7" t="s">
        <v>1284</v>
      </c>
      <c r="G31" s="10" t="s">
        <v>1285</v>
      </c>
      <c r="H31" s="7" t="s">
        <v>1286</v>
      </c>
      <c r="I31" s="192">
        <v>46395</v>
      </c>
    </row>
    <row r="32" spans="1:9" ht="15.75" customHeight="1">
      <c r="A32" s="187" t="s">
        <v>332</v>
      </c>
      <c r="B32" s="7" t="s">
        <v>49</v>
      </c>
      <c r="C32" s="33" t="s">
        <v>1194</v>
      </c>
      <c r="D32" s="33" t="s">
        <v>1287</v>
      </c>
      <c r="E32" s="30">
        <v>1998</v>
      </c>
      <c r="F32" s="30" t="s">
        <v>1288</v>
      </c>
      <c r="G32" s="34" t="s">
        <v>1289</v>
      </c>
      <c r="H32" s="36" t="s">
        <v>1290</v>
      </c>
      <c r="I32" s="193">
        <v>46305</v>
      </c>
    </row>
    <row r="33" spans="1:10" ht="15.75" customHeight="1">
      <c r="A33" s="187" t="s">
        <v>332</v>
      </c>
      <c r="B33" s="7" t="s">
        <v>50</v>
      </c>
      <c r="C33" s="14" t="s">
        <v>1291</v>
      </c>
      <c r="D33" s="14" t="s">
        <v>1292</v>
      </c>
      <c r="E33" s="7">
        <v>2019</v>
      </c>
      <c r="F33" s="15" t="s">
        <v>1293</v>
      </c>
      <c r="G33" s="15" t="s">
        <v>1294</v>
      </c>
      <c r="H33" s="7" t="s">
        <v>1295</v>
      </c>
      <c r="I33" s="192">
        <v>46568</v>
      </c>
    </row>
    <row r="34" spans="1:10" ht="15.75" customHeight="1">
      <c r="A34" s="188" t="s">
        <v>583</v>
      </c>
      <c r="B34" s="30" t="s">
        <v>62</v>
      </c>
      <c r="C34" s="33" t="s">
        <v>1194</v>
      </c>
      <c r="D34" s="33" t="s">
        <v>1296</v>
      </c>
      <c r="E34" s="30">
        <v>1998</v>
      </c>
      <c r="F34" s="30" t="s">
        <v>1297</v>
      </c>
      <c r="G34" s="34" t="s">
        <v>1298</v>
      </c>
      <c r="H34" s="30" t="s">
        <v>1299</v>
      </c>
      <c r="I34" s="193">
        <v>46332</v>
      </c>
    </row>
    <row r="35" spans="1:10" ht="15.75" customHeight="1">
      <c r="A35" s="188" t="s">
        <v>583</v>
      </c>
      <c r="B35" s="7" t="s">
        <v>65</v>
      </c>
      <c r="C35" s="8" t="s">
        <v>1194</v>
      </c>
      <c r="D35" s="8" t="s">
        <v>1300</v>
      </c>
      <c r="E35" s="7">
        <v>1998</v>
      </c>
      <c r="F35" s="7" t="s">
        <v>1301</v>
      </c>
      <c r="G35" s="10" t="s">
        <v>1302</v>
      </c>
      <c r="H35" s="7" t="s">
        <v>1303</v>
      </c>
      <c r="I35" s="195">
        <v>46374</v>
      </c>
    </row>
    <row r="36" spans="1:10" ht="15.75" customHeight="1">
      <c r="A36" s="188" t="s">
        <v>583</v>
      </c>
      <c r="B36" s="7" t="s">
        <v>55</v>
      </c>
      <c r="C36" s="8" t="s">
        <v>1238</v>
      </c>
      <c r="D36" s="8" t="s">
        <v>1304</v>
      </c>
      <c r="E36" s="7">
        <v>2015</v>
      </c>
      <c r="F36" s="16" t="s">
        <v>1305</v>
      </c>
      <c r="G36" s="10" t="s">
        <v>1306</v>
      </c>
      <c r="H36" s="16" t="s">
        <v>1307</v>
      </c>
      <c r="I36" s="192">
        <v>46457</v>
      </c>
    </row>
    <row r="37" spans="1:10" ht="15.75" customHeight="1">
      <c r="A37" s="189" t="s">
        <v>583</v>
      </c>
      <c r="B37" s="32" t="s">
        <v>52</v>
      </c>
      <c r="C37" s="41" t="s">
        <v>1308</v>
      </c>
      <c r="D37" s="41" t="s">
        <v>1309</v>
      </c>
      <c r="E37" s="32">
        <v>2015</v>
      </c>
      <c r="F37" s="42" t="s">
        <v>1310</v>
      </c>
      <c r="G37" s="42" t="s">
        <v>1311</v>
      </c>
      <c r="H37" s="32" t="s">
        <v>1312</v>
      </c>
      <c r="I37" s="194">
        <v>46265</v>
      </c>
    </row>
    <row r="38" spans="1:10" ht="15.75" customHeight="1">
      <c r="A38" s="188" t="s">
        <v>583</v>
      </c>
      <c r="B38" s="38" t="s">
        <v>53</v>
      </c>
      <c r="C38" s="39" t="s">
        <v>1291</v>
      </c>
      <c r="D38" s="39" t="s">
        <v>1292</v>
      </c>
      <c r="E38" s="38">
        <v>2019</v>
      </c>
      <c r="F38" s="40" t="s">
        <v>1313</v>
      </c>
      <c r="G38" s="40" t="s">
        <v>1314</v>
      </c>
      <c r="H38" s="38" t="s">
        <v>1315</v>
      </c>
      <c r="I38" s="196">
        <v>46234</v>
      </c>
    </row>
    <row r="39" spans="1:10" ht="15.75" customHeight="1">
      <c r="A39" s="190" t="s">
        <v>583</v>
      </c>
      <c r="B39" s="7" t="s">
        <v>57</v>
      </c>
      <c r="C39" s="14" t="s">
        <v>1218</v>
      </c>
      <c r="D39" s="14" t="s">
        <v>1316</v>
      </c>
      <c r="E39" s="7">
        <v>2017</v>
      </c>
      <c r="F39" s="15" t="s">
        <v>1317</v>
      </c>
      <c r="G39" s="15" t="s">
        <v>1318</v>
      </c>
      <c r="H39" s="7" t="s">
        <v>1319</v>
      </c>
      <c r="I39" s="192">
        <v>46394</v>
      </c>
    </row>
    <row r="40" spans="1:10" ht="15.75" customHeight="1">
      <c r="A40" s="191" t="s">
        <v>583</v>
      </c>
      <c r="B40" s="32" t="s">
        <v>59</v>
      </c>
      <c r="C40" s="41" t="s">
        <v>1320</v>
      </c>
      <c r="D40" s="41" t="s">
        <v>1321</v>
      </c>
      <c r="E40" s="32">
        <v>2013</v>
      </c>
      <c r="F40" s="42" t="s">
        <v>1322</v>
      </c>
      <c r="G40" s="42" t="s">
        <v>1323</v>
      </c>
      <c r="H40" s="32" t="s">
        <v>1324</v>
      </c>
      <c r="I40" s="194">
        <v>46390</v>
      </c>
    </row>
    <row r="41" spans="1:10" ht="15.75" customHeight="1">
      <c r="A41" s="191" t="s">
        <v>583</v>
      </c>
      <c r="B41" s="82" t="s">
        <v>61</v>
      </c>
      <c r="C41" s="41" t="s">
        <v>1209</v>
      </c>
      <c r="D41" s="41" t="s">
        <v>1325</v>
      </c>
      <c r="E41" s="32">
        <v>2022</v>
      </c>
      <c r="F41" s="42">
        <v>272496</v>
      </c>
      <c r="G41" s="42" t="s">
        <v>1326</v>
      </c>
      <c r="H41" s="32" t="s">
        <v>1327</v>
      </c>
      <c r="I41" s="194">
        <v>46394</v>
      </c>
    </row>
    <row r="42" spans="1:10" ht="15.75" customHeight="1">
      <c r="A42" s="188" t="s">
        <v>583</v>
      </c>
      <c r="B42" s="32" t="s">
        <v>54</v>
      </c>
      <c r="C42" s="37" t="s">
        <v>1328</v>
      </c>
      <c r="D42" s="37" t="s">
        <v>1329</v>
      </c>
      <c r="E42" s="32">
        <v>2012</v>
      </c>
      <c r="F42" s="32" t="s">
        <v>1330</v>
      </c>
      <c r="G42" s="31" t="s">
        <v>1331</v>
      </c>
      <c r="H42" s="32" t="s">
        <v>1332</v>
      </c>
      <c r="I42" s="194">
        <v>46390</v>
      </c>
    </row>
    <row r="43" spans="1:10" ht="15.75" customHeight="1">
      <c r="C43" s="2"/>
      <c r="D43" s="2"/>
      <c r="E43" s="3"/>
      <c r="F43" s="4"/>
      <c r="G43" s="4"/>
      <c r="H43" s="3"/>
    </row>
    <row r="44" spans="1:10" ht="15.75" customHeight="1">
      <c r="C44" s="2"/>
      <c r="D44" s="2"/>
      <c r="E44" s="3"/>
      <c r="F44" s="4"/>
      <c r="G44" s="4"/>
      <c r="H44" s="3"/>
    </row>
    <row r="45" spans="1:10" ht="15.75" customHeight="1">
      <c r="C45" s="2"/>
      <c r="D45" s="2"/>
      <c r="E45" s="3"/>
      <c r="F45" s="4"/>
      <c r="G45" s="4"/>
      <c r="H45" s="3"/>
    </row>
    <row r="46" spans="1:10" ht="15.75" customHeight="1">
      <c r="C46" s="2"/>
      <c r="D46" s="2"/>
      <c r="E46" s="3"/>
      <c r="F46" s="4"/>
      <c r="G46" s="4"/>
      <c r="H46" s="3"/>
      <c r="J46" t="s">
        <v>1333</v>
      </c>
    </row>
    <row r="47" spans="1:10" ht="15.75" customHeight="1">
      <c r="C47" s="2"/>
      <c r="D47" s="2"/>
      <c r="E47" s="3"/>
      <c r="F47" s="4"/>
      <c r="G47" s="4"/>
      <c r="H47" s="3"/>
    </row>
    <row r="48" spans="1:10" ht="15.75" customHeight="1">
      <c r="C48" s="2"/>
      <c r="D48" s="2"/>
      <c r="E48" s="3"/>
      <c r="F48" s="4"/>
      <c r="G48" s="4"/>
      <c r="H48" s="3"/>
    </row>
    <row r="49" spans="3:8" ht="15.75" customHeight="1">
      <c r="C49" s="2"/>
      <c r="D49" s="2"/>
      <c r="E49" s="3"/>
      <c r="F49" s="4"/>
      <c r="G49" s="4"/>
      <c r="H49" s="3"/>
    </row>
    <row r="50" spans="3:8" ht="15.75" customHeight="1">
      <c r="C50" s="2"/>
      <c r="D50" s="2"/>
      <c r="E50" s="3"/>
      <c r="F50" s="4"/>
      <c r="G50" s="4"/>
      <c r="H50" s="3"/>
    </row>
    <row r="51" spans="3:8" ht="15.75" customHeight="1">
      <c r="C51" s="2"/>
      <c r="D51" s="2"/>
      <c r="E51" s="3"/>
      <c r="F51" s="4"/>
      <c r="G51" s="4"/>
      <c r="H51" s="3"/>
    </row>
    <row r="52" spans="3:8" ht="15.75" customHeight="1">
      <c r="C52" s="2"/>
      <c r="D52" s="2"/>
      <c r="E52" s="3"/>
      <c r="F52" s="4"/>
      <c r="G52" s="4"/>
      <c r="H52" s="3"/>
    </row>
    <row r="53" spans="3:8" ht="15.75" customHeight="1">
      <c r="C53" s="2"/>
      <c r="D53" s="2"/>
      <c r="E53" s="3"/>
      <c r="F53" s="4"/>
      <c r="G53" s="4"/>
      <c r="H53" s="3"/>
    </row>
    <row r="54" spans="3:8" ht="15.75" customHeight="1">
      <c r="C54" s="2"/>
      <c r="D54" s="2"/>
      <c r="E54" s="3"/>
      <c r="F54" s="4"/>
      <c r="G54" s="4"/>
      <c r="H54" s="3"/>
    </row>
    <row r="55" spans="3:8" ht="15.75" customHeight="1">
      <c r="C55" s="2"/>
      <c r="D55" s="2"/>
      <c r="E55" s="3"/>
      <c r="F55" s="4"/>
      <c r="G55" s="4"/>
      <c r="H55" s="3"/>
    </row>
    <row r="56" spans="3:8" ht="15.75" customHeight="1">
      <c r="C56" s="2"/>
      <c r="D56" s="2"/>
      <c r="E56" s="3"/>
      <c r="F56" s="4"/>
      <c r="G56" s="4"/>
      <c r="H56" s="3"/>
    </row>
    <row r="57" spans="3:8" ht="15.75" customHeight="1">
      <c r="C57" s="2"/>
      <c r="D57" s="2"/>
      <c r="E57" s="3"/>
      <c r="F57" s="4"/>
      <c r="G57" s="4"/>
      <c r="H57" s="3"/>
    </row>
    <row r="58" spans="3:8" ht="15.75" customHeight="1">
      <c r="C58" s="2"/>
      <c r="D58" s="2"/>
      <c r="E58" s="3"/>
      <c r="F58" s="4"/>
      <c r="G58" s="4"/>
      <c r="H58" s="3"/>
    </row>
    <row r="59" spans="3:8" ht="15.75" customHeight="1">
      <c r="C59" s="2"/>
      <c r="D59" s="2"/>
      <c r="E59" s="3"/>
      <c r="F59" s="4"/>
      <c r="G59" s="4"/>
      <c r="H59" s="3"/>
    </row>
    <row r="60" spans="3:8" ht="15.75" customHeight="1">
      <c r="C60" s="2"/>
      <c r="D60" s="2"/>
      <c r="E60" s="3"/>
      <c r="F60" s="4"/>
      <c r="G60" s="4"/>
      <c r="H60" s="3"/>
    </row>
    <row r="61" spans="3:8" ht="15.75" customHeight="1">
      <c r="C61" s="2"/>
      <c r="D61" s="2"/>
      <c r="E61" s="3"/>
      <c r="F61" s="4"/>
      <c r="G61" s="4"/>
      <c r="H61" s="3"/>
    </row>
    <row r="62" spans="3:8" ht="15.75" customHeight="1">
      <c r="C62" s="2"/>
      <c r="D62" s="2"/>
      <c r="E62" s="3"/>
      <c r="F62" s="4"/>
      <c r="G62" s="4"/>
      <c r="H62" s="3"/>
    </row>
    <row r="63" spans="3:8" ht="15.75" customHeight="1">
      <c r="C63" s="2"/>
      <c r="D63" s="2"/>
      <c r="E63" s="3"/>
      <c r="F63" s="4"/>
      <c r="G63" s="4"/>
      <c r="H63" s="3"/>
    </row>
    <row r="64" spans="3:8" ht="15.75" customHeight="1">
      <c r="C64" s="2"/>
      <c r="D64" s="2"/>
      <c r="E64" s="3"/>
      <c r="F64" s="4"/>
      <c r="G64" s="4"/>
      <c r="H64" s="3"/>
    </row>
    <row r="65" spans="3:8" ht="15.75" customHeight="1">
      <c r="C65" s="2"/>
      <c r="D65" s="2"/>
      <c r="E65" s="3"/>
      <c r="F65" s="4"/>
      <c r="G65" s="4"/>
      <c r="H65" s="3"/>
    </row>
    <row r="66" spans="3:8" ht="15.75" customHeight="1">
      <c r="C66" s="2"/>
      <c r="D66" s="2"/>
      <c r="E66" s="3"/>
      <c r="F66" s="4"/>
      <c r="G66" s="4"/>
      <c r="H66" s="3"/>
    </row>
    <row r="67" spans="3:8" ht="15.75" customHeight="1">
      <c r="C67" s="2"/>
      <c r="D67" s="2"/>
      <c r="E67" s="3"/>
      <c r="F67" s="4"/>
      <c r="G67" s="4"/>
      <c r="H67" s="3"/>
    </row>
    <row r="68" spans="3:8" ht="15.75" customHeight="1">
      <c r="C68" s="2"/>
      <c r="D68" s="2"/>
      <c r="E68" s="3"/>
      <c r="F68" s="4"/>
      <c r="G68" s="4"/>
      <c r="H68" s="3"/>
    </row>
    <row r="69" spans="3:8" ht="15.75" customHeight="1">
      <c r="C69" s="2"/>
      <c r="D69" s="2"/>
      <c r="E69" s="3"/>
      <c r="F69" s="4"/>
      <c r="G69" s="4"/>
      <c r="H69" s="3"/>
    </row>
    <row r="70" spans="3:8" ht="15.75" customHeight="1">
      <c r="C70" s="2"/>
      <c r="D70" s="2"/>
      <c r="E70" s="3"/>
      <c r="F70" s="4"/>
      <c r="G70" s="4"/>
      <c r="H70" s="3"/>
    </row>
    <row r="71" spans="3:8" ht="15.75" customHeight="1">
      <c r="C71" s="2"/>
      <c r="D71" s="2"/>
      <c r="E71" s="3"/>
      <c r="F71" s="4"/>
      <c r="G71" s="4"/>
      <c r="H71" s="3"/>
    </row>
    <row r="72" spans="3:8" ht="15.75" customHeight="1">
      <c r="C72" s="2"/>
      <c r="D72" s="2"/>
      <c r="E72" s="3"/>
      <c r="F72" s="4"/>
      <c r="G72" s="4"/>
      <c r="H72" s="3"/>
    </row>
    <row r="73" spans="3:8" ht="15.75" customHeight="1">
      <c r="C73" s="2"/>
      <c r="D73" s="2"/>
      <c r="E73" s="3"/>
      <c r="F73" s="4"/>
      <c r="G73" s="4"/>
      <c r="H73" s="3"/>
    </row>
    <row r="74" spans="3:8" ht="15.75" customHeight="1">
      <c r="C74" s="2"/>
      <c r="D74" s="2"/>
      <c r="E74" s="3"/>
      <c r="F74" s="4"/>
      <c r="G74" s="4"/>
      <c r="H74" s="3"/>
    </row>
    <row r="75" spans="3:8" ht="15.75" customHeight="1">
      <c r="C75" s="2"/>
      <c r="D75" s="2"/>
      <c r="E75" s="3"/>
      <c r="F75" s="4"/>
      <c r="G75" s="4"/>
      <c r="H75" s="3"/>
    </row>
    <row r="76" spans="3:8" ht="15.75" customHeight="1">
      <c r="C76" s="2"/>
      <c r="D76" s="2"/>
      <c r="E76" s="3"/>
      <c r="F76" s="4"/>
      <c r="G76" s="4"/>
      <c r="H76" s="3"/>
    </row>
    <row r="77" spans="3:8" ht="15.75" customHeight="1">
      <c r="C77" s="2"/>
      <c r="D77" s="2"/>
      <c r="E77" s="3"/>
      <c r="F77" s="4"/>
      <c r="G77" s="4"/>
      <c r="H77" s="3"/>
    </row>
    <row r="78" spans="3:8" ht="15.75" customHeight="1">
      <c r="C78" s="2"/>
      <c r="D78" s="2"/>
      <c r="E78" s="3"/>
      <c r="F78" s="4"/>
      <c r="G78" s="4"/>
      <c r="H78" s="3"/>
    </row>
    <row r="79" spans="3:8" ht="15.75" customHeight="1">
      <c r="C79" s="2"/>
      <c r="D79" s="2"/>
      <c r="E79" s="3"/>
      <c r="F79" s="4"/>
      <c r="G79" s="4"/>
      <c r="H79" s="3"/>
    </row>
    <row r="80" spans="3:8" ht="15.75" customHeight="1">
      <c r="C80" s="2"/>
      <c r="D80" s="2"/>
      <c r="E80" s="3"/>
      <c r="F80" s="4"/>
      <c r="G80" s="4"/>
      <c r="H80" s="3"/>
    </row>
    <row r="81" spans="3:8" ht="15.75" customHeight="1">
      <c r="C81" s="2"/>
      <c r="D81" s="2"/>
      <c r="E81" s="3"/>
      <c r="F81" s="4"/>
      <c r="G81" s="4"/>
      <c r="H81" s="3"/>
    </row>
    <row r="82" spans="3:8" ht="15.75" customHeight="1">
      <c r="C82" s="2"/>
      <c r="D82" s="2"/>
      <c r="E82" s="3"/>
      <c r="F82" s="4"/>
      <c r="G82" s="4"/>
      <c r="H82" s="3"/>
    </row>
    <row r="83" spans="3:8" ht="15.75" customHeight="1">
      <c r="C83" s="2"/>
      <c r="D83" s="2"/>
      <c r="E83" s="3"/>
      <c r="F83" s="4"/>
      <c r="G83" s="4"/>
      <c r="H83" s="3"/>
    </row>
    <row r="84" spans="3:8" ht="15.75" customHeight="1">
      <c r="C84" s="2"/>
      <c r="D84" s="2"/>
      <c r="E84" s="3"/>
      <c r="F84" s="4"/>
      <c r="G84" s="4"/>
      <c r="H84" s="3"/>
    </row>
    <row r="85" spans="3:8" ht="15.75" customHeight="1">
      <c r="C85" s="2"/>
      <c r="D85" s="2"/>
      <c r="E85" s="3"/>
      <c r="F85" s="4"/>
      <c r="G85" s="4"/>
      <c r="H85" s="3"/>
    </row>
    <row r="86" spans="3:8" ht="15.75" customHeight="1">
      <c r="C86" s="2"/>
      <c r="D86" s="2"/>
      <c r="E86" s="3"/>
      <c r="F86" s="4"/>
      <c r="G86" s="4"/>
      <c r="H86" s="3"/>
    </row>
    <row r="87" spans="3:8" ht="15.75" customHeight="1">
      <c r="C87" s="2"/>
      <c r="D87" s="2"/>
      <c r="E87" s="3"/>
      <c r="F87" s="4"/>
      <c r="G87" s="4"/>
      <c r="H87" s="3"/>
    </row>
    <row r="88" spans="3:8" ht="15.75" customHeight="1">
      <c r="C88" s="2"/>
      <c r="D88" s="2"/>
      <c r="E88" s="3"/>
      <c r="F88" s="4"/>
      <c r="G88" s="4"/>
      <c r="H88" s="3"/>
    </row>
    <row r="89" spans="3:8" ht="15.75" customHeight="1">
      <c r="C89" s="2"/>
      <c r="D89" s="2"/>
      <c r="E89" s="3"/>
      <c r="F89" s="4"/>
      <c r="G89" s="4"/>
      <c r="H89" s="3"/>
    </row>
    <row r="90" spans="3:8" ht="15.75" customHeight="1">
      <c r="C90" s="2"/>
      <c r="D90" s="2"/>
      <c r="E90" s="3"/>
      <c r="F90" s="4"/>
      <c r="G90" s="4"/>
      <c r="H90" s="3"/>
    </row>
    <row r="91" spans="3:8" ht="15.75" customHeight="1">
      <c r="C91" s="2"/>
      <c r="D91" s="2"/>
      <c r="E91" s="3"/>
      <c r="F91" s="4"/>
      <c r="G91" s="4"/>
      <c r="H91" s="3"/>
    </row>
    <row r="92" spans="3:8" ht="15.75" customHeight="1">
      <c r="C92" s="2"/>
      <c r="D92" s="2"/>
      <c r="E92" s="3"/>
      <c r="F92" s="4"/>
      <c r="G92" s="4"/>
      <c r="H92" s="3"/>
    </row>
    <row r="93" spans="3:8" ht="15.75" customHeight="1">
      <c r="C93" s="2"/>
      <c r="D93" s="2"/>
      <c r="E93" s="3"/>
      <c r="F93" s="4"/>
      <c r="G93" s="4"/>
      <c r="H93" s="3"/>
    </row>
    <row r="94" spans="3:8" ht="15.75" customHeight="1">
      <c r="C94" s="2"/>
      <c r="D94" s="2"/>
      <c r="E94" s="3"/>
      <c r="F94" s="4"/>
      <c r="G94" s="4"/>
      <c r="H94" s="3"/>
    </row>
    <row r="95" spans="3:8" ht="15.75" customHeight="1">
      <c r="C95" s="2"/>
      <c r="D95" s="2"/>
      <c r="E95" s="3"/>
      <c r="F95" s="4"/>
      <c r="G95" s="4"/>
      <c r="H95" s="3"/>
    </row>
    <row r="96" spans="3:8" ht="15.75" customHeight="1">
      <c r="C96" s="2"/>
      <c r="D96" s="2"/>
      <c r="E96" s="3"/>
      <c r="F96" s="4"/>
      <c r="G96" s="4"/>
      <c r="H96" s="3"/>
    </row>
    <row r="97" spans="3:8" ht="15.75" customHeight="1">
      <c r="C97" s="2"/>
      <c r="D97" s="2"/>
      <c r="E97" s="3"/>
      <c r="F97" s="4"/>
      <c r="G97" s="4"/>
      <c r="H97" s="3"/>
    </row>
    <row r="98" spans="3:8" ht="15.75" customHeight="1">
      <c r="C98" s="2"/>
      <c r="D98" s="2"/>
      <c r="E98" s="3"/>
      <c r="F98" s="4"/>
      <c r="G98" s="4"/>
      <c r="H98" s="3"/>
    </row>
    <row r="99" spans="3:8" ht="15.75" customHeight="1">
      <c r="C99" s="2"/>
      <c r="D99" s="2"/>
      <c r="E99" s="3"/>
      <c r="F99" s="4"/>
      <c r="G99" s="4"/>
      <c r="H99" s="3"/>
    </row>
    <row r="100" spans="3:8" ht="15.75" customHeight="1">
      <c r="C100" s="2"/>
      <c r="D100" s="2"/>
      <c r="E100" s="3"/>
      <c r="F100" s="4"/>
      <c r="G100" s="4"/>
      <c r="H100" s="3"/>
    </row>
    <row r="101" spans="3:8" ht="15.75" customHeight="1">
      <c r="C101" s="2"/>
      <c r="D101" s="2"/>
      <c r="E101" s="3"/>
      <c r="F101" s="4"/>
      <c r="G101" s="4"/>
      <c r="H101" s="3"/>
    </row>
    <row r="102" spans="3:8" ht="15.75" customHeight="1">
      <c r="C102" s="2"/>
      <c r="D102" s="2"/>
      <c r="E102" s="3"/>
      <c r="F102" s="4"/>
      <c r="G102" s="4"/>
      <c r="H102" s="3"/>
    </row>
    <row r="103" spans="3:8" ht="15.75" customHeight="1">
      <c r="C103" s="2"/>
      <c r="D103" s="2"/>
      <c r="E103" s="3"/>
      <c r="F103" s="4"/>
      <c r="G103" s="4"/>
      <c r="H103" s="3"/>
    </row>
    <row r="104" spans="3:8" ht="15.75" customHeight="1">
      <c r="C104" s="2"/>
      <c r="D104" s="2"/>
      <c r="E104" s="3"/>
      <c r="F104" s="4"/>
      <c r="G104" s="4"/>
      <c r="H104" s="3"/>
    </row>
    <row r="105" spans="3:8" ht="15.75" customHeight="1">
      <c r="C105" s="2"/>
      <c r="D105" s="2"/>
      <c r="E105" s="3"/>
      <c r="F105" s="4"/>
      <c r="G105" s="4"/>
      <c r="H105" s="3"/>
    </row>
    <row r="106" spans="3:8" ht="15.75" customHeight="1">
      <c r="C106" s="2"/>
      <c r="D106" s="2"/>
      <c r="E106" s="3"/>
      <c r="F106" s="4"/>
      <c r="G106" s="4"/>
      <c r="H106" s="3"/>
    </row>
    <row r="107" spans="3:8" ht="15.75" customHeight="1">
      <c r="C107" s="2"/>
      <c r="D107" s="2"/>
      <c r="E107" s="3"/>
      <c r="F107" s="4"/>
      <c r="G107" s="4"/>
      <c r="H107" s="3"/>
    </row>
    <row r="108" spans="3:8" ht="15.75" customHeight="1">
      <c r="C108" s="2"/>
      <c r="D108" s="2"/>
      <c r="E108" s="3"/>
      <c r="F108" s="4"/>
      <c r="G108" s="4"/>
      <c r="H108" s="3"/>
    </row>
    <row r="109" spans="3:8" ht="15.75" customHeight="1">
      <c r="C109" s="2"/>
      <c r="D109" s="2"/>
      <c r="E109" s="3"/>
      <c r="F109" s="4"/>
      <c r="G109" s="4"/>
      <c r="H109" s="3"/>
    </row>
    <row r="110" spans="3:8" ht="15.75" customHeight="1">
      <c r="C110" s="2"/>
      <c r="D110" s="2"/>
      <c r="E110" s="3"/>
      <c r="F110" s="4"/>
      <c r="G110" s="4"/>
      <c r="H110" s="3"/>
    </row>
    <row r="111" spans="3:8" ht="15.75" customHeight="1">
      <c r="C111" s="2"/>
      <c r="D111" s="2"/>
      <c r="E111" s="3"/>
      <c r="F111" s="4"/>
      <c r="G111" s="4"/>
      <c r="H111" s="3"/>
    </row>
    <row r="112" spans="3:8" ht="15.75" customHeight="1">
      <c r="C112" s="2"/>
      <c r="D112" s="2"/>
      <c r="E112" s="3"/>
      <c r="F112" s="4"/>
      <c r="G112" s="4"/>
      <c r="H112" s="3"/>
    </row>
    <row r="113" spans="3:8" ht="15.75" customHeight="1">
      <c r="C113" s="2"/>
      <c r="D113" s="2"/>
      <c r="E113" s="3"/>
      <c r="F113" s="4"/>
      <c r="G113" s="4"/>
      <c r="H113" s="3"/>
    </row>
    <row r="114" spans="3:8" ht="15.75" customHeight="1">
      <c r="C114" s="2"/>
      <c r="D114" s="2"/>
      <c r="E114" s="3"/>
      <c r="F114" s="4"/>
      <c r="G114" s="4"/>
      <c r="H114" s="3"/>
    </row>
    <row r="115" spans="3:8" ht="15.75" customHeight="1">
      <c r="C115" s="2"/>
      <c r="D115" s="2"/>
      <c r="E115" s="3"/>
      <c r="F115" s="4"/>
      <c r="G115" s="4"/>
      <c r="H115" s="3"/>
    </row>
    <row r="116" spans="3:8" ht="15.75" customHeight="1">
      <c r="C116" s="2"/>
      <c r="D116" s="2"/>
      <c r="E116" s="3"/>
      <c r="F116" s="4"/>
      <c r="G116" s="4"/>
      <c r="H116" s="3"/>
    </row>
    <row r="117" spans="3:8" ht="15.75" customHeight="1">
      <c r="C117" s="2"/>
      <c r="D117" s="2"/>
      <c r="E117" s="3"/>
      <c r="F117" s="4"/>
      <c r="G117" s="4"/>
      <c r="H117" s="3"/>
    </row>
    <row r="118" spans="3:8" ht="15.75" customHeight="1">
      <c r="C118" s="2"/>
      <c r="D118" s="2"/>
      <c r="E118" s="3"/>
      <c r="F118" s="4"/>
      <c r="G118" s="4"/>
      <c r="H118" s="3"/>
    </row>
    <row r="119" spans="3:8" ht="15.75" customHeight="1">
      <c r="C119" s="2"/>
      <c r="D119" s="2"/>
      <c r="E119" s="3"/>
      <c r="F119" s="4"/>
      <c r="G119" s="4"/>
      <c r="H119" s="3"/>
    </row>
    <row r="120" spans="3:8" ht="15.75" customHeight="1">
      <c r="C120" s="2"/>
      <c r="D120" s="2"/>
      <c r="E120" s="3"/>
      <c r="F120" s="4"/>
      <c r="G120" s="4"/>
      <c r="H120" s="3"/>
    </row>
    <row r="121" spans="3:8" ht="15.75" customHeight="1">
      <c r="C121" s="2"/>
      <c r="D121" s="2"/>
      <c r="E121" s="3"/>
      <c r="F121" s="4"/>
      <c r="G121" s="4"/>
      <c r="H121" s="3"/>
    </row>
    <row r="122" spans="3:8" ht="15.75" customHeight="1">
      <c r="C122" s="2"/>
      <c r="D122" s="2"/>
      <c r="E122" s="3"/>
      <c r="F122" s="4"/>
      <c r="G122" s="4"/>
      <c r="H122" s="3"/>
    </row>
    <row r="123" spans="3:8" ht="15.75" customHeight="1">
      <c r="C123" s="2"/>
      <c r="D123" s="2"/>
      <c r="E123" s="3"/>
      <c r="F123" s="4"/>
      <c r="G123" s="4"/>
      <c r="H123" s="3"/>
    </row>
    <row r="124" spans="3:8" ht="15.75" customHeight="1">
      <c r="C124" s="2"/>
      <c r="D124" s="2"/>
      <c r="E124" s="3"/>
      <c r="F124" s="4"/>
      <c r="G124" s="4"/>
      <c r="H124" s="3"/>
    </row>
    <row r="125" spans="3:8" ht="15.75" customHeight="1">
      <c r="C125" s="2"/>
      <c r="D125" s="2"/>
      <c r="E125" s="3"/>
      <c r="F125" s="4"/>
      <c r="G125" s="4"/>
      <c r="H125" s="3"/>
    </row>
    <row r="126" spans="3:8" ht="15.75" customHeight="1">
      <c r="C126" s="2"/>
      <c r="D126" s="2"/>
      <c r="E126" s="3"/>
      <c r="F126" s="4"/>
      <c r="G126" s="4"/>
      <c r="H126" s="3"/>
    </row>
    <row r="127" spans="3:8" ht="15.75" customHeight="1">
      <c r="C127" s="2"/>
      <c r="D127" s="2"/>
      <c r="E127" s="3"/>
      <c r="F127" s="4"/>
      <c r="G127" s="4"/>
      <c r="H127" s="3"/>
    </row>
    <row r="128" spans="3:8" ht="15.75" customHeight="1">
      <c r="C128" s="2"/>
      <c r="D128" s="2"/>
      <c r="E128" s="3"/>
      <c r="F128" s="4"/>
      <c r="G128" s="4"/>
      <c r="H128" s="3"/>
    </row>
    <row r="129" spans="3:8" ht="15.75" customHeight="1">
      <c r="C129" s="2"/>
      <c r="D129" s="2"/>
      <c r="E129" s="3"/>
      <c r="F129" s="4"/>
      <c r="G129" s="4"/>
      <c r="H129" s="3"/>
    </row>
    <row r="130" spans="3:8" ht="15.75" customHeight="1">
      <c r="C130" s="2"/>
      <c r="D130" s="2"/>
      <c r="E130" s="3"/>
      <c r="F130" s="4"/>
      <c r="G130" s="4"/>
      <c r="H130" s="3"/>
    </row>
    <row r="131" spans="3:8" ht="15.75" customHeight="1">
      <c r="C131" s="2"/>
      <c r="D131" s="2"/>
      <c r="E131" s="3"/>
      <c r="F131" s="4"/>
      <c r="G131" s="4"/>
      <c r="H131" s="3"/>
    </row>
    <row r="132" spans="3:8" ht="15.75" customHeight="1">
      <c r="C132" s="2"/>
      <c r="D132" s="2"/>
      <c r="E132" s="3"/>
      <c r="F132" s="4"/>
      <c r="G132" s="4"/>
      <c r="H132" s="3"/>
    </row>
    <row r="133" spans="3:8" ht="15.75" customHeight="1">
      <c r="C133" s="2"/>
      <c r="D133" s="2"/>
      <c r="E133" s="3"/>
      <c r="F133" s="4"/>
      <c r="G133" s="4"/>
      <c r="H133" s="3"/>
    </row>
    <row r="134" spans="3:8" ht="15.75" customHeight="1">
      <c r="C134" s="2"/>
      <c r="D134" s="2"/>
      <c r="E134" s="3"/>
      <c r="F134" s="4"/>
      <c r="G134" s="4"/>
      <c r="H134" s="3"/>
    </row>
    <row r="135" spans="3:8" ht="15.75" customHeight="1">
      <c r="C135" s="2"/>
      <c r="D135" s="2"/>
      <c r="E135" s="3"/>
      <c r="F135" s="4"/>
      <c r="G135" s="4"/>
      <c r="H135" s="3"/>
    </row>
    <row r="136" spans="3:8" ht="15.75" customHeight="1">
      <c r="C136" s="2"/>
      <c r="D136" s="2"/>
      <c r="E136" s="3"/>
      <c r="F136" s="4"/>
      <c r="G136" s="4"/>
      <c r="H136" s="3"/>
    </row>
    <row r="137" spans="3:8" ht="15.75" customHeight="1">
      <c r="C137" s="2"/>
      <c r="D137" s="2"/>
      <c r="E137" s="3"/>
      <c r="F137" s="4"/>
      <c r="G137" s="4"/>
      <c r="H137" s="3"/>
    </row>
    <row r="138" spans="3:8" ht="15.75" customHeight="1">
      <c r="C138" s="2"/>
      <c r="D138" s="2"/>
      <c r="E138" s="3"/>
      <c r="F138" s="4"/>
      <c r="G138" s="4"/>
      <c r="H138" s="3"/>
    </row>
    <row r="139" spans="3:8" ht="15.75" customHeight="1">
      <c r="C139" s="2"/>
      <c r="D139" s="2"/>
      <c r="E139" s="3"/>
      <c r="F139" s="4"/>
      <c r="G139" s="4"/>
      <c r="H139" s="3"/>
    </row>
    <row r="140" spans="3:8" ht="15.75" customHeight="1">
      <c r="C140" s="2"/>
      <c r="D140" s="2"/>
      <c r="E140" s="3"/>
      <c r="F140" s="4"/>
      <c r="G140" s="4"/>
      <c r="H140" s="3"/>
    </row>
    <row r="141" spans="3:8" ht="15.75" customHeight="1">
      <c r="C141" s="2"/>
      <c r="D141" s="2"/>
      <c r="E141" s="3"/>
      <c r="F141" s="4"/>
      <c r="G141" s="4"/>
      <c r="H141" s="3"/>
    </row>
    <row r="142" spans="3:8" ht="15.75" customHeight="1">
      <c r="C142" s="2"/>
      <c r="D142" s="2"/>
      <c r="E142" s="3"/>
      <c r="F142" s="4"/>
      <c r="G142" s="4"/>
      <c r="H142" s="3"/>
    </row>
    <row r="143" spans="3:8" ht="15.75" customHeight="1">
      <c r="C143" s="2"/>
      <c r="D143" s="2"/>
      <c r="E143" s="3"/>
      <c r="F143" s="4"/>
      <c r="G143" s="4"/>
      <c r="H143" s="3"/>
    </row>
    <row r="144" spans="3:8" ht="15.75" customHeight="1">
      <c r="C144" s="2"/>
      <c r="D144" s="2"/>
      <c r="E144" s="3"/>
      <c r="F144" s="4"/>
      <c r="G144" s="4"/>
      <c r="H144" s="3"/>
    </row>
    <row r="145" spans="3:8" ht="15.75" customHeight="1">
      <c r="C145" s="2"/>
      <c r="D145" s="2"/>
      <c r="E145" s="3"/>
      <c r="F145" s="4"/>
      <c r="G145" s="4"/>
      <c r="H145" s="3"/>
    </row>
    <row r="146" spans="3:8" ht="15.75" customHeight="1">
      <c r="C146" s="2"/>
      <c r="D146" s="2"/>
      <c r="E146" s="3"/>
      <c r="F146" s="4"/>
      <c r="G146" s="4"/>
      <c r="H146" s="3"/>
    </row>
    <row r="147" spans="3:8" ht="15.75" customHeight="1">
      <c r="C147" s="2"/>
      <c r="D147" s="2"/>
      <c r="E147" s="3"/>
      <c r="F147" s="4"/>
      <c r="G147" s="4"/>
      <c r="H147" s="3"/>
    </row>
    <row r="148" spans="3:8" ht="15.75" customHeight="1">
      <c r="C148" s="2"/>
      <c r="D148" s="2"/>
      <c r="E148" s="3"/>
      <c r="F148" s="4"/>
      <c r="G148" s="4"/>
      <c r="H148" s="3"/>
    </row>
    <row r="149" spans="3:8" ht="15.75" customHeight="1">
      <c r="C149" s="2"/>
      <c r="D149" s="2"/>
      <c r="E149" s="3"/>
      <c r="F149" s="4"/>
      <c r="G149" s="4"/>
      <c r="H149" s="3"/>
    </row>
    <row r="150" spans="3:8" ht="15.75" customHeight="1">
      <c r="C150" s="2"/>
      <c r="D150" s="2"/>
      <c r="E150" s="3"/>
      <c r="F150" s="4"/>
      <c r="G150" s="4"/>
      <c r="H150" s="3"/>
    </row>
    <row r="151" spans="3:8" ht="15.75" customHeight="1">
      <c r="C151" s="2"/>
      <c r="D151" s="2"/>
      <c r="E151" s="3"/>
      <c r="F151" s="4"/>
      <c r="G151" s="4"/>
      <c r="H151" s="3"/>
    </row>
    <row r="152" spans="3:8" ht="15.75" customHeight="1">
      <c r="C152" s="2"/>
      <c r="D152" s="2"/>
      <c r="E152" s="3"/>
      <c r="F152" s="4"/>
      <c r="G152" s="4"/>
      <c r="H152" s="3"/>
    </row>
    <row r="153" spans="3:8" ht="15.75" customHeight="1">
      <c r="C153" s="2"/>
      <c r="D153" s="2"/>
      <c r="E153" s="3"/>
      <c r="F153" s="4"/>
      <c r="G153" s="4"/>
      <c r="H153" s="3"/>
    </row>
    <row r="154" spans="3:8" ht="15.75" customHeight="1">
      <c r="C154" s="2"/>
      <c r="D154" s="2"/>
      <c r="E154" s="3"/>
      <c r="F154" s="4"/>
      <c r="G154" s="4"/>
      <c r="H154" s="3"/>
    </row>
    <row r="155" spans="3:8" ht="15.75" customHeight="1">
      <c r="C155" s="2"/>
      <c r="D155" s="2"/>
      <c r="E155" s="3"/>
      <c r="F155" s="4"/>
      <c r="G155" s="4"/>
      <c r="H155" s="3"/>
    </row>
    <row r="156" spans="3:8" ht="15.75" customHeight="1">
      <c r="C156" s="2"/>
      <c r="D156" s="2"/>
      <c r="E156" s="3"/>
      <c r="F156" s="4"/>
      <c r="G156" s="4"/>
      <c r="H156" s="3"/>
    </row>
    <row r="157" spans="3:8" ht="15.75" customHeight="1">
      <c r="C157" s="2"/>
      <c r="D157" s="2"/>
      <c r="E157" s="3"/>
      <c r="F157" s="4"/>
      <c r="G157" s="4"/>
      <c r="H157" s="3"/>
    </row>
    <row r="158" spans="3:8" ht="15.75" customHeight="1">
      <c r="C158" s="2"/>
      <c r="D158" s="2"/>
      <c r="E158" s="3"/>
      <c r="F158" s="4"/>
      <c r="G158" s="4"/>
      <c r="H158" s="3"/>
    </row>
    <row r="159" spans="3:8" ht="15.75" customHeight="1">
      <c r="C159" s="2"/>
      <c r="D159" s="2"/>
      <c r="E159" s="3"/>
      <c r="F159" s="4"/>
      <c r="G159" s="4"/>
      <c r="H159" s="3"/>
    </row>
    <row r="160" spans="3:8" ht="15.75" customHeight="1">
      <c r="C160" s="2"/>
      <c r="D160" s="2"/>
      <c r="E160" s="3"/>
      <c r="F160" s="4"/>
      <c r="G160" s="4"/>
      <c r="H160" s="3"/>
    </row>
    <row r="161" spans="3:8" ht="15.75" customHeight="1">
      <c r="C161" s="2"/>
      <c r="D161" s="2"/>
      <c r="E161" s="3"/>
      <c r="F161" s="4"/>
      <c r="G161" s="4"/>
      <c r="H161" s="3"/>
    </row>
    <row r="162" spans="3:8" ht="15.75" customHeight="1">
      <c r="C162" s="2"/>
      <c r="D162" s="2"/>
      <c r="E162" s="3"/>
      <c r="F162" s="4"/>
      <c r="G162" s="4"/>
      <c r="H162" s="3"/>
    </row>
    <row r="163" spans="3:8" ht="15.75" customHeight="1">
      <c r="C163" s="2"/>
      <c r="D163" s="2"/>
      <c r="E163" s="3"/>
      <c r="F163" s="4"/>
      <c r="G163" s="4"/>
      <c r="H163" s="3"/>
    </row>
    <row r="164" spans="3:8" ht="15.75" customHeight="1">
      <c r="C164" s="2"/>
      <c r="D164" s="2"/>
      <c r="E164" s="3"/>
      <c r="F164" s="4"/>
      <c r="G164" s="4"/>
      <c r="H164" s="3"/>
    </row>
    <row r="165" spans="3:8" ht="15.75" customHeight="1">
      <c r="C165" s="2"/>
      <c r="D165" s="2"/>
      <c r="E165" s="3"/>
      <c r="F165" s="4"/>
      <c r="G165" s="4"/>
      <c r="H165" s="3"/>
    </row>
    <row r="166" spans="3:8" ht="15.75" customHeight="1">
      <c r="C166" s="2"/>
      <c r="D166" s="2"/>
      <c r="E166" s="3"/>
      <c r="F166" s="4"/>
      <c r="G166" s="4"/>
      <c r="H166" s="3"/>
    </row>
    <row r="167" spans="3:8" ht="15.75" customHeight="1">
      <c r="C167" s="2"/>
      <c r="D167" s="2"/>
      <c r="E167" s="3"/>
      <c r="F167" s="4"/>
      <c r="G167" s="4"/>
      <c r="H167" s="3"/>
    </row>
    <row r="168" spans="3:8" ht="15.75" customHeight="1">
      <c r="C168" s="2"/>
      <c r="D168" s="2"/>
      <c r="E168" s="3"/>
      <c r="F168" s="4"/>
      <c r="G168" s="4"/>
      <c r="H168" s="3"/>
    </row>
    <row r="169" spans="3:8" ht="15.75" customHeight="1">
      <c r="C169" s="2"/>
      <c r="D169" s="2"/>
      <c r="E169" s="3"/>
      <c r="F169" s="4"/>
      <c r="G169" s="4"/>
      <c r="H169" s="3"/>
    </row>
    <row r="170" spans="3:8" ht="15.75" customHeight="1">
      <c r="C170" s="2"/>
      <c r="D170" s="2"/>
      <c r="E170" s="3"/>
      <c r="F170" s="4"/>
      <c r="G170" s="4"/>
      <c r="H170" s="3"/>
    </row>
    <row r="171" spans="3:8" ht="15.75" customHeight="1">
      <c r="C171" s="2"/>
      <c r="D171" s="2"/>
      <c r="E171" s="3"/>
      <c r="F171" s="4"/>
      <c r="G171" s="4"/>
      <c r="H171" s="3"/>
    </row>
    <row r="172" spans="3:8" ht="15.75" customHeight="1">
      <c r="C172" s="2"/>
      <c r="D172" s="2"/>
      <c r="E172" s="3"/>
      <c r="F172" s="4"/>
      <c r="G172" s="4"/>
      <c r="H172" s="3"/>
    </row>
    <row r="173" spans="3:8" ht="15.75" customHeight="1">
      <c r="C173" s="2"/>
      <c r="D173" s="2"/>
      <c r="E173" s="3"/>
      <c r="F173" s="4"/>
      <c r="G173" s="4"/>
      <c r="H173" s="3"/>
    </row>
    <row r="174" spans="3:8" ht="15.75" customHeight="1">
      <c r="C174" s="2"/>
      <c r="D174" s="2"/>
      <c r="E174" s="3"/>
      <c r="F174" s="4"/>
      <c r="G174" s="4"/>
      <c r="H174" s="3"/>
    </row>
    <row r="175" spans="3:8" ht="15.75" customHeight="1">
      <c r="C175" s="2"/>
      <c r="D175" s="2"/>
      <c r="E175" s="3"/>
      <c r="F175" s="4"/>
      <c r="G175" s="4"/>
      <c r="H175" s="3"/>
    </row>
    <row r="176" spans="3:8" ht="15.75" customHeight="1">
      <c r="C176" s="2"/>
      <c r="D176" s="2"/>
      <c r="E176" s="3"/>
      <c r="F176" s="4"/>
      <c r="G176" s="4"/>
      <c r="H176" s="3"/>
    </row>
    <row r="177" spans="3:8" ht="15.75" customHeight="1">
      <c r="C177" s="2"/>
      <c r="D177" s="2"/>
      <c r="E177" s="3"/>
      <c r="F177" s="4"/>
      <c r="G177" s="4"/>
      <c r="H177" s="3"/>
    </row>
    <row r="178" spans="3:8" ht="15.75" customHeight="1">
      <c r="C178" s="2"/>
      <c r="D178" s="2"/>
      <c r="E178" s="3"/>
      <c r="F178" s="4"/>
      <c r="G178" s="4"/>
      <c r="H178" s="3"/>
    </row>
    <row r="179" spans="3:8" ht="15.75" customHeight="1">
      <c r="C179" s="2"/>
      <c r="D179" s="2"/>
      <c r="E179" s="3"/>
      <c r="F179" s="4"/>
      <c r="G179" s="4"/>
      <c r="H179" s="3"/>
    </row>
    <row r="180" spans="3:8" ht="15.75" customHeight="1">
      <c r="C180" s="2"/>
      <c r="D180" s="2"/>
      <c r="E180" s="3"/>
      <c r="F180" s="4"/>
      <c r="G180" s="4"/>
      <c r="H180" s="3"/>
    </row>
    <row r="181" spans="3:8" ht="15.75" customHeight="1">
      <c r="C181" s="2"/>
      <c r="D181" s="2"/>
      <c r="E181" s="3"/>
      <c r="F181" s="4"/>
      <c r="G181" s="4"/>
      <c r="H181" s="3"/>
    </row>
    <row r="182" spans="3:8" ht="15.75" customHeight="1">
      <c r="C182" s="2"/>
      <c r="D182" s="2"/>
      <c r="E182" s="3"/>
      <c r="F182" s="4"/>
      <c r="G182" s="4"/>
      <c r="H182" s="3"/>
    </row>
    <row r="183" spans="3:8" ht="15.75" customHeight="1">
      <c r="C183" s="2"/>
      <c r="D183" s="2"/>
      <c r="E183" s="3"/>
      <c r="F183" s="4"/>
      <c r="G183" s="4"/>
      <c r="H183" s="3"/>
    </row>
    <row r="184" spans="3:8" ht="15.75" customHeight="1">
      <c r="C184" s="2"/>
      <c r="D184" s="2"/>
      <c r="E184" s="3"/>
      <c r="F184" s="4"/>
      <c r="G184" s="4"/>
      <c r="H184" s="3"/>
    </row>
    <row r="185" spans="3:8" ht="15.75" customHeight="1">
      <c r="C185" s="2"/>
      <c r="D185" s="2"/>
      <c r="E185" s="3"/>
      <c r="F185" s="4"/>
      <c r="G185" s="4"/>
      <c r="H185" s="3"/>
    </row>
    <row r="186" spans="3:8" ht="15.75" customHeight="1">
      <c r="C186" s="2"/>
      <c r="D186" s="2"/>
      <c r="E186" s="3"/>
      <c r="F186" s="4"/>
      <c r="G186" s="4"/>
      <c r="H186" s="3"/>
    </row>
    <row r="187" spans="3:8" ht="15.75" customHeight="1">
      <c r="C187" s="2"/>
      <c r="D187" s="2"/>
      <c r="E187" s="3"/>
      <c r="F187" s="4"/>
      <c r="G187" s="4"/>
      <c r="H187" s="3"/>
    </row>
    <row r="188" spans="3:8" ht="15.75" customHeight="1">
      <c r="C188" s="2"/>
      <c r="D188" s="2"/>
      <c r="E188" s="3"/>
      <c r="F188" s="4"/>
      <c r="G188" s="4"/>
      <c r="H188" s="3"/>
    </row>
    <row r="189" spans="3:8" ht="15.75" customHeight="1">
      <c r="C189" s="2"/>
      <c r="D189" s="2"/>
      <c r="E189" s="3"/>
      <c r="F189" s="4"/>
      <c r="G189" s="4"/>
      <c r="H189" s="3"/>
    </row>
    <row r="190" spans="3:8" ht="15.75" customHeight="1">
      <c r="C190" s="2"/>
      <c r="D190" s="2"/>
      <c r="E190" s="3"/>
      <c r="F190" s="4"/>
      <c r="G190" s="4"/>
      <c r="H190" s="3"/>
    </row>
    <row r="191" spans="3:8" ht="15.75" customHeight="1">
      <c r="C191" s="2"/>
      <c r="D191" s="2"/>
      <c r="E191" s="3"/>
      <c r="F191" s="4"/>
      <c r="G191" s="4"/>
      <c r="H191" s="3"/>
    </row>
    <row r="192" spans="3:8" ht="15.75" customHeight="1">
      <c r="C192" s="2"/>
      <c r="D192" s="2"/>
      <c r="E192" s="3"/>
      <c r="F192" s="4"/>
      <c r="G192" s="4"/>
      <c r="H192" s="3"/>
    </row>
    <row r="193" spans="3:8" ht="15.75" customHeight="1">
      <c r="C193" s="2"/>
      <c r="D193" s="2"/>
      <c r="E193" s="3"/>
      <c r="F193" s="4"/>
      <c r="G193" s="4"/>
      <c r="H193" s="3"/>
    </row>
    <row r="194" spans="3:8" ht="15.75" customHeight="1">
      <c r="C194" s="2"/>
      <c r="D194" s="2"/>
      <c r="E194" s="3"/>
      <c r="F194" s="4"/>
      <c r="G194" s="4"/>
      <c r="H194" s="3"/>
    </row>
    <row r="195" spans="3:8" ht="15.75" customHeight="1">
      <c r="C195" s="2"/>
      <c r="D195" s="2"/>
      <c r="E195" s="3"/>
      <c r="F195" s="4"/>
      <c r="G195" s="4"/>
      <c r="H195" s="3"/>
    </row>
    <row r="196" spans="3:8" ht="15.75" customHeight="1">
      <c r="C196" s="2"/>
      <c r="D196" s="2"/>
      <c r="E196" s="3"/>
      <c r="F196" s="4"/>
      <c r="G196" s="4"/>
      <c r="H196" s="3"/>
    </row>
    <row r="197" spans="3:8" ht="15.75" customHeight="1">
      <c r="C197" s="2"/>
      <c r="D197" s="2"/>
      <c r="E197" s="3"/>
      <c r="F197" s="4"/>
      <c r="G197" s="4"/>
      <c r="H197" s="3"/>
    </row>
    <row r="198" spans="3:8" ht="15.75" customHeight="1">
      <c r="C198" s="2"/>
      <c r="D198" s="2"/>
      <c r="E198" s="3"/>
      <c r="F198" s="4"/>
      <c r="G198" s="4"/>
      <c r="H198" s="3"/>
    </row>
    <row r="199" spans="3:8" ht="15.75" customHeight="1">
      <c r="C199" s="2"/>
      <c r="D199" s="2"/>
      <c r="E199" s="3"/>
      <c r="F199" s="4"/>
      <c r="G199" s="4"/>
      <c r="H199" s="3"/>
    </row>
    <row r="200" spans="3:8" ht="15.75" customHeight="1">
      <c r="C200" s="2"/>
      <c r="D200" s="2"/>
      <c r="E200" s="3"/>
      <c r="F200" s="4"/>
      <c r="G200" s="4"/>
      <c r="H200" s="3"/>
    </row>
    <row r="201" spans="3:8" ht="15.75" customHeight="1">
      <c r="C201" s="2"/>
      <c r="D201" s="2"/>
      <c r="E201" s="3"/>
      <c r="F201" s="4"/>
      <c r="G201" s="4"/>
      <c r="H201" s="3"/>
    </row>
    <row r="202" spans="3:8" ht="15.75" customHeight="1">
      <c r="C202" s="2"/>
      <c r="D202" s="2"/>
      <c r="E202" s="3"/>
      <c r="F202" s="4"/>
      <c r="G202" s="4"/>
      <c r="H202" s="3"/>
    </row>
    <row r="203" spans="3:8" ht="15.75" customHeight="1">
      <c r="C203" s="2"/>
      <c r="D203" s="2"/>
      <c r="E203" s="3"/>
      <c r="F203" s="4"/>
      <c r="G203" s="4"/>
      <c r="H203" s="3"/>
    </row>
    <row r="204" spans="3:8" ht="15.75" customHeight="1">
      <c r="C204" s="2"/>
      <c r="D204" s="2"/>
      <c r="E204" s="3"/>
      <c r="F204" s="4"/>
      <c r="G204" s="4"/>
      <c r="H204" s="3"/>
    </row>
    <row r="205" spans="3:8" ht="15.75" customHeight="1">
      <c r="C205" s="2"/>
      <c r="D205" s="2"/>
      <c r="E205" s="3"/>
      <c r="F205" s="4"/>
      <c r="G205" s="4"/>
      <c r="H205" s="3"/>
    </row>
    <row r="206" spans="3:8" ht="15.75" customHeight="1">
      <c r="C206" s="2"/>
      <c r="D206" s="2"/>
      <c r="E206" s="3"/>
      <c r="F206" s="4"/>
      <c r="G206" s="4"/>
      <c r="H206" s="3"/>
    </row>
    <row r="207" spans="3:8" ht="15.75" customHeight="1">
      <c r="C207" s="2"/>
      <c r="D207" s="2"/>
      <c r="E207" s="3"/>
      <c r="F207" s="4"/>
      <c r="G207" s="4"/>
      <c r="H207" s="3"/>
    </row>
    <row r="208" spans="3:8" ht="15.75" customHeight="1">
      <c r="C208" s="2"/>
      <c r="D208" s="2"/>
      <c r="E208" s="3"/>
      <c r="F208" s="4"/>
      <c r="G208" s="4"/>
      <c r="H208" s="3"/>
    </row>
    <row r="209" spans="3:8" ht="15.75" customHeight="1">
      <c r="C209" s="2"/>
      <c r="D209" s="2"/>
      <c r="E209" s="3"/>
      <c r="F209" s="4"/>
      <c r="G209" s="4"/>
      <c r="H209" s="3"/>
    </row>
    <row r="210" spans="3:8" ht="15.75" customHeight="1">
      <c r="C210" s="2"/>
      <c r="D210" s="2"/>
      <c r="E210" s="3"/>
      <c r="F210" s="4"/>
      <c r="G210" s="4"/>
      <c r="H210" s="3"/>
    </row>
    <row r="211" spans="3:8" ht="15.75" customHeight="1">
      <c r="C211" s="2"/>
      <c r="D211" s="2"/>
      <c r="E211" s="3"/>
      <c r="F211" s="4"/>
      <c r="G211" s="4"/>
      <c r="H211" s="3"/>
    </row>
    <row r="212" spans="3:8" ht="15.75" customHeight="1">
      <c r="C212" s="2"/>
      <c r="D212" s="2"/>
      <c r="E212" s="3"/>
      <c r="F212" s="4"/>
      <c r="G212" s="4"/>
      <c r="H212" s="3"/>
    </row>
    <row r="213" spans="3:8" ht="15.75" customHeight="1">
      <c r="C213" s="2"/>
      <c r="D213" s="2"/>
      <c r="E213" s="3"/>
      <c r="F213" s="4"/>
      <c r="G213" s="4"/>
      <c r="H213" s="3"/>
    </row>
    <row r="214" spans="3:8" ht="15.75" customHeight="1">
      <c r="C214" s="2"/>
      <c r="D214" s="2"/>
      <c r="E214" s="3"/>
      <c r="F214" s="4"/>
      <c r="G214" s="4"/>
      <c r="H214" s="3"/>
    </row>
    <row r="215" spans="3:8" ht="15.75" customHeight="1">
      <c r="C215" s="2"/>
      <c r="D215" s="2"/>
      <c r="E215" s="3"/>
      <c r="F215" s="4"/>
      <c r="G215" s="4"/>
      <c r="H215" s="3"/>
    </row>
    <row r="216" spans="3:8" ht="15.75" customHeight="1">
      <c r="C216" s="2"/>
      <c r="D216" s="2"/>
      <c r="E216" s="3"/>
      <c r="F216" s="4"/>
      <c r="G216" s="4"/>
      <c r="H216" s="3"/>
    </row>
    <row r="217" spans="3:8" ht="15.75" customHeight="1">
      <c r="C217" s="2"/>
      <c r="D217" s="2"/>
      <c r="E217" s="3"/>
      <c r="F217" s="4"/>
      <c r="G217" s="4"/>
      <c r="H217" s="3"/>
    </row>
    <row r="218" spans="3:8" ht="15.75" customHeight="1">
      <c r="C218" s="2"/>
      <c r="D218" s="2"/>
      <c r="E218" s="3"/>
      <c r="F218" s="4"/>
      <c r="G218" s="4"/>
      <c r="H218" s="3"/>
    </row>
    <row r="219" spans="3:8" ht="15.75" customHeight="1">
      <c r="C219" s="2"/>
      <c r="D219" s="2"/>
      <c r="E219" s="3"/>
      <c r="F219" s="4"/>
      <c r="G219" s="4"/>
      <c r="H219" s="3"/>
    </row>
    <row r="220" spans="3:8" ht="15.75" customHeight="1">
      <c r="C220" s="2"/>
      <c r="D220" s="2"/>
      <c r="E220" s="3"/>
      <c r="F220" s="4"/>
      <c r="G220" s="4"/>
      <c r="H220" s="3"/>
    </row>
    <row r="221" spans="3:8" ht="15.75" customHeight="1">
      <c r="C221" s="2"/>
      <c r="D221" s="2"/>
      <c r="E221" s="3"/>
      <c r="F221" s="4"/>
      <c r="G221" s="4"/>
      <c r="H221" s="3"/>
    </row>
    <row r="222" spans="3:8" ht="15.75" customHeight="1">
      <c r="C222" s="2"/>
      <c r="D222" s="2"/>
      <c r="E222" s="3"/>
      <c r="F222" s="4"/>
      <c r="G222" s="4"/>
      <c r="H222" s="3"/>
    </row>
    <row r="223" spans="3:8" ht="15.75" customHeight="1">
      <c r="C223" s="2"/>
      <c r="D223" s="2"/>
      <c r="E223" s="3"/>
      <c r="F223" s="4"/>
      <c r="G223" s="4"/>
      <c r="H223" s="3"/>
    </row>
    <row r="224" spans="3:8" ht="15.75" customHeight="1">
      <c r="C224" s="2"/>
      <c r="D224" s="2"/>
      <c r="E224" s="3"/>
      <c r="F224" s="4"/>
      <c r="G224" s="4"/>
      <c r="H224" s="3"/>
    </row>
    <row r="225" spans="3:8" ht="15.75" customHeight="1">
      <c r="C225" s="2"/>
      <c r="D225" s="2"/>
      <c r="E225" s="3"/>
      <c r="F225" s="4"/>
      <c r="G225" s="4"/>
      <c r="H225" s="3"/>
    </row>
    <row r="226" spans="3:8" ht="15.75" customHeight="1">
      <c r="C226" s="2"/>
      <c r="D226" s="2"/>
      <c r="E226" s="3"/>
      <c r="F226" s="4"/>
      <c r="G226" s="4"/>
      <c r="H226" s="3"/>
    </row>
    <row r="227" spans="3:8" ht="15.75" customHeight="1">
      <c r="C227" s="2"/>
      <c r="D227" s="2"/>
      <c r="E227" s="3"/>
      <c r="F227" s="4"/>
      <c r="G227" s="4"/>
      <c r="H227" s="3"/>
    </row>
    <row r="228" spans="3:8" ht="15.75" customHeight="1">
      <c r="C228" s="2"/>
      <c r="D228" s="2"/>
      <c r="E228" s="3"/>
      <c r="F228" s="4"/>
      <c r="G228" s="4"/>
      <c r="H228" s="3"/>
    </row>
    <row r="229" spans="3:8" ht="15.75" customHeight="1">
      <c r="C229" s="2"/>
      <c r="D229" s="2"/>
      <c r="E229" s="3"/>
      <c r="F229" s="4"/>
      <c r="G229" s="4"/>
      <c r="H229" s="3"/>
    </row>
    <row r="230" spans="3:8" ht="15.75" customHeight="1">
      <c r="C230" s="2"/>
      <c r="D230" s="2"/>
      <c r="E230" s="3"/>
      <c r="F230" s="4"/>
      <c r="G230" s="4"/>
      <c r="H230" s="3"/>
    </row>
    <row r="231" spans="3:8" ht="15.75" customHeight="1">
      <c r="C231" s="2"/>
      <c r="D231" s="2"/>
      <c r="E231" s="3"/>
      <c r="F231" s="4"/>
      <c r="G231" s="4"/>
      <c r="H231" s="3"/>
    </row>
    <row r="232" spans="3:8" ht="15.75" customHeight="1">
      <c r="C232" s="2"/>
      <c r="D232" s="2"/>
      <c r="E232" s="3"/>
      <c r="F232" s="4"/>
      <c r="G232" s="4"/>
      <c r="H232" s="3"/>
    </row>
    <row r="233" spans="3:8" ht="15.75" customHeight="1">
      <c r="C233" s="2"/>
      <c r="D233" s="2"/>
      <c r="E233" s="3"/>
      <c r="F233" s="4"/>
      <c r="G233" s="4"/>
      <c r="H233" s="3"/>
    </row>
    <row r="234" spans="3:8" ht="15.75" customHeight="1">
      <c r="C234" s="2"/>
      <c r="D234" s="2"/>
      <c r="E234" s="3"/>
      <c r="F234" s="4"/>
      <c r="G234" s="4"/>
      <c r="H234" s="3"/>
    </row>
    <row r="235" spans="3:8" ht="15.75" customHeight="1">
      <c r="C235" s="2"/>
      <c r="D235" s="2"/>
      <c r="E235" s="3"/>
      <c r="F235" s="4"/>
      <c r="G235" s="4"/>
      <c r="H235" s="3"/>
    </row>
    <row r="236" spans="3:8" ht="15.75" customHeight="1">
      <c r="C236" s="2"/>
      <c r="D236" s="2"/>
      <c r="E236" s="3"/>
      <c r="F236" s="4"/>
      <c r="G236" s="4"/>
      <c r="H236" s="3"/>
    </row>
    <row r="237" spans="3:8" ht="15.75" customHeight="1">
      <c r="C237" s="2"/>
      <c r="D237" s="2"/>
      <c r="E237" s="3"/>
      <c r="F237" s="4"/>
      <c r="G237" s="4"/>
      <c r="H237" s="3"/>
    </row>
    <row r="238" spans="3:8" ht="15.75" customHeight="1">
      <c r="C238" s="2"/>
      <c r="D238" s="2"/>
      <c r="E238" s="3"/>
      <c r="F238" s="4"/>
      <c r="G238" s="4"/>
      <c r="H238" s="3"/>
    </row>
    <row r="239" spans="3:8" ht="15.75" customHeight="1">
      <c r="C239" s="2"/>
      <c r="D239" s="2"/>
      <c r="E239" s="3"/>
      <c r="F239" s="4"/>
      <c r="G239" s="4"/>
      <c r="H239" s="3"/>
    </row>
    <row r="240" spans="3:8" ht="15.75" customHeight="1">
      <c r="C240" s="2"/>
      <c r="D240" s="2"/>
      <c r="E240" s="3"/>
      <c r="F240" s="4"/>
      <c r="G240" s="4"/>
      <c r="H240" s="3"/>
    </row>
    <row r="241" spans="3:8" ht="15.75" customHeight="1">
      <c r="C241" s="2"/>
      <c r="D241" s="2"/>
      <c r="E241" s="3"/>
      <c r="F241" s="4"/>
      <c r="G241" s="4"/>
      <c r="H241" s="3"/>
    </row>
    <row r="242" spans="3:8" ht="15.75" customHeight="1">
      <c r="C242" s="2"/>
      <c r="D242" s="2"/>
      <c r="E242" s="3"/>
      <c r="F242" s="4"/>
      <c r="G242" s="4"/>
      <c r="H242" s="3"/>
    </row>
    <row r="243" spans="3:8" ht="15.75" customHeight="1">
      <c r="C243" s="2"/>
      <c r="D243" s="2"/>
      <c r="E243" s="3"/>
      <c r="F243" s="4"/>
      <c r="G243" s="4"/>
      <c r="H243" s="3"/>
    </row>
    <row r="244" spans="3:8" ht="15.75" customHeight="1">
      <c r="C244" s="2"/>
      <c r="D244" s="2"/>
      <c r="E244" s="3"/>
      <c r="F244" s="4"/>
      <c r="G244" s="4"/>
      <c r="H244" s="3"/>
    </row>
    <row r="245" spans="3:8" ht="15.75" customHeight="1">
      <c r="C245" s="2"/>
      <c r="D245" s="2"/>
      <c r="E245" s="3"/>
      <c r="F245" s="4"/>
      <c r="G245" s="4"/>
      <c r="H245" s="3"/>
    </row>
    <row r="246" spans="3:8" ht="15.75" customHeight="1">
      <c r="C246" s="2"/>
      <c r="D246" s="2"/>
      <c r="E246" s="3"/>
      <c r="F246" s="4"/>
      <c r="G246" s="4"/>
      <c r="H246" s="3"/>
    </row>
    <row r="247" spans="3:8" ht="15.75" customHeight="1">
      <c r="C247" s="2"/>
      <c r="D247" s="2"/>
      <c r="E247" s="3"/>
      <c r="F247" s="4"/>
      <c r="G247" s="4"/>
      <c r="H247" s="3"/>
    </row>
    <row r="248" spans="3:8" ht="15.75" customHeight="1">
      <c r="C248" s="2"/>
      <c r="D248" s="2"/>
      <c r="E248" s="3"/>
      <c r="F248" s="4"/>
      <c r="G248" s="4"/>
      <c r="H248" s="3"/>
    </row>
    <row r="249" spans="3:8" ht="15.75" customHeight="1">
      <c r="C249" s="2"/>
      <c r="D249" s="2"/>
      <c r="E249" s="3"/>
      <c r="F249" s="4"/>
      <c r="G249" s="4"/>
      <c r="H249" s="3"/>
    </row>
    <row r="250" spans="3:8" ht="15.75" customHeight="1">
      <c r="C250" s="2"/>
      <c r="D250" s="2"/>
      <c r="E250" s="3"/>
      <c r="F250" s="4"/>
      <c r="G250" s="4"/>
      <c r="H250" s="3"/>
    </row>
    <row r="251" spans="3:8" ht="15.75" customHeight="1">
      <c r="C251" s="2"/>
      <c r="D251" s="2"/>
      <c r="E251" s="3"/>
      <c r="F251" s="4"/>
      <c r="G251" s="4"/>
      <c r="H251" s="3"/>
    </row>
    <row r="252" spans="3:8" ht="15.75" customHeight="1">
      <c r="C252" s="2"/>
      <c r="D252" s="2"/>
      <c r="E252" s="3"/>
      <c r="F252" s="4"/>
      <c r="G252" s="4"/>
      <c r="H252" s="3"/>
    </row>
    <row r="253" spans="3:8" ht="15.75" customHeight="1">
      <c r="C253" s="2"/>
      <c r="D253" s="2"/>
      <c r="E253" s="3"/>
      <c r="F253" s="4"/>
      <c r="G253" s="4"/>
      <c r="H253" s="3"/>
    </row>
    <row r="254" spans="3:8" ht="15.75" customHeight="1">
      <c r="C254" s="2"/>
      <c r="D254" s="2"/>
      <c r="E254" s="3"/>
      <c r="F254" s="4"/>
      <c r="G254" s="4"/>
      <c r="H254" s="3"/>
    </row>
    <row r="255" spans="3:8" ht="15.75" customHeight="1">
      <c r="C255" s="2"/>
      <c r="D255" s="2"/>
      <c r="E255" s="3"/>
      <c r="F255" s="4"/>
      <c r="G255" s="4"/>
      <c r="H255" s="3"/>
    </row>
    <row r="256" spans="3:8" ht="15.75" customHeight="1">
      <c r="C256" s="2"/>
      <c r="D256" s="2"/>
      <c r="E256" s="3"/>
      <c r="F256" s="4"/>
      <c r="G256" s="4"/>
      <c r="H256" s="3"/>
    </row>
    <row r="257" spans="3:8" ht="15.75" customHeight="1">
      <c r="C257" s="2"/>
      <c r="D257" s="2"/>
      <c r="E257" s="3"/>
      <c r="F257" s="4"/>
      <c r="G257" s="4"/>
      <c r="H257" s="3"/>
    </row>
    <row r="258" spans="3:8" ht="15.75" customHeight="1">
      <c r="C258" s="2"/>
      <c r="D258" s="2"/>
      <c r="E258" s="3"/>
      <c r="F258" s="4"/>
      <c r="G258" s="4"/>
      <c r="H258" s="3"/>
    </row>
    <row r="259" spans="3:8" ht="15.75" customHeight="1">
      <c r="C259" s="2"/>
      <c r="D259" s="2"/>
      <c r="E259" s="3"/>
      <c r="F259" s="4"/>
      <c r="G259" s="4"/>
      <c r="H259" s="3"/>
    </row>
    <row r="260" spans="3:8" ht="15.75" customHeight="1">
      <c r="C260" s="2"/>
      <c r="D260" s="2"/>
      <c r="E260" s="3"/>
      <c r="F260" s="4"/>
      <c r="G260" s="4"/>
      <c r="H260" s="3"/>
    </row>
    <row r="261" spans="3:8" ht="15.75" customHeight="1">
      <c r="C261" s="2"/>
      <c r="D261" s="2"/>
      <c r="E261" s="3"/>
      <c r="F261" s="4"/>
      <c r="G261" s="4"/>
      <c r="H261" s="3"/>
    </row>
    <row r="262" spans="3:8" ht="15.75" customHeight="1">
      <c r="C262" s="2"/>
      <c r="D262" s="2"/>
      <c r="E262" s="3"/>
      <c r="F262" s="4"/>
      <c r="G262" s="4"/>
      <c r="H262" s="3"/>
    </row>
    <row r="263" spans="3:8" ht="15.75" customHeight="1">
      <c r="C263" s="2"/>
      <c r="D263" s="2"/>
      <c r="E263" s="3"/>
      <c r="F263" s="4"/>
      <c r="G263" s="4"/>
      <c r="H263" s="3"/>
    </row>
    <row r="264" spans="3:8" ht="15.75" customHeight="1">
      <c r="C264" s="2"/>
      <c r="D264" s="2"/>
      <c r="E264" s="3"/>
      <c r="F264" s="4"/>
      <c r="G264" s="4"/>
      <c r="H264" s="3"/>
    </row>
    <row r="265" spans="3:8" ht="15.75" customHeight="1">
      <c r="C265" s="2"/>
      <c r="D265" s="2"/>
      <c r="E265" s="3"/>
      <c r="F265" s="4"/>
      <c r="G265" s="4"/>
      <c r="H265" s="3"/>
    </row>
    <row r="266" spans="3:8" ht="15.75" customHeight="1">
      <c r="C266" s="2"/>
      <c r="D266" s="2"/>
      <c r="E266" s="3"/>
      <c r="F266" s="4"/>
      <c r="G266" s="4"/>
      <c r="H266" s="3"/>
    </row>
    <row r="267" spans="3:8" ht="15.75" customHeight="1">
      <c r="C267" s="2"/>
      <c r="D267" s="2"/>
      <c r="E267" s="3"/>
      <c r="F267" s="4"/>
      <c r="G267" s="4"/>
      <c r="H267" s="3"/>
    </row>
    <row r="268" spans="3:8" ht="15.75" customHeight="1">
      <c r="C268" s="2"/>
      <c r="D268" s="2"/>
      <c r="E268" s="3"/>
      <c r="F268" s="4"/>
      <c r="G268" s="4"/>
      <c r="H268" s="3"/>
    </row>
    <row r="269" spans="3:8" ht="15.75" customHeight="1">
      <c r="C269" s="2"/>
      <c r="D269" s="2"/>
      <c r="E269" s="3"/>
      <c r="F269" s="4"/>
      <c r="G269" s="4"/>
      <c r="H269" s="3"/>
    </row>
    <row r="270" spans="3:8" ht="15.75" customHeight="1">
      <c r="C270" s="2"/>
      <c r="D270" s="2"/>
      <c r="E270" s="3"/>
      <c r="F270" s="4"/>
      <c r="G270" s="4"/>
      <c r="H270" s="3"/>
    </row>
    <row r="271" spans="3:8" ht="15.75" customHeight="1">
      <c r="C271" s="2"/>
      <c r="D271" s="2"/>
      <c r="E271" s="3"/>
      <c r="F271" s="4"/>
      <c r="G271" s="4"/>
      <c r="H271" s="3"/>
    </row>
    <row r="272" spans="3:8" ht="15.75" customHeight="1">
      <c r="C272" s="2"/>
      <c r="D272" s="2"/>
      <c r="E272" s="3"/>
      <c r="F272" s="4"/>
      <c r="G272" s="4"/>
      <c r="H272" s="3"/>
    </row>
    <row r="273" spans="3:8" ht="15.75" customHeight="1">
      <c r="C273" s="2"/>
      <c r="D273" s="2"/>
      <c r="E273" s="3"/>
      <c r="F273" s="4"/>
      <c r="G273" s="4"/>
      <c r="H273" s="3"/>
    </row>
    <row r="274" spans="3:8" ht="15.75" customHeight="1">
      <c r="C274" s="2"/>
      <c r="D274" s="2"/>
      <c r="E274" s="3"/>
      <c r="F274" s="4"/>
      <c r="G274" s="4"/>
      <c r="H274" s="3"/>
    </row>
    <row r="275" spans="3:8" ht="15.75" customHeight="1">
      <c r="C275" s="2"/>
      <c r="D275" s="2"/>
      <c r="E275" s="3"/>
      <c r="F275" s="4"/>
      <c r="G275" s="4"/>
      <c r="H275" s="3"/>
    </row>
    <row r="276" spans="3:8" ht="15.75" customHeight="1">
      <c r="C276" s="2"/>
      <c r="D276" s="2"/>
      <c r="E276" s="3"/>
      <c r="F276" s="4"/>
      <c r="G276" s="4"/>
      <c r="H276" s="3"/>
    </row>
    <row r="277" spans="3:8" ht="15.75" customHeight="1">
      <c r="C277" s="2"/>
      <c r="D277" s="2"/>
      <c r="E277" s="3"/>
      <c r="F277" s="4"/>
      <c r="G277" s="4"/>
      <c r="H277" s="3"/>
    </row>
    <row r="278" spans="3:8" ht="15.75" customHeight="1">
      <c r="C278" s="2"/>
      <c r="D278" s="2"/>
      <c r="E278" s="3"/>
      <c r="F278" s="4"/>
      <c r="G278" s="4"/>
      <c r="H278" s="3"/>
    </row>
    <row r="279" spans="3:8" ht="15.75" customHeight="1">
      <c r="C279" s="2"/>
      <c r="D279" s="2"/>
      <c r="E279" s="3"/>
      <c r="F279" s="4"/>
      <c r="G279" s="4"/>
      <c r="H279" s="3"/>
    </row>
    <row r="280" spans="3:8" ht="15.75" customHeight="1">
      <c r="C280" s="2"/>
      <c r="D280" s="2"/>
      <c r="E280" s="3"/>
      <c r="F280" s="4"/>
      <c r="G280" s="4"/>
      <c r="H280" s="3"/>
    </row>
    <row r="281" spans="3:8" ht="15.75" customHeight="1">
      <c r="C281" s="2"/>
      <c r="D281" s="2"/>
      <c r="E281" s="3"/>
      <c r="F281" s="4"/>
      <c r="G281" s="4"/>
      <c r="H281" s="3"/>
    </row>
    <row r="282" spans="3:8" ht="15.75" customHeight="1">
      <c r="C282" s="2"/>
      <c r="D282" s="2"/>
      <c r="E282" s="3"/>
      <c r="F282" s="4"/>
      <c r="G282" s="4"/>
      <c r="H282" s="3"/>
    </row>
    <row r="283" spans="3:8" ht="15.75" customHeight="1">
      <c r="C283" s="2"/>
      <c r="D283" s="2"/>
      <c r="E283" s="3"/>
      <c r="F283" s="4"/>
      <c r="G283" s="4"/>
      <c r="H283" s="3"/>
    </row>
    <row r="284" spans="3:8" ht="15.75" customHeight="1">
      <c r="C284" s="2"/>
      <c r="D284" s="2"/>
      <c r="E284" s="3"/>
      <c r="F284" s="4"/>
      <c r="G284" s="4"/>
      <c r="H284" s="3"/>
    </row>
    <row r="285" spans="3:8" ht="15.75" customHeight="1">
      <c r="C285" s="2"/>
      <c r="D285" s="2"/>
      <c r="E285" s="3"/>
      <c r="F285" s="4"/>
      <c r="G285" s="4"/>
      <c r="H285" s="3"/>
    </row>
    <row r="286" spans="3:8" ht="15.75" customHeight="1">
      <c r="C286" s="2"/>
      <c r="D286" s="2"/>
      <c r="E286" s="3"/>
      <c r="F286" s="4"/>
      <c r="G286" s="4"/>
      <c r="H286" s="3"/>
    </row>
    <row r="287" spans="3:8" ht="15.75" customHeight="1">
      <c r="C287" s="2"/>
      <c r="D287" s="2"/>
      <c r="E287" s="3"/>
      <c r="F287" s="4"/>
      <c r="G287" s="4"/>
      <c r="H287" s="3"/>
    </row>
    <row r="288" spans="3:8" ht="15.75" customHeight="1">
      <c r="C288" s="2"/>
      <c r="D288" s="2"/>
      <c r="E288" s="3"/>
      <c r="F288" s="4"/>
      <c r="G288" s="4"/>
      <c r="H288" s="3"/>
    </row>
    <row r="289" spans="3:8" ht="15.75" customHeight="1">
      <c r="C289" s="2"/>
      <c r="D289" s="2"/>
      <c r="E289" s="3"/>
      <c r="F289" s="4"/>
      <c r="G289" s="4"/>
      <c r="H289" s="3"/>
    </row>
    <row r="290" spans="3:8" ht="15.75" customHeight="1">
      <c r="C290" s="2"/>
      <c r="D290" s="2"/>
      <c r="E290" s="3"/>
      <c r="F290" s="4"/>
      <c r="G290" s="4"/>
      <c r="H290" s="3"/>
    </row>
    <row r="291" spans="3:8" ht="15.75" customHeight="1">
      <c r="C291" s="2"/>
      <c r="D291" s="2"/>
      <c r="E291" s="3"/>
      <c r="F291" s="4"/>
      <c r="G291" s="4"/>
      <c r="H291" s="3"/>
    </row>
    <row r="292" spans="3:8" ht="15.75" customHeight="1">
      <c r="C292" s="2"/>
      <c r="D292" s="2"/>
      <c r="E292" s="3"/>
      <c r="F292" s="4"/>
      <c r="G292" s="4"/>
      <c r="H292" s="3"/>
    </row>
    <row r="293" spans="3:8" ht="15.75" customHeight="1">
      <c r="C293" s="2"/>
      <c r="D293" s="2"/>
      <c r="E293" s="3"/>
      <c r="F293" s="4"/>
      <c r="G293" s="4"/>
      <c r="H293" s="3"/>
    </row>
    <row r="294" spans="3:8" ht="15.75" customHeight="1">
      <c r="C294" s="2"/>
      <c r="D294" s="2"/>
      <c r="E294" s="3"/>
      <c r="F294" s="4"/>
      <c r="G294" s="4"/>
      <c r="H294" s="3"/>
    </row>
    <row r="295" spans="3:8" ht="15.75" customHeight="1">
      <c r="C295" s="2"/>
      <c r="D295" s="2"/>
      <c r="E295" s="3"/>
      <c r="F295" s="4"/>
      <c r="G295" s="4"/>
      <c r="H295" s="3"/>
    </row>
    <row r="296" spans="3:8" ht="15.75" customHeight="1">
      <c r="C296" s="2"/>
      <c r="D296" s="2"/>
      <c r="E296" s="3"/>
      <c r="F296" s="4"/>
      <c r="G296" s="4"/>
      <c r="H296" s="3"/>
    </row>
    <row r="297" spans="3:8" ht="15.75" customHeight="1">
      <c r="C297" s="2"/>
      <c r="D297" s="2"/>
      <c r="E297" s="3"/>
      <c r="F297" s="4"/>
      <c r="G297" s="4"/>
      <c r="H297" s="3"/>
    </row>
    <row r="298" spans="3:8" ht="15.75" customHeight="1">
      <c r="C298" s="2"/>
      <c r="D298" s="2"/>
      <c r="E298" s="3"/>
      <c r="F298" s="4"/>
      <c r="G298" s="4"/>
      <c r="H298" s="3"/>
    </row>
    <row r="299" spans="3:8" ht="15.75" customHeight="1">
      <c r="C299" s="2"/>
      <c r="D299" s="2"/>
      <c r="E299" s="3"/>
      <c r="F299" s="4"/>
      <c r="G299" s="4"/>
      <c r="H299" s="3"/>
    </row>
    <row r="300" spans="3:8" ht="15.75" customHeight="1">
      <c r="C300" s="2"/>
      <c r="D300" s="2"/>
      <c r="E300" s="3"/>
      <c r="F300" s="4"/>
      <c r="G300" s="4"/>
      <c r="H300" s="3"/>
    </row>
    <row r="301" spans="3:8" ht="15.75" customHeight="1">
      <c r="C301" s="2"/>
      <c r="D301" s="2"/>
      <c r="E301" s="3"/>
      <c r="F301" s="4"/>
      <c r="G301" s="4"/>
      <c r="H301" s="3"/>
    </row>
    <row r="302" spans="3:8" ht="15.75" customHeight="1">
      <c r="C302" s="2"/>
      <c r="D302" s="2"/>
      <c r="E302" s="3"/>
      <c r="F302" s="4"/>
      <c r="G302" s="4"/>
      <c r="H302" s="3"/>
    </row>
    <row r="303" spans="3:8" ht="15.75" customHeight="1">
      <c r="C303" s="2"/>
      <c r="D303" s="2"/>
      <c r="E303" s="3"/>
      <c r="F303" s="4"/>
      <c r="G303" s="4"/>
      <c r="H303" s="3"/>
    </row>
    <row r="304" spans="3:8" ht="15.75" customHeight="1">
      <c r="C304" s="2"/>
      <c r="D304" s="2"/>
      <c r="E304" s="3"/>
      <c r="F304" s="4"/>
      <c r="G304" s="4"/>
      <c r="H304" s="3"/>
    </row>
    <row r="305" spans="3:8" ht="15.75" customHeight="1">
      <c r="C305" s="2"/>
      <c r="D305" s="2"/>
      <c r="E305" s="3"/>
      <c r="F305" s="4"/>
      <c r="G305" s="4"/>
      <c r="H305" s="3"/>
    </row>
    <row r="306" spans="3:8" ht="15.75" customHeight="1">
      <c r="C306" s="2"/>
      <c r="D306" s="2"/>
      <c r="E306" s="3"/>
      <c r="F306" s="4"/>
      <c r="G306" s="4"/>
      <c r="H306" s="3"/>
    </row>
    <row r="307" spans="3:8" ht="15.75" customHeight="1">
      <c r="C307" s="2"/>
      <c r="D307" s="2"/>
      <c r="E307" s="3"/>
      <c r="F307" s="4"/>
      <c r="G307" s="4"/>
      <c r="H307" s="3"/>
    </row>
    <row r="308" spans="3:8" ht="15.75" customHeight="1">
      <c r="C308" s="2"/>
      <c r="D308" s="2"/>
      <c r="E308" s="3"/>
      <c r="F308" s="4"/>
      <c r="G308" s="4"/>
      <c r="H308" s="3"/>
    </row>
    <row r="309" spans="3:8" ht="15.75" customHeight="1">
      <c r="C309" s="2"/>
      <c r="D309" s="2"/>
      <c r="E309" s="3"/>
      <c r="F309" s="4"/>
      <c r="G309" s="4"/>
      <c r="H309" s="3"/>
    </row>
    <row r="310" spans="3:8" ht="15.75" customHeight="1">
      <c r="C310" s="2"/>
      <c r="D310" s="2"/>
      <c r="E310" s="3"/>
      <c r="F310" s="4"/>
      <c r="G310" s="4"/>
      <c r="H310" s="3"/>
    </row>
    <row r="311" spans="3:8" ht="15.75" customHeight="1">
      <c r="C311" s="2"/>
      <c r="D311" s="2"/>
      <c r="E311" s="3"/>
      <c r="F311" s="4"/>
      <c r="G311" s="4"/>
      <c r="H311" s="3"/>
    </row>
    <row r="312" spans="3:8" ht="15.75" customHeight="1">
      <c r="C312" s="2"/>
      <c r="D312" s="2"/>
      <c r="E312" s="3"/>
      <c r="F312" s="4"/>
      <c r="G312" s="4"/>
      <c r="H312" s="3"/>
    </row>
    <row r="313" spans="3:8" ht="15.75" customHeight="1">
      <c r="C313" s="2"/>
      <c r="D313" s="2"/>
      <c r="E313" s="3"/>
      <c r="F313" s="4"/>
      <c r="G313" s="4"/>
      <c r="H313" s="3"/>
    </row>
    <row r="314" spans="3:8" ht="15.75" customHeight="1">
      <c r="C314" s="2"/>
      <c r="D314" s="2"/>
      <c r="E314" s="3"/>
      <c r="F314" s="4"/>
      <c r="G314" s="4"/>
      <c r="H314" s="3"/>
    </row>
    <row r="315" spans="3:8" ht="15.75" customHeight="1">
      <c r="C315" s="2"/>
      <c r="D315" s="2"/>
      <c r="E315" s="3"/>
      <c r="F315" s="4"/>
      <c r="G315" s="4"/>
      <c r="H315" s="3"/>
    </row>
    <row r="316" spans="3:8" ht="15.75" customHeight="1">
      <c r="C316" s="2"/>
      <c r="D316" s="2"/>
      <c r="E316" s="3"/>
      <c r="F316" s="4"/>
      <c r="G316" s="4"/>
      <c r="H316" s="3"/>
    </row>
    <row r="317" spans="3:8" ht="15.75" customHeight="1">
      <c r="C317" s="2"/>
      <c r="D317" s="2"/>
      <c r="E317" s="3"/>
      <c r="F317" s="4"/>
      <c r="G317" s="4"/>
      <c r="H317" s="3"/>
    </row>
    <row r="318" spans="3:8" ht="15.75" customHeight="1">
      <c r="C318" s="2"/>
      <c r="D318" s="2"/>
      <c r="E318" s="3"/>
      <c r="F318" s="4"/>
      <c r="G318" s="4"/>
      <c r="H318" s="3"/>
    </row>
    <row r="319" spans="3:8" ht="15.75" customHeight="1">
      <c r="C319" s="2"/>
      <c r="D319" s="2"/>
      <c r="E319" s="3"/>
      <c r="F319" s="4"/>
      <c r="G319" s="4"/>
      <c r="H319" s="3"/>
    </row>
    <row r="320" spans="3:8" ht="15.75" customHeight="1">
      <c r="C320" s="2"/>
      <c r="D320" s="2"/>
      <c r="E320" s="3"/>
      <c r="F320" s="4"/>
      <c r="G320" s="4"/>
      <c r="H320" s="3"/>
    </row>
    <row r="321" spans="3:8" ht="15.75" customHeight="1">
      <c r="C321" s="2"/>
      <c r="D321" s="2"/>
      <c r="E321" s="3"/>
      <c r="F321" s="4"/>
      <c r="G321" s="4"/>
      <c r="H321" s="3"/>
    </row>
    <row r="322" spans="3:8" ht="15.75" customHeight="1">
      <c r="C322" s="2"/>
      <c r="D322" s="2"/>
      <c r="E322" s="3"/>
      <c r="F322" s="4"/>
      <c r="G322" s="4"/>
      <c r="H322" s="3"/>
    </row>
    <row r="323" spans="3:8" ht="15.75" customHeight="1">
      <c r="C323" s="2"/>
      <c r="D323" s="2"/>
      <c r="E323" s="3"/>
      <c r="F323" s="4"/>
      <c r="G323" s="4"/>
      <c r="H323" s="3"/>
    </row>
    <row r="324" spans="3:8" ht="15.75" customHeight="1">
      <c r="C324" s="2"/>
      <c r="D324" s="2"/>
      <c r="E324" s="3"/>
      <c r="F324" s="4"/>
      <c r="G324" s="4"/>
      <c r="H324" s="3"/>
    </row>
    <row r="325" spans="3:8" ht="15.75" customHeight="1">
      <c r="C325" s="2"/>
      <c r="D325" s="2"/>
      <c r="E325" s="3"/>
      <c r="F325" s="4"/>
      <c r="G325" s="4"/>
      <c r="H325" s="3"/>
    </row>
    <row r="326" spans="3:8" ht="15.75" customHeight="1">
      <c r="C326" s="2"/>
      <c r="D326" s="2"/>
      <c r="E326" s="3"/>
      <c r="F326" s="4"/>
      <c r="G326" s="4"/>
      <c r="H326" s="3"/>
    </row>
    <row r="327" spans="3:8" ht="15.75" customHeight="1">
      <c r="C327" s="2"/>
      <c r="D327" s="2"/>
      <c r="E327" s="3"/>
      <c r="F327" s="4"/>
      <c r="G327" s="4"/>
      <c r="H327" s="3"/>
    </row>
    <row r="328" spans="3:8" ht="15.75" customHeight="1">
      <c r="C328" s="2"/>
      <c r="D328" s="2"/>
      <c r="E328" s="3"/>
      <c r="F328" s="4"/>
      <c r="G328" s="4"/>
      <c r="H328" s="3"/>
    </row>
    <row r="329" spans="3:8" ht="15.75" customHeight="1">
      <c r="C329" s="2"/>
      <c r="D329" s="2"/>
      <c r="E329" s="3"/>
      <c r="F329" s="4"/>
      <c r="G329" s="4"/>
      <c r="H329" s="3"/>
    </row>
    <row r="330" spans="3:8" ht="15.75" customHeight="1">
      <c r="C330" s="2"/>
      <c r="D330" s="2"/>
      <c r="E330" s="3"/>
      <c r="F330" s="4"/>
      <c r="G330" s="4"/>
      <c r="H330" s="3"/>
    </row>
    <row r="331" spans="3:8" ht="15.75" customHeight="1">
      <c r="C331" s="2"/>
      <c r="D331" s="2"/>
      <c r="E331" s="3"/>
      <c r="F331" s="4"/>
      <c r="G331" s="4"/>
      <c r="H331" s="3"/>
    </row>
    <row r="332" spans="3:8" ht="15.75" customHeight="1">
      <c r="C332" s="2"/>
      <c r="D332" s="2"/>
      <c r="E332" s="3"/>
      <c r="F332" s="4"/>
      <c r="G332" s="4"/>
      <c r="H332" s="3"/>
    </row>
    <row r="333" spans="3:8" ht="15.75" customHeight="1">
      <c r="C333" s="2"/>
      <c r="D333" s="2"/>
      <c r="E333" s="3"/>
      <c r="F333" s="4"/>
      <c r="G333" s="4"/>
      <c r="H333" s="3"/>
    </row>
    <row r="334" spans="3:8" ht="15.75" customHeight="1">
      <c r="C334" s="2"/>
      <c r="D334" s="2"/>
      <c r="E334" s="3"/>
      <c r="F334" s="4"/>
      <c r="G334" s="4"/>
      <c r="H334" s="3"/>
    </row>
    <row r="335" spans="3:8" ht="15.75" customHeight="1">
      <c r="C335" s="2"/>
      <c r="D335" s="2"/>
      <c r="E335" s="3"/>
      <c r="F335" s="4"/>
      <c r="G335" s="4"/>
      <c r="H335" s="3"/>
    </row>
    <row r="336" spans="3:8" ht="15.75" customHeight="1">
      <c r="C336" s="2"/>
      <c r="D336" s="2"/>
      <c r="E336" s="3"/>
      <c r="F336" s="4"/>
      <c r="G336" s="4"/>
      <c r="H336" s="3"/>
    </row>
    <row r="337" spans="3:8" ht="15.75" customHeight="1">
      <c r="C337" s="2"/>
      <c r="D337" s="2"/>
      <c r="E337" s="3"/>
      <c r="F337" s="4"/>
      <c r="G337" s="4"/>
      <c r="H337" s="3"/>
    </row>
    <row r="338" spans="3:8" ht="15.75" customHeight="1">
      <c r="C338" s="2"/>
      <c r="D338" s="2"/>
      <c r="E338" s="3"/>
      <c r="F338" s="4"/>
      <c r="G338" s="4"/>
      <c r="H338" s="3"/>
    </row>
    <row r="339" spans="3:8" ht="15.75" customHeight="1">
      <c r="C339" s="2"/>
      <c r="D339" s="2"/>
      <c r="E339" s="3"/>
      <c r="F339" s="4"/>
      <c r="G339" s="4"/>
      <c r="H339" s="3"/>
    </row>
    <row r="340" spans="3:8" ht="15.75" customHeight="1">
      <c r="C340" s="2"/>
      <c r="D340" s="2"/>
      <c r="E340" s="3"/>
      <c r="F340" s="4"/>
      <c r="G340" s="4"/>
      <c r="H340" s="3"/>
    </row>
    <row r="341" spans="3:8" ht="15.75" customHeight="1">
      <c r="C341" s="2"/>
      <c r="D341" s="2"/>
      <c r="E341" s="3"/>
      <c r="F341" s="4"/>
      <c r="G341" s="4"/>
      <c r="H341" s="3"/>
    </row>
    <row r="342" spans="3:8" ht="15.75" customHeight="1">
      <c r="C342" s="2"/>
      <c r="D342" s="2"/>
      <c r="E342" s="3"/>
      <c r="F342" s="4"/>
      <c r="G342" s="4"/>
      <c r="H342" s="3"/>
    </row>
    <row r="343" spans="3:8" ht="15.75" customHeight="1">
      <c r="C343" s="2"/>
      <c r="D343" s="2"/>
      <c r="E343" s="3"/>
      <c r="F343" s="4"/>
      <c r="G343" s="4"/>
      <c r="H343" s="3"/>
    </row>
    <row r="344" spans="3:8" ht="15.75" customHeight="1">
      <c r="C344" s="2"/>
      <c r="D344" s="2"/>
      <c r="E344" s="3"/>
      <c r="F344" s="4"/>
      <c r="G344" s="4"/>
      <c r="H344" s="3"/>
    </row>
    <row r="345" spans="3:8" ht="15.75" customHeight="1">
      <c r="C345" s="2"/>
      <c r="D345" s="2"/>
      <c r="E345" s="3"/>
      <c r="F345" s="4"/>
      <c r="G345" s="4"/>
      <c r="H345" s="3"/>
    </row>
    <row r="346" spans="3:8" ht="15.75" customHeight="1">
      <c r="C346" s="2"/>
      <c r="D346" s="2"/>
      <c r="E346" s="3"/>
      <c r="F346" s="4"/>
      <c r="G346" s="4"/>
      <c r="H346" s="3"/>
    </row>
    <row r="347" spans="3:8" ht="15.75" customHeight="1">
      <c r="C347" s="2"/>
      <c r="D347" s="2"/>
      <c r="E347" s="3"/>
      <c r="F347" s="4"/>
      <c r="G347" s="4"/>
      <c r="H347" s="3"/>
    </row>
    <row r="348" spans="3:8" ht="15.75" customHeight="1">
      <c r="C348" s="2"/>
      <c r="D348" s="2"/>
      <c r="E348" s="3"/>
      <c r="F348" s="4"/>
      <c r="G348" s="4"/>
      <c r="H348" s="3"/>
    </row>
    <row r="349" spans="3:8" ht="15.75" customHeight="1">
      <c r="C349" s="2"/>
      <c r="D349" s="2"/>
      <c r="E349" s="3"/>
      <c r="F349" s="4"/>
      <c r="G349" s="4"/>
      <c r="H349" s="3"/>
    </row>
    <row r="350" spans="3:8" ht="15.75" customHeight="1">
      <c r="C350" s="2"/>
      <c r="D350" s="2"/>
      <c r="E350" s="3"/>
      <c r="F350" s="4"/>
      <c r="G350" s="4"/>
      <c r="H350" s="3"/>
    </row>
    <row r="351" spans="3:8" ht="15.75" customHeight="1">
      <c r="C351" s="2"/>
      <c r="D351" s="2"/>
      <c r="E351" s="3"/>
      <c r="F351" s="4"/>
      <c r="G351" s="4"/>
      <c r="H351" s="3"/>
    </row>
    <row r="352" spans="3:8" ht="15.75" customHeight="1">
      <c r="C352" s="2"/>
      <c r="D352" s="2"/>
      <c r="E352" s="3"/>
      <c r="F352" s="4"/>
      <c r="G352" s="4"/>
      <c r="H352" s="3"/>
    </row>
    <row r="353" spans="3:8" ht="15.75" customHeight="1">
      <c r="C353" s="2"/>
      <c r="D353" s="2"/>
      <c r="E353" s="3"/>
      <c r="F353" s="4"/>
      <c r="G353" s="4"/>
      <c r="H353" s="3"/>
    </row>
    <row r="354" spans="3:8" ht="15.75" customHeight="1">
      <c r="C354" s="2"/>
      <c r="D354" s="2"/>
      <c r="E354" s="3"/>
      <c r="F354" s="4"/>
      <c r="G354" s="4"/>
      <c r="H354" s="3"/>
    </row>
    <row r="355" spans="3:8" ht="15.75" customHeight="1">
      <c r="C355" s="2"/>
      <c r="D355" s="2"/>
      <c r="E355" s="3"/>
      <c r="F355" s="4"/>
      <c r="G355" s="4"/>
      <c r="H355" s="3"/>
    </row>
    <row r="356" spans="3:8" ht="15.75" customHeight="1">
      <c r="C356" s="2"/>
      <c r="D356" s="2"/>
      <c r="E356" s="3"/>
      <c r="F356" s="4"/>
      <c r="G356" s="4"/>
      <c r="H356" s="3"/>
    </row>
    <row r="357" spans="3:8" ht="15.75" customHeight="1">
      <c r="C357" s="2"/>
      <c r="D357" s="2"/>
      <c r="E357" s="3"/>
      <c r="F357" s="4"/>
      <c r="G357" s="4"/>
      <c r="H357" s="3"/>
    </row>
    <row r="358" spans="3:8" ht="15.75" customHeight="1">
      <c r="C358" s="2"/>
      <c r="D358" s="2"/>
      <c r="E358" s="3"/>
      <c r="F358" s="4"/>
      <c r="G358" s="4"/>
      <c r="H358" s="3"/>
    </row>
    <row r="359" spans="3:8" ht="15.75" customHeight="1">
      <c r="C359" s="2"/>
      <c r="D359" s="2"/>
      <c r="E359" s="3"/>
      <c r="F359" s="4"/>
      <c r="G359" s="4"/>
      <c r="H359" s="3"/>
    </row>
    <row r="360" spans="3:8" ht="15.75" customHeight="1">
      <c r="C360" s="2"/>
      <c r="D360" s="2"/>
      <c r="E360" s="3"/>
      <c r="F360" s="4"/>
      <c r="G360" s="4"/>
      <c r="H360" s="3"/>
    </row>
    <row r="361" spans="3:8" ht="15.75" customHeight="1">
      <c r="C361" s="2"/>
      <c r="D361" s="2"/>
      <c r="E361" s="3"/>
      <c r="F361" s="4"/>
      <c r="G361" s="4"/>
      <c r="H361" s="3"/>
    </row>
    <row r="362" spans="3:8" ht="15.75" customHeight="1">
      <c r="C362" s="2"/>
      <c r="D362" s="2"/>
      <c r="E362" s="3"/>
      <c r="F362" s="4"/>
      <c r="G362" s="4"/>
      <c r="H362" s="3"/>
    </row>
    <row r="363" spans="3:8" ht="15.75" customHeight="1">
      <c r="C363" s="2"/>
      <c r="D363" s="2"/>
      <c r="E363" s="3"/>
      <c r="F363" s="4"/>
      <c r="G363" s="4"/>
      <c r="H363" s="3"/>
    </row>
    <row r="364" spans="3:8" ht="15.75" customHeight="1">
      <c r="C364" s="2"/>
      <c r="D364" s="2"/>
      <c r="E364" s="3"/>
      <c r="F364" s="4"/>
      <c r="G364" s="4"/>
      <c r="H364" s="3"/>
    </row>
    <row r="365" spans="3:8" ht="15.75" customHeight="1">
      <c r="C365" s="2"/>
      <c r="D365" s="2"/>
      <c r="E365" s="3"/>
      <c r="F365" s="4"/>
      <c r="G365" s="4"/>
      <c r="H365" s="3"/>
    </row>
    <row r="366" spans="3:8" ht="15.75" customHeight="1">
      <c r="C366" s="2"/>
      <c r="D366" s="2"/>
      <c r="E366" s="3"/>
      <c r="F366" s="4"/>
      <c r="G366" s="4"/>
      <c r="H366" s="3"/>
    </row>
    <row r="367" spans="3:8" ht="15.75" customHeight="1">
      <c r="C367" s="2"/>
      <c r="D367" s="2"/>
      <c r="E367" s="3"/>
      <c r="F367" s="4"/>
      <c r="G367" s="4"/>
      <c r="H367" s="3"/>
    </row>
    <row r="368" spans="3:8" ht="15.75" customHeight="1">
      <c r="C368" s="2"/>
      <c r="D368" s="2"/>
      <c r="E368" s="3"/>
      <c r="F368" s="4"/>
      <c r="G368" s="4"/>
      <c r="H368" s="3"/>
    </row>
    <row r="369" spans="3:8" ht="15.75" customHeight="1">
      <c r="C369" s="2"/>
      <c r="D369" s="2"/>
      <c r="E369" s="3"/>
      <c r="F369" s="4"/>
      <c r="G369" s="4"/>
      <c r="H369" s="3"/>
    </row>
    <row r="370" spans="3:8" ht="15.75" customHeight="1">
      <c r="C370" s="2"/>
      <c r="D370" s="2"/>
      <c r="E370" s="3"/>
      <c r="F370" s="4"/>
      <c r="G370" s="4"/>
      <c r="H370" s="3"/>
    </row>
    <row r="371" spans="3:8" ht="15.75" customHeight="1">
      <c r="C371" s="2"/>
      <c r="D371" s="2"/>
      <c r="E371" s="3"/>
      <c r="F371" s="4"/>
      <c r="G371" s="4"/>
      <c r="H371" s="3"/>
    </row>
    <row r="372" spans="3:8" ht="15.75" customHeight="1">
      <c r="C372" s="2"/>
      <c r="D372" s="2"/>
      <c r="E372" s="3"/>
      <c r="F372" s="4"/>
      <c r="G372" s="4"/>
      <c r="H372" s="3"/>
    </row>
    <row r="373" spans="3:8" ht="15.75" customHeight="1">
      <c r="C373" s="2"/>
      <c r="D373" s="2"/>
      <c r="E373" s="3"/>
      <c r="F373" s="4"/>
      <c r="G373" s="4"/>
      <c r="H373" s="3"/>
    </row>
    <row r="374" spans="3:8" ht="15.75" customHeight="1">
      <c r="C374" s="2"/>
      <c r="D374" s="2"/>
      <c r="E374" s="3"/>
      <c r="F374" s="4"/>
      <c r="G374" s="4"/>
      <c r="H374" s="3"/>
    </row>
    <row r="375" spans="3:8" ht="15.75" customHeight="1">
      <c r="C375" s="2"/>
      <c r="D375" s="2"/>
      <c r="E375" s="3"/>
      <c r="F375" s="4"/>
      <c r="G375" s="4"/>
      <c r="H375" s="3"/>
    </row>
    <row r="376" spans="3:8" ht="15.75" customHeight="1">
      <c r="C376" s="2"/>
      <c r="D376" s="2"/>
      <c r="E376" s="3"/>
      <c r="F376" s="4"/>
      <c r="G376" s="4"/>
      <c r="H376" s="3"/>
    </row>
    <row r="377" spans="3:8" ht="15.75" customHeight="1">
      <c r="C377" s="2"/>
      <c r="D377" s="2"/>
      <c r="E377" s="3"/>
      <c r="F377" s="4"/>
      <c r="G377" s="4"/>
      <c r="H377" s="3"/>
    </row>
    <row r="378" spans="3:8" ht="15.75" customHeight="1">
      <c r="C378" s="2"/>
      <c r="D378" s="2"/>
      <c r="E378" s="3"/>
      <c r="F378" s="4"/>
      <c r="G378" s="4"/>
      <c r="H378" s="3"/>
    </row>
    <row r="379" spans="3:8" ht="15.75" customHeight="1">
      <c r="C379" s="2"/>
      <c r="D379" s="2"/>
      <c r="E379" s="3"/>
      <c r="F379" s="4"/>
      <c r="G379" s="4"/>
      <c r="H379" s="3"/>
    </row>
    <row r="380" spans="3:8" ht="15.75" customHeight="1">
      <c r="C380" s="2"/>
      <c r="D380" s="2"/>
      <c r="E380" s="3"/>
      <c r="F380" s="4"/>
      <c r="G380" s="4"/>
      <c r="H380" s="3"/>
    </row>
    <row r="381" spans="3:8" ht="15.75" customHeight="1">
      <c r="C381" s="2"/>
      <c r="D381" s="2"/>
      <c r="E381" s="3"/>
      <c r="F381" s="4"/>
      <c r="G381" s="4"/>
      <c r="H381" s="3"/>
    </row>
    <row r="382" spans="3:8" ht="15.75" customHeight="1">
      <c r="C382" s="2"/>
      <c r="D382" s="2"/>
      <c r="E382" s="3"/>
      <c r="F382" s="4"/>
      <c r="G382" s="4"/>
      <c r="H382" s="3"/>
    </row>
    <row r="383" spans="3:8" ht="15.75" customHeight="1">
      <c r="C383" s="2"/>
      <c r="D383" s="2"/>
      <c r="E383" s="3"/>
      <c r="F383" s="4"/>
      <c r="G383" s="4"/>
      <c r="H383" s="3"/>
    </row>
    <row r="384" spans="3:8" ht="15.75" customHeight="1">
      <c r="C384" s="2"/>
      <c r="D384" s="2"/>
      <c r="E384" s="3"/>
      <c r="F384" s="4"/>
      <c r="G384" s="4"/>
      <c r="H384" s="3"/>
    </row>
    <row r="385" spans="3:8" ht="15.75" customHeight="1">
      <c r="C385" s="2"/>
      <c r="D385" s="2"/>
      <c r="E385" s="3"/>
      <c r="F385" s="4"/>
      <c r="G385" s="4"/>
      <c r="H385" s="3"/>
    </row>
    <row r="386" spans="3:8" ht="15.75" customHeight="1">
      <c r="C386" s="2"/>
      <c r="D386" s="2"/>
      <c r="E386" s="3"/>
      <c r="F386" s="4"/>
      <c r="G386" s="4"/>
      <c r="H386" s="3"/>
    </row>
    <row r="387" spans="3:8" ht="15.75" customHeight="1">
      <c r="C387" s="2"/>
      <c r="D387" s="2"/>
      <c r="E387" s="3"/>
      <c r="F387" s="4"/>
      <c r="G387" s="4"/>
      <c r="H387" s="3"/>
    </row>
    <row r="388" spans="3:8" ht="15.75" customHeight="1">
      <c r="C388" s="2"/>
      <c r="D388" s="2"/>
      <c r="E388" s="3"/>
      <c r="F388" s="4"/>
      <c r="G388" s="4"/>
      <c r="H388" s="3"/>
    </row>
    <row r="389" spans="3:8" ht="15.75" customHeight="1">
      <c r="C389" s="2"/>
      <c r="D389" s="2"/>
      <c r="E389" s="3"/>
      <c r="F389" s="4"/>
      <c r="G389" s="4"/>
      <c r="H389" s="3"/>
    </row>
    <row r="390" spans="3:8" ht="15.75" customHeight="1">
      <c r="C390" s="2"/>
      <c r="D390" s="2"/>
      <c r="E390" s="3"/>
      <c r="F390" s="4"/>
      <c r="G390" s="4"/>
      <c r="H390" s="3"/>
    </row>
    <row r="391" spans="3:8" ht="15.75" customHeight="1">
      <c r="C391" s="2"/>
      <c r="D391" s="2"/>
      <c r="E391" s="3"/>
      <c r="F391" s="4"/>
      <c r="G391" s="4"/>
      <c r="H391" s="3"/>
    </row>
    <row r="392" spans="3:8" ht="15.75" customHeight="1">
      <c r="C392" s="2"/>
      <c r="D392" s="2"/>
      <c r="E392" s="3"/>
      <c r="F392" s="4"/>
      <c r="G392" s="4"/>
      <c r="H392" s="3"/>
    </row>
    <row r="393" spans="3:8" ht="15.75" customHeight="1">
      <c r="C393" s="2"/>
      <c r="D393" s="2"/>
      <c r="E393" s="3"/>
      <c r="F393" s="4"/>
      <c r="G393" s="4"/>
      <c r="H393" s="3"/>
    </row>
    <row r="394" spans="3:8" ht="15.75" customHeight="1">
      <c r="C394" s="2"/>
      <c r="D394" s="2"/>
      <c r="E394" s="3"/>
      <c r="F394" s="4"/>
      <c r="G394" s="4"/>
      <c r="H394" s="3"/>
    </row>
    <row r="395" spans="3:8" ht="15.75" customHeight="1">
      <c r="C395" s="2"/>
      <c r="D395" s="2"/>
      <c r="E395" s="3"/>
      <c r="F395" s="4"/>
      <c r="G395" s="4"/>
      <c r="H395" s="3"/>
    </row>
    <row r="396" spans="3:8" ht="15.75" customHeight="1">
      <c r="C396" s="2"/>
      <c r="D396" s="2"/>
      <c r="E396" s="3"/>
      <c r="F396" s="4"/>
      <c r="G396" s="4"/>
      <c r="H396" s="3"/>
    </row>
    <row r="397" spans="3:8" ht="15.75" customHeight="1">
      <c r="C397" s="2"/>
      <c r="D397" s="2"/>
      <c r="E397" s="3"/>
      <c r="F397" s="4"/>
      <c r="G397" s="4"/>
      <c r="H397" s="3"/>
    </row>
    <row r="398" spans="3:8" ht="15.75" customHeight="1">
      <c r="C398" s="2"/>
      <c r="D398" s="2"/>
      <c r="E398" s="3"/>
      <c r="F398" s="4"/>
      <c r="G398" s="4"/>
      <c r="H398" s="3"/>
    </row>
    <row r="399" spans="3:8" ht="15.75" customHeight="1">
      <c r="C399" s="2"/>
      <c r="D399" s="2"/>
      <c r="E399" s="3"/>
      <c r="F399" s="4"/>
      <c r="G399" s="4"/>
      <c r="H399" s="3"/>
    </row>
    <row r="400" spans="3:8" ht="15.75" customHeight="1">
      <c r="C400" s="2"/>
      <c r="D400" s="2"/>
      <c r="E400" s="3"/>
      <c r="F400" s="4"/>
      <c r="G400" s="4"/>
      <c r="H400" s="3"/>
    </row>
    <row r="401" spans="3:8" ht="15.75" customHeight="1">
      <c r="C401" s="2"/>
      <c r="D401" s="2"/>
      <c r="E401" s="3"/>
      <c r="F401" s="4"/>
      <c r="G401" s="4"/>
      <c r="H401" s="3"/>
    </row>
    <row r="402" spans="3:8" ht="15.75" customHeight="1">
      <c r="C402" s="2"/>
      <c r="D402" s="2"/>
      <c r="E402" s="3"/>
      <c r="F402" s="4"/>
      <c r="G402" s="4"/>
      <c r="H402" s="3"/>
    </row>
    <row r="403" spans="3:8" ht="15.75" customHeight="1">
      <c r="C403" s="2"/>
      <c r="D403" s="2"/>
      <c r="E403" s="3"/>
      <c r="F403" s="4"/>
      <c r="G403" s="4"/>
      <c r="H403" s="3"/>
    </row>
    <row r="404" spans="3:8" ht="15.75" customHeight="1">
      <c r="C404" s="2"/>
      <c r="D404" s="2"/>
      <c r="E404" s="3"/>
      <c r="F404" s="4"/>
      <c r="G404" s="4"/>
      <c r="H404" s="3"/>
    </row>
    <row r="405" spans="3:8" ht="15.75" customHeight="1">
      <c r="C405" s="2"/>
      <c r="D405" s="2"/>
      <c r="E405" s="3"/>
      <c r="F405" s="4"/>
      <c r="G405" s="4"/>
      <c r="H405" s="3"/>
    </row>
    <row r="406" spans="3:8" ht="15.75" customHeight="1">
      <c r="C406" s="2"/>
      <c r="D406" s="2"/>
      <c r="E406" s="3"/>
      <c r="F406" s="4"/>
      <c r="G406" s="4"/>
      <c r="H406" s="3"/>
    </row>
    <row r="407" spans="3:8" ht="15.75" customHeight="1">
      <c r="C407" s="2"/>
      <c r="D407" s="2"/>
      <c r="E407" s="3"/>
      <c r="F407" s="4"/>
      <c r="G407" s="4"/>
      <c r="H407" s="3"/>
    </row>
    <row r="408" spans="3:8" ht="15.75" customHeight="1">
      <c r="C408" s="2"/>
      <c r="D408" s="2"/>
      <c r="E408" s="3"/>
      <c r="F408" s="4"/>
      <c r="G408" s="4"/>
      <c r="H408" s="3"/>
    </row>
    <row r="409" spans="3:8" ht="15.75" customHeight="1">
      <c r="C409" s="2"/>
      <c r="D409" s="2"/>
      <c r="E409" s="3"/>
      <c r="F409" s="4"/>
      <c r="G409" s="4"/>
      <c r="H409" s="3"/>
    </row>
    <row r="410" spans="3:8" ht="15.75" customHeight="1">
      <c r="C410" s="2"/>
      <c r="D410" s="2"/>
      <c r="E410" s="3"/>
      <c r="F410" s="4"/>
      <c r="G410" s="4"/>
      <c r="H410" s="3"/>
    </row>
    <row r="411" spans="3:8" ht="15.75" customHeight="1">
      <c r="C411" s="2"/>
      <c r="D411" s="2"/>
      <c r="E411" s="3"/>
      <c r="F411" s="4"/>
      <c r="G411" s="4"/>
      <c r="H411" s="3"/>
    </row>
    <row r="412" spans="3:8" ht="15.75" customHeight="1">
      <c r="C412" s="2"/>
      <c r="D412" s="2"/>
      <c r="E412" s="3"/>
      <c r="F412" s="4"/>
      <c r="G412" s="4"/>
      <c r="H412" s="3"/>
    </row>
    <row r="413" spans="3:8" ht="15.75" customHeight="1">
      <c r="C413" s="2"/>
      <c r="D413" s="2"/>
      <c r="E413" s="3"/>
      <c r="F413" s="4"/>
      <c r="G413" s="4"/>
      <c r="H413" s="3"/>
    </row>
    <row r="414" spans="3:8" ht="15.75" customHeight="1">
      <c r="C414" s="2"/>
      <c r="D414" s="2"/>
      <c r="E414" s="3"/>
      <c r="F414" s="4"/>
      <c r="G414" s="4"/>
      <c r="H414" s="3"/>
    </row>
    <row r="415" spans="3:8" ht="15.75" customHeight="1">
      <c r="C415" s="2"/>
      <c r="D415" s="2"/>
      <c r="E415" s="3"/>
      <c r="F415" s="4"/>
      <c r="G415" s="4"/>
      <c r="H415" s="3"/>
    </row>
    <row r="416" spans="3:8" ht="15.75" customHeight="1">
      <c r="C416" s="2"/>
      <c r="D416" s="2"/>
      <c r="E416" s="3"/>
      <c r="F416" s="4"/>
      <c r="G416" s="4"/>
      <c r="H416" s="3"/>
    </row>
    <row r="417" spans="3:8" ht="15.75" customHeight="1">
      <c r="C417" s="2"/>
      <c r="D417" s="2"/>
      <c r="E417" s="3"/>
      <c r="F417" s="4"/>
      <c r="G417" s="4"/>
      <c r="H417" s="3"/>
    </row>
    <row r="418" spans="3:8" ht="15.75" customHeight="1">
      <c r="C418" s="2"/>
      <c r="D418" s="2"/>
      <c r="E418" s="3"/>
      <c r="F418" s="4"/>
      <c r="G418" s="4"/>
      <c r="H418" s="3"/>
    </row>
    <row r="419" spans="3:8" ht="15.75" customHeight="1">
      <c r="C419" s="2"/>
      <c r="D419" s="2"/>
      <c r="E419" s="3"/>
      <c r="F419" s="4"/>
      <c r="G419" s="4"/>
      <c r="H419" s="3"/>
    </row>
    <row r="420" spans="3:8" ht="15.75" customHeight="1">
      <c r="C420" s="2"/>
      <c r="D420" s="2"/>
      <c r="E420" s="3"/>
      <c r="F420" s="4"/>
      <c r="G420" s="4"/>
      <c r="H420" s="3"/>
    </row>
    <row r="421" spans="3:8" ht="15.75" customHeight="1">
      <c r="C421" s="2"/>
      <c r="D421" s="2"/>
      <c r="E421" s="3"/>
      <c r="F421" s="4"/>
      <c r="G421" s="4"/>
      <c r="H421" s="3"/>
    </row>
    <row r="422" spans="3:8" ht="15.75" customHeight="1">
      <c r="C422" s="2"/>
      <c r="D422" s="2"/>
      <c r="E422" s="3"/>
      <c r="F422" s="4"/>
      <c r="G422" s="4"/>
      <c r="H422" s="3"/>
    </row>
    <row r="423" spans="3:8" ht="15.75" customHeight="1">
      <c r="C423" s="2"/>
      <c r="D423" s="2"/>
      <c r="E423" s="3"/>
      <c r="F423" s="4"/>
      <c r="G423" s="4"/>
      <c r="H423" s="3"/>
    </row>
    <row r="424" spans="3:8" ht="15.75" customHeight="1">
      <c r="C424" s="2"/>
      <c r="D424" s="2"/>
      <c r="E424" s="3"/>
      <c r="F424" s="4"/>
      <c r="G424" s="4"/>
      <c r="H424" s="3"/>
    </row>
    <row r="425" spans="3:8" ht="15.75" customHeight="1">
      <c r="C425" s="2"/>
      <c r="D425" s="2"/>
      <c r="E425" s="3"/>
      <c r="F425" s="4"/>
      <c r="G425" s="4"/>
      <c r="H425" s="3"/>
    </row>
    <row r="426" spans="3:8" ht="15.75" customHeight="1">
      <c r="C426" s="2"/>
      <c r="D426" s="2"/>
      <c r="E426" s="3"/>
      <c r="F426" s="4"/>
      <c r="G426" s="4"/>
      <c r="H426" s="3"/>
    </row>
    <row r="427" spans="3:8" ht="15.75" customHeight="1">
      <c r="C427" s="2"/>
      <c r="D427" s="2"/>
      <c r="E427" s="3"/>
      <c r="F427" s="4"/>
      <c r="G427" s="4"/>
      <c r="H427" s="3"/>
    </row>
    <row r="428" spans="3:8" ht="15.75" customHeight="1">
      <c r="C428" s="2"/>
      <c r="D428" s="2"/>
      <c r="E428" s="3"/>
      <c r="F428" s="4"/>
      <c r="G428" s="4"/>
      <c r="H428" s="3"/>
    </row>
    <row r="429" spans="3:8" ht="15.75" customHeight="1">
      <c r="C429" s="2"/>
      <c r="D429" s="2"/>
      <c r="E429" s="3"/>
      <c r="F429" s="4"/>
      <c r="G429" s="4"/>
      <c r="H429" s="3"/>
    </row>
    <row r="430" spans="3:8" ht="15.75" customHeight="1">
      <c r="C430" s="2"/>
      <c r="D430" s="2"/>
      <c r="E430" s="3"/>
      <c r="F430" s="4"/>
      <c r="G430" s="4"/>
      <c r="H430" s="3"/>
    </row>
    <row r="431" spans="3:8" ht="15.75" customHeight="1">
      <c r="C431" s="2"/>
      <c r="D431" s="2"/>
      <c r="E431" s="3"/>
      <c r="F431" s="4"/>
      <c r="G431" s="4"/>
      <c r="H431" s="3"/>
    </row>
    <row r="432" spans="3:8" ht="15.75" customHeight="1">
      <c r="C432" s="2"/>
      <c r="D432" s="2"/>
      <c r="E432" s="3"/>
      <c r="F432" s="4"/>
      <c r="G432" s="4"/>
      <c r="H432" s="3"/>
    </row>
    <row r="433" spans="3:8" ht="15.75" customHeight="1">
      <c r="C433" s="2"/>
      <c r="D433" s="2"/>
      <c r="E433" s="3"/>
      <c r="F433" s="4"/>
      <c r="G433" s="4"/>
      <c r="H433" s="3"/>
    </row>
    <row r="434" spans="3:8" ht="15.75" customHeight="1">
      <c r="C434" s="2"/>
      <c r="D434" s="2"/>
      <c r="E434" s="3"/>
      <c r="F434" s="4"/>
      <c r="G434" s="4"/>
      <c r="H434" s="3"/>
    </row>
    <row r="435" spans="3:8" ht="15.75" customHeight="1">
      <c r="C435" s="2"/>
      <c r="D435" s="2"/>
      <c r="E435" s="3"/>
      <c r="F435" s="4"/>
      <c r="G435" s="4"/>
      <c r="H435" s="3"/>
    </row>
    <row r="436" spans="3:8" ht="15.75" customHeight="1">
      <c r="C436" s="2"/>
      <c r="D436" s="2"/>
      <c r="E436" s="3"/>
      <c r="F436" s="4"/>
      <c r="G436" s="4"/>
      <c r="H436" s="3"/>
    </row>
    <row r="437" spans="3:8" ht="15.75" customHeight="1">
      <c r="C437" s="2"/>
      <c r="D437" s="2"/>
      <c r="E437" s="3"/>
      <c r="F437" s="4"/>
      <c r="G437" s="4"/>
      <c r="H437" s="3"/>
    </row>
    <row r="438" spans="3:8" ht="15.75" customHeight="1">
      <c r="C438" s="2"/>
      <c r="D438" s="2"/>
      <c r="E438" s="3"/>
      <c r="F438" s="4"/>
      <c r="G438" s="4"/>
      <c r="H438" s="3"/>
    </row>
    <row r="439" spans="3:8" ht="15.75" customHeight="1">
      <c r="C439" s="2"/>
      <c r="D439" s="2"/>
      <c r="E439" s="3"/>
      <c r="F439" s="4"/>
      <c r="G439" s="4"/>
      <c r="H439" s="3"/>
    </row>
    <row r="440" spans="3:8" ht="15.75" customHeight="1">
      <c r="C440" s="2"/>
      <c r="D440" s="2"/>
      <c r="E440" s="3"/>
      <c r="F440" s="4"/>
      <c r="G440" s="4"/>
      <c r="H440" s="3"/>
    </row>
    <row r="441" spans="3:8" ht="15.75" customHeight="1">
      <c r="C441" s="2"/>
      <c r="D441" s="2"/>
      <c r="E441" s="3"/>
      <c r="F441" s="4"/>
      <c r="G441" s="4"/>
      <c r="H441" s="3"/>
    </row>
    <row r="442" spans="3:8" ht="15.75" customHeight="1">
      <c r="C442" s="2"/>
      <c r="D442" s="2"/>
      <c r="E442" s="3"/>
      <c r="F442" s="4"/>
      <c r="G442" s="4"/>
      <c r="H442" s="3"/>
    </row>
    <row r="443" spans="3:8" ht="15.75" customHeight="1">
      <c r="C443" s="2"/>
      <c r="D443" s="2"/>
      <c r="E443" s="3"/>
      <c r="F443" s="4"/>
      <c r="G443" s="4"/>
      <c r="H443" s="3"/>
    </row>
    <row r="444" spans="3:8" ht="15.75" customHeight="1">
      <c r="C444" s="2"/>
      <c r="D444" s="2"/>
      <c r="E444" s="3"/>
      <c r="F444" s="4"/>
      <c r="G444" s="4"/>
      <c r="H444" s="3"/>
    </row>
    <row r="445" spans="3:8" ht="15.75" customHeight="1">
      <c r="C445" s="2"/>
      <c r="D445" s="2"/>
      <c r="E445" s="3"/>
      <c r="F445" s="4"/>
      <c r="G445" s="4"/>
      <c r="H445" s="3"/>
    </row>
    <row r="446" spans="3:8" ht="15.75" customHeight="1">
      <c r="C446" s="2"/>
      <c r="D446" s="2"/>
      <c r="E446" s="3"/>
      <c r="F446" s="4"/>
      <c r="G446" s="4"/>
      <c r="H446" s="3"/>
    </row>
    <row r="447" spans="3:8" ht="15.75" customHeight="1">
      <c r="C447" s="2"/>
      <c r="D447" s="2"/>
      <c r="E447" s="3"/>
      <c r="F447" s="4"/>
      <c r="G447" s="4"/>
      <c r="H447" s="3"/>
    </row>
    <row r="448" spans="3:8" ht="15.75" customHeight="1">
      <c r="C448" s="2"/>
      <c r="D448" s="2"/>
      <c r="E448" s="3"/>
      <c r="F448" s="4"/>
      <c r="G448" s="4"/>
      <c r="H448" s="3"/>
    </row>
    <row r="449" spans="3:8" ht="15.75" customHeight="1">
      <c r="C449" s="2"/>
      <c r="D449" s="2"/>
      <c r="E449" s="3"/>
      <c r="F449" s="4"/>
      <c r="G449" s="4"/>
      <c r="H449" s="3"/>
    </row>
    <row r="450" spans="3:8" ht="15.75" customHeight="1">
      <c r="C450" s="2"/>
      <c r="D450" s="2"/>
      <c r="E450" s="3"/>
      <c r="F450" s="4"/>
      <c r="G450" s="4"/>
      <c r="H450" s="3"/>
    </row>
    <row r="451" spans="3:8" ht="15.75" customHeight="1">
      <c r="C451" s="2"/>
      <c r="D451" s="2"/>
      <c r="E451" s="3"/>
      <c r="F451" s="4"/>
      <c r="G451" s="4"/>
      <c r="H451" s="3"/>
    </row>
    <row r="452" spans="3:8" ht="15.75" customHeight="1">
      <c r="C452" s="2"/>
      <c r="D452" s="2"/>
      <c r="E452" s="3"/>
      <c r="F452" s="4"/>
      <c r="G452" s="4"/>
      <c r="H452" s="3"/>
    </row>
    <row r="453" spans="3:8" ht="15.75" customHeight="1">
      <c r="C453" s="2"/>
      <c r="D453" s="2"/>
      <c r="E453" s="3"/>
      <c r="F453" s="4"/>
      <c r="G453" s="4"/>
      <c r="H453" s="3"/>
    </row>
    <row r="454" spans="3:8" ht="15.75" customHeight="1">
      <c r="C454" s="2"/>
      <c r="D454" s="2"/>
      <c r="E454" s="3"/>
      <c r="F454" s="4"/>
      <c r="G454" s="4"/>
      <c r="H454" s="3"/>
    </row>
    <row r="455" spans="3:8" ht="15.75" customHeight="1">
      <c r="C455" s="2"/>
      <c r="D455" s="2"/>
      <c r="E455" s="3"/>
      <c r="F455" s="4"/>
      <c r="G455" s="4"/>
      <c r="H455" s="3"/>
    </row>
    <row r="456" spans="3:8" ht="15.75" customHeight="1">
      <c r="C456" s="2"/>
      <c r="D456" s="2"/>
      <c r="E456" s="3"/>
      <c r="F456" s="4"/>
      <c r="G456" s="4"/>
      <c r="H456" s="3"/>
    </row>
    <row r="457" spans="3:8" ht="15.75" customHeight="1">
      <c r="C457" s="2"/>
      <c r="D457" s="2"/>
      <c r="E457" s="3"/>
      <c r="F457" s="4"/>
      <c r="G457" s="4"/>
      <c r="H457" s="3"/>
    </row>
    <row r="458" spans="3:8" ht="15.75" customHeight="1">
      <c r="C458" s="2"/>
      <c r="D458" s="2"/>
      <c r="E458" s="3"/>
      <c r="F458" s="4"/>
      <c r="G458" s="4"/>
      <c r="H458" s="3"/>
    </row>
    <row r="459" spans="3:8" ht="15.75" customHeight="1">
      <c r="C459" s="2"/>
      <c r="D459" s="2"/>
      <c r="E459" s="3"/>
      <c r="F459" s="4"/>
      <c r="G459" s="4"/>
      <c r="H459" s="3"/>
    </row>
    <row r="460" spans="3:8" ht="15.75" customHeight="1">
      <c r="C460" s="2"/>
      <c r="D460" s="2"/>
      <c r="E460" s="3"/>
      <c r="F460" s="4"/>
      <c r="G460" s="4"/>
      <c r="H460" s="3"/>
    </row>
    <row r="461" spans="3:8" ht="15.75" customHeight="1">
      <c r="C461" s="2"/>
      <c r="D461" s="2"/>
      <c r="E461" s="3"/>
      <c r="F461" s="4"/>
      <c r="G461" s="4"/>
      <c r="H461" s="3"/>
    </row>
    <row r="462" spans="3:8" ht="15.75" customHeight="1">
      <c r="C462" s="2"/>
      <c r="D462" s="2"/>
      <c r="E462" s="3"/>
      <c r="F462" s="4"/>
      <c r="G462" s="4"/>
      <c r="H462" s="3"/>
    </row>
    <row r="463" spans="3:8" ht="15.75" customHeight="1">
      <c r="C463" s="2"/>
      <c r="D463" s="2"/>
      <c r="E463" s="3"/>
      <c r="F463" s="4"/>
      <c r="G463" s="4"/>
      <c r="H463" s="3"/>
    </row>
    <row r="464" spans="3:8" ht="15.75" customHeight="1">
      <c r="C464" s="2"/>
      <c r="D464" s="2"/>
      <c r="E464" s="3"/>
      <c r="F464" s="4"/>
      <c r="G464" s="4"/>
      <c r="H464" s="3"/>
    </row>
    <row r="465" spans="3:8" ht="15.75" customHeight="1">
      <c r="C465" s="2"/>
      <c r="D465" s="2"/>
      <c r="E465" s="3"/>
      <c r="F465" s="4"/>
      <c r="G465" s="4"/>
      <c r="H465" s="3"/>
    </row>
    <row r="466" spans="3:8" ht="15.75" customHeight="1">
      <c r="C466" s="2"/>
      <c r="D466" s="2"/>
      <c r="E466" s="3"/>
      <c r="F466" s="4"/>
      <c r="G466" s="4"/>
      <c r="H466" s="3"/>
    </row>
    <row r="467" spans="3:8" ht="15.75" customHeight="1">
      <c r="C467" s="2"/>
      <c r="D467" s="2"/>
      <c r="E467" s="3"/>
      <c r="F467" s="4"/>
      <c r="G467" s="4"/>
      <c r="H467" s="3"/>
    </row>
    <row r="468" spans="3:8" ht="15.75" customHeight="1">
      <c r="C468" s="2"/>
      <c r="D468" s="2"/>
      <c r="E468" s="3"/>
      <c r="F468" s="4"/>
      <c r="G468" s="4"/>
      <c r="H468" s="3"/>
    </row>
    <row r="469" spans="3:8" ht="15.75" customHeight="1">
      <c r="C469" s="2"/>
      <c r="D469" s="2"/>
      <c r="E469" s="3"/>
      <c r="F469" s="4"/>
      <c r="G469" s="4"/>
      <c r="H469" s="3"/>
    </row>
    <row r="470" spans="3:8" ht="15.75" customHeight="1">
      <c r="C470" s="2"/>
      <c r="D470" s="2"/>
      <c r="E470" s="3"/>
      <c r="F470" s="4"/>
      <c r="G470" s="4"/>
      <c r="H470" s="3"/>
    </row>
    <row r="471" spans="3:8" ht="15.75" customHeight="1">
      <c r="C471" s="2"/>
      <c r="D471" s="2"/>
      <c r="E471" s="3"/>
      <c r="F471" s="4"/>
      <c r="G471" s="4"/>
      <c r="H471" s="3"/>
    </row>
    <row r="472" spans="3:8" ht="15.75" customHeight="1">
      <c r="C472" s="2"/>
      <c r="D472" s="2"/>
      <c r="E472" s="3"/>
      <c r="F472" s="4"/>
      <c r="G472" s="4"/>
      <c r="H472" s="3"/>
    </row>
    <row r="473" spans="3:8" ht="15.75" customHeight="1">
      <c r="C473" s="2"/>
      <c r="D473" s="2"/>
      <c r="E473" s="3"/>
      <c r="F473" s="4"/>
      <c r="G473" s="4"/>
      <c r="H473" s="3"/>
    </row>
    <row r="474" spans="3:8" ht="15.75" customHeight="1">
      <c r="C474" s="2"/>
      <c r="D474" s="2"/>
      <c r="E474" s="3"/>
      <c r="F474" s="4"/>
      <c r="G474" s="4"/>
      <c r="H474" s="3"/>
    </row>
    <row r="475" spans="3:8" ht="15.75" customHeight="1">
      <c r="C475" s="2"/>
      <c r="D475" s="2"/>
      <c r="E475" s="3"/>
      <c r="F475" s="4"/>
      <c r="G475" s="4"/>
      <c r="H475" s="3"/>
    </row>
    <row r="476" spans="3:8" ht="15.75" customHeight="1">
      <c r="C476" s="2"/>
      <c r="D476" s="2"/>
      <c r="E476" s="3"/>
      <c r="F476" s="4"/>
      <c r="G476" s="4"/>
      <c r="H476" s="3"/>
    </row>
    <row r="477" spans="3:8" ht="15.75" customHeight="1">
      <c r="C477" s="2"/>
      <c r="D477" s="2"/>
      <c r="E477" s="3"/>
      <c r="F477" s="4"/>
      <c r="G477" s="4"/>
      <c r="H477" s="3"/>
    </row>
    <row r="478" spans="3:8" ht="15.75" customHeight="1">
      <c r="C478" s="2"/>
      <c r="D478" s="2"/>
      <c r="E478" s="3"/>
      <c r="F478" s="4"/>
      <c r="G478" s="4"/>
      <c r="H478" s="3"/>
    </row>
    <row r="479" spans="3:8" ht="15.75" customHeight="1">
      <c r="C479" s="2"/>
      <c r="D479" s="2"/>
      <c r="E479" s="3"/>
      <c r="F479" s="4"/>
      <c r="G479" s="4"/>
      <c r="H479" s="3"/>
    </row>
    <row r="480" spans="3:8" ht="15.75" customHeight="1">
      <c r="C480" s="2"/>
      <c r="D480" s="2"/>
      <c r="E480" s="3"/>
      <c r="F480" s="4"/>
      <c r="G480" s="4"/>
      <c r="H480" s="3"/>
    </row>
    <row r="481" spans="3:8" ht="15.75" customHeight="1">
      <c r="C481" s="2"/>
      <c r="D481" s="2"/>
      <c r="E481" s="3"/>
      <c r="F481" s="4"/>
      <c r="G481" s="4"/>
      <c r="H481" s="3"/>
    </row>
    <row r="482" spans="3:8" ht="15.75" customHeight="1">
      <c r="C482" s="2"/>
      <c r="D482" s="2"/>
      <c r="E482" s="3"/>
      <c r="F482" s="4"/>
      <c r="G482" s="4"/>
      <c r="H482" s="3"/>
    </row>
    <row r="483" spans="3:8" ht="15.75" customHeight="1">
      <c r="C483" s="2"/>
      <c r="D483" s="2"/>
      <c r="E483" s="3"/>
      <c r="F483" s="4"/>
      <c r="G483" s="4"/>
      <c r="H483" s="3"/>
    </row>
    <row r="484" spans="3:8" ht="15.75" customHeight="1">
      <c r="C484" s="2"/>
      <c r="D484" s="2"/>
      <c r="E484" s="3"/>
      <c r="F484" s="4"/>
      <c r="G484" s="4"/>
      <c r="H484" s="3"/>
    </row>
    <row r="485" spans="3:8" ht="15.75" customHeight="1">
      <c r="C485" s="2"/>
      <c r="D485" s="2"/>
      <c r="E485" s="3"/>
      <c r="F485" s="4"/>
      <c r="G485" s="4"/>
      <c r="H485" s="3"/>
    </row>
    <row r="486" spans="3:8" ht="15.75" customHeight="1">
      <c r="C486" s="2"/>
      <c r="D486" s="2"/>
      <c r="E486" s="3"/>
      <c r="F486" s="4"/>
      <c r="G486" s="4"/>
      <c r="H486" s="3"/>
    </row>
    <row r="487" spans="3:8" ht="15.75" customHeight="1">
      <c r="C487" s="2"/>
      <c r="D487" s="2"/>
      <c r="E487" s="3"/>
      <c r="F487" s="4"/>
      <c r="G487" s="4"/>
      <c r="H487" s="3"/>
    </row>
    <row r="488" spans="3:8" ht="15.75" customHeight="1">
      <c r="C488" s="2"/>
      <c r="D488" s="2"/>
      <c r="E488" s="3"/>
      <c r="F488" s="4"/>
      <c r="G488" s="4"/>
      <c r="H488" s="3"/>
    </row>
    <row r="489" spans="3:8" ht="15.75" customHeight="1">
      <c r="C489" s="2"/>
      <c r="D489" s="2"/>
      <c r="E489" s="3"/>
      <c r="F489" s="4"/>
      <c r="G489" s="4"/>
      <c r="H489" s="3"/>
    </row>
    <row r="490" spans="3:8" ht="15.75" customHeight="1">
      <c r="C490" s="2"/>
      <c r="D490" s="2"/>
      <c r="E490" s="3"/>
      <c r="F490" s="4"/>
      <c r="G490" s="4"/>
      <c r="H490" s="3"/>
    </row>
    <row r="491" spans="3:8" ht="15.75" customHeight="1">
      <c r="C491" s="2"/>
      <c r="D491" s="2"/>
      <c r="E491" s="3"/>
      <c r="F491" s="4"/>
      <c r="G491" s="4"/>
      <c r="H491" s="3"/>
    </row>
    <row r="492" spans="3:8" ht="15.75" customHeight="1">
      <c r="C492" s="2"/>
      <c r="D492" s="2"/>
      <c r="E492" s="3"/>
      <c r="F492" s="4"/>
      <c r="G492" s="4"/>
      <c r="H492" s="3"/>
    </row>
    <row r="493" spans="3:8" ht="15.75" customHeight="1">
      <c r="C493" s="2"/>
      <c r="D493" s="2"/>
      <c r="E493" s="3"/>
      <c r="F493" s="4"/>
      <c r="G493" s="4"/>
      <c r="H493" s="3"/>
    </row>
    <row r="494" spans="3:8" ht="15.75" customHeight="1">
      <c r="C494" s="2"/>
      <c r="D494" s="2"/>
      <c r="E494" s="3"/>
      <c r="F494" s="4"/>
      <c r="G494" s="4"/>
      <c r="H494" s="3"/>
    </row>
    <row r="495" spans="3:8" ht="15.75" customHeight="1">
      <c r="C495" s="2"/>
      <c r="D495" s="2"/>
      <c r="E495" s="3"/>
      <c r="F495" s="4"/>
      <c r="G495" s="4"/>
      <c r="H495" s="3"/>
    </row>
    <row r="496" spans="3:8" ht="15.75" customHeight="1">
      <c r="C496" s="2"/>
      <c r="D496" s="2"/>
      <c r="E496" s="3"/>
      <c r="F496" s="4"/>
      <c r="G496" s="4"/>
      <c r="H496" s="3"/>
    </row>
    <row r="497" spans="3:8" ht="15.75" customHeight="1">
      <c r="C497" s="2"/>
      <c r="D497" s="2"/>
      <c r="E497" s="3"/>
      <c r="F497" s="4"/>
      <c r="G497" s="4"/>
      <c r="H497" s="3"/>
    </row>
    <row r="498" spans="3:8" ht="15.75" customHeight="1">
      <c r="C498" s="2"/>
      <c r="D498" s="2"/>
      <c r="E498" s="3"/>
      <c r="F498" s="4"/>
      <c r="G498" s="4"/>
      <c r="H498" s="3"/>
    </row>
    <row r="499" spans="3:8" ht="15.75" customHeight="1">
      <c r="C499" s="2"/>
      <c r="D499" s="2"/>
      <c r="E499" s="3"/>
      <c r="F499" s="4"/>
      <c r="G499" s="4"/>
      <c r="H499" s="3"/>
    </row>
    <row r="500" spans="3:8" ht="15.75" customHeight="1">
      <c r="C500" s="2"/>
      <c r="D500" s="2"/>
      <c r="E500" s="3"/>
      <c r="F500" s="4"/>
      <c r="G500" s="4"/>
      <c r="H500" s="3"/>
    </row>
    <row r="501" spans="3:8" ht="15.75" customHeight="1">
      <c r="C501" s="2"/>
      <c r="D501" s="2"/>
      <c r="E501" s="3"/>
      <c r="F501" s="4"/>
      <c r="G501" s="4"/>
      <c r="H501" s="3"/>
    </row>
    <row r="502" spans="3:8" ht="15.75" customHeight="1">
      <c r="C502" s="2"/>
      <c r="D502" s="2"/>
      <c r="E502" s="3"/>
      <c r="F502" s="4"/>
      <c r="G502" s="4"/>
      <c r="H502" s="3"/>
    </row>
    <row r="503" spans="3:8" ht="15.75" customHeight="1">
      <c r="C503" s="2"/>
      <c r="D503" s="2"/>
      <c r="E503" s="3"/>
      <c r="F503" s="4"/>
      <c r="G503" s="4"/>
      <c r="H503" s="3"/>
    </row>
    <row r="504" spans="3:8" ht="15.75" customHeight="1">
      <c r="C504" s="2"/>
      <c r="D504" s="2"/>
      <c r="E504" s="3"/>
      <c r="F504" s="4"/>
      <c r="G504" s="4"/>
      <c r="H504" s="3"/>
    </row>
    <row r="505" spans="3:8" ht="15.75" customHeight="1">
      <c r="C505" s="2"/>
      <c r="D505" s="2"/>
      <c r="E505" s="3"/>
      <c r="F505" s="4"/>
      <c r="G505" s="4"/>
      <c r="H505" s="3"/>
    </row>
    <row r="506" spans="3:8" ht="15.75" customHeight="1">
      <c r="C506" s="2"/>
      <c r="D506" s="2"/>
      <c r="E506" s="3"/>
      <c r="F506" s="4"/>
      <c r="G506" s="4"/>
      <c r="H506" s="3"/>
    </row>
    <row r="507" spans="3:8" ht="15.75" customHeight="1">
      <c r="C507" s="2"/>
      <c r="D507" s="2"/>
      <c r="E507" s="3"/>
      <c r="F507" s="4"/>
      <c r="G507" s="4"/>
      <c r="H507" s="3"/>
    </row>
    <row r="508" spans="3:8" ht="15.75" customHeight="1">
      <c r="C508" s="2"/>
      <c r="D508" s="2"/>
      <c r="E508" s="3"/>
      <c r="F508" s="4"/>
      <c r="G508" s="4"/>
      <c r="H508" s="3"/>
    </row>
    <row r="509" spans="3:8" ht="15.75" customHeight="1">
      <c r="C509" s="2"/>
      <c r="D509" s="2"/>
      <c r="E509" s="3"/>
      <c r="F509" s="4"/>
      <c r="G509" s="4"/>
      <c r="H509" s="3"/>
    </row>
    <row r="510" spans="3:8" ht="15.75" customHeight="1">
      <c r="C510" s="2"/>
      <c r="D510" s="2"/>
      <c r="E510" s="3"/>
      <c r="F510" s="4"/>
      <c r="G510" s="4"/>
      <c r="H510" s="3"/>
    </row>
    <row r="511" spans="3:8" ht="15.75" customHeight="1">
      <c r="C511" s="2"/>
      <c r="D511" s="2"/>
      <c r="E511" s="3"/>
      <c r="F511" s="4"/>
      <c r="G511" s="4"/>
      <c r="H511" s="3"/>
    </row>
    <row r="512" spans="3:8" ht="15.75" customHeight="1">
      <c r="C512" s="2"/>
      <c r="D512" s="2"/>
      <c r="E512" s="3"/>
      <c r="F512" s="4"/>
      <c r="G512" s="4"/>
      <c r="H512" s="3"/>
    </row>
    <row r="513" spans="3:8" ht="15.75" customHeight="1">
      <c r="C513" s="2"/>
      <c r="D513" s="2"/>
      <c r="E513" s="3"/>
      <c r="F513" s="4"/>
      <c r="G513" s="4"/>
      <c r="H513" s="3"/>
    </row>
    <row r="514" spans="3:8" ht="15.75" customHeight="1">
      <c r="C514" s="2"/>
      <c r="D514" s="2"/>
      <c r="E514" s="3"/>
      <c r="F514" s="4"/>
      <c r="G514" s="4"/>
      <c r="H514" s="3"/>
    </row>
    <row r="515" spans="3:8" ht="15.75" customHeight="1">
      <c r="C515" s="2"/>
      <c r="D515" s="2"/>
      <c r="E515" s="3"/>
      <c r="F515" s="4"/>
      <c r="G515" s="4"/>
      <c r="H515" s="3"/>
    </row>
    <row r="516" spans="3:8" ht="15.75" customHeight="1">
      <c r="C516" s="2"/>
      <c r="D516" s="2"/>
      <c r="E516" s="3"/>
      <c r="F516" s="4"/>
      <c r="G516" s="4"/>
      <c r="H516" s="3"/>
    </row>
    <row r="517" spans="3:8" ht="15.75" customHeight="1">
      <c r="C517" s="2"/>
      <c r="D517" s="2"/>
      <c r="E517" s="3"/>
      <c r="F517" s="4"/>
      <c r="G517" s="4"/>
      <c r="H517" s="3"/>
    </row>
    <row r="518" spans="3:8" ht="15.75" customHeight="1">
      <c r="C518" s="2"/>
      <c r="D518" s="2"/>
      <c r="E518" s="3"/>
      <c r="F518" s="4"/>
      <c r="G518" s="4"/>
      <c r="H518" s="3"/>
    </row>
    <row r="519" spans="3:8" ht="15.75" customHeight="1">
      <c r="C519" s="2"/>
      <c r="D519" s="2"/>
      <c r="E519" s="3"/>
      <c r="F519" s="4"/>
      <c r="G519" s="4"/>
      <c r="H519" s="3"/>
    </row>
    <row r="520" spans="3:8" ht="15.75" customHeight="1">
      <c r="C520" s="2"/>
      <c r="D520" s="2"/>
      <c r="E520" s="3"/>
      <c r="F520" s="4"/>
      <c r="G520" s="4"/>
      <c r="H520" s="3"/>
    </row>
    <row r="521" spans="3:8" ht="15.75" customHeight="1">
      <c r="C521" s="2"/>
      <c r="D521" s="2"/>
      <c r="E521" s="3"/>
      <c r="F521" s="4"/>
      <c r="G521" s="4"/>
      <c r="H521" s="3"/>
    </row>
    <row r="522" spans="3:8" ht="15.75" customHeight="1">
      <c r="C522" s="2"/>
      <c r="D522" s="2"/>
      <c r="E522" s="3"/>
      <c r="F522" s="4"/>
      <c r="G522" s="4"/>
      <c r="H522" s="3"/>
    </row>
    <row r="523" spans="3:8" ht="15.75" customHeight="1">
      <c r="C523" s="2"/>
      <c r="D523" s="2"/>
      <c r="E523" s="3"/>
      <c r="F523" s="4"/>
      <c r="G523" s="4"/>
      <c r="H523" s="3"/>
    </row>
    <row r="524" spans="3:8" ht="15.75" customHeight="1">
      <c r="C524" s="2"/>
      <c r="D524" s="2"/>
      <c r="E524" s="3"/>
      <c r="F524" s="4"/>
      <c r="G524" s="4"/>
      <c r="H524" s="3"/>
    </row>
    <row r="525" spans="3:8" ht="15.75" customHeight="1">
      <c r="C525" s="2"/>
      <c r="D525" s="2"/>
      <c r="E525" s="3"/>
      <c r="F525" s="4"/>
      <c r="G525" s="4"/>
      <c r="H525" s="3"/>
    </row>
    <row r="526" spans="3:8" ht="15.75" customHeight="1">
      <c r="C526" s="2"/>
      <c r="D526" s="2"/>
      <c r="E526" s="3"/>
      <c r="F526" s="4"/>
      <c r="G526" s="4"/>
      <c r="H526" s="3"/>
    </row>
    <row r="527" spans="3:8" ht="15.75" customHeight="1">
      <c r="C527" s="2"/>
      <c r="D527" s="2"/>
      <c r="E527" s="3"/>
      <c r="F527" s="4"/>
      <c r="G527" s="4"/>
      <c r="H527" s="3"/>
    </row>
    <row r="528" spans="3:8" ht="15.75" customHeight="1">
      <c r="C528" s="2"/>
      <c r="D528" s="2"/>
      <c r="E528" s="3"/>
      <c r="F528" s="4"/>
      <c r="G528" s="4"/>
      <c r="H528" s="3"/>
    </row>
    <row r="529" spans="3:8" ht="15.75" customHeight="1">
      <c r="C529" s="2"/>
      <c r="D529" s="2"/>
      <c r="E529" s="3"/>
      <c r="F529" s="4"/>
      <c r="G529" s="4"/>
      <c r="H529" s="3"/>
    </row>
    <row r="530" spans="3:8" ht="15.75" customHeight="1">
      <c r="C530" s="2"/>
      <c r="D530" s="2"/>
      <c r="E530" s="3"/>
      <c r="F530" s="4"/>
      <c r="G530" s="4"/>
      <c r="H530" s="3"/>
    </row>
    <row r="531" spans="3:8" ht="15.75" customHeight="1">
      <c r="C531" s="2"/>
      <c r="D531" s="2"/>
      <c r="E531" s="3"/>
      <c r="F531" s="4"/>
      <c r="G531" s="4"/>
      <c r="H531" s="3"/>
    </row>
    <row r="532" spans="3:8" ht="15.75" customHeight="1">
      <c r="C532" s="2"/>
      <c r="D532" s="2"/>
      <c r="E532" s="3"/>
      <c r="F532" s="4"/>
      <c r="G532" s="4"/>
      <c r="H532" s="3"/>
    </row>
    <row r="533" spans="3:8" ht="15.75" customHeight="1">
      <c r="C533" s="2"/>
      <c r="D533" s="2"/>
      <c r="E533" s="3"/>
      <c r="F533" s="4"/>
      <c r="G533" s="4"/>
      <c r="H533" s="3"/>
    </row>
    <row r="534" spans="3:8" ht="15.75" customHeight="1">
      <c r="C534" s="2"/>
      <c r="D534" s="2"/>
      <c r="E534" s="3"/>
      <c r="F534" s="4"/>
      <c r="G534" s="4"/>
      <c r="H534" s="3"/>
    </row>
    <row r="535" spans="3:8" ht="15.75" customHeight="1">
      <c r="C535" s="2"/>
      <c r="D535" s="2"/>
      <c r="E535" s="3"/>
      <c r="F535" s="4"/>
      <c r="G535" s="4"/>
      <c r="H535" s="3"/>
    </row>
    <row r="536" spans="3:8" ht="15.75" customHeight="1">
      <c r="C536" s="2"/>
      <c r="D536" s="2"/>
      <c r="E536" s="3"/>
      <c r="F536" s="4"/>
      <c r="G536" s="4"/>
      <c r="H536" s="3"/>
    </row>
    <row r="537" spans="3:8" ht="15.75" customHeight="1">
      <c r="C537" s="2"/>
      <c r="D537" s="2"/>
      <c r="E537" s="3"/>
      <c r="F537" s="4"/>
      <c r="G537" s="4"/>
      <c r="H537" s="3"/>
    </row>
    <row r="538" spans="3:8" ht="15.75" customHeight="1">
      <c r="C538" s="2"/>
      <c r="D538" s="2"/>
      <c r="E538" s="3"/>
      <c r="F538" s="4"/>
      <c r="G538" s="4"/>
      <c r="H538" s="3"/>
    </row>
    <row r="539" spans="3:8" ht="15.75" customHeight="1">
      <c r="C539" s="2"/>
      <c r="D539" s="2"/>
      <c r="E539" s="3"/>
      <c r="F539" s="4"/>
      <c r="G539" s="4"/>
      <c r="H539" s="3"/>
    </row>
    <row r="540" spans="3:8" ht="15.75" customHeight="1">
      <c r="C540" s="2"/>
      <c r="D540" s="2"/>
      <c r="E540" s="3"/>
      <c r="F540" s="4"/>
      <c r="G540" s="4"/>
      <c r="H540" s="3"/>
    </row>
    <row r="541" spans="3:8" ht="15.75" customHeight="1">
      <c r="C541" s="2"/>
      <c r="D541" s="2"/>
      <c r="E541" s="3"/>
      <c r="F541" s="4"/>
      <c r="G541" s="4"/>
      <c r="H541" s="3"/>
    </row>
    <row r="542" spans="3:8" ht="15.75" customHeight="1">
      <c r="C542" s="2"/>
      <c r="D542" s="2"/>
      <c r="E542" s="3"/>
      <c r="F542" s="4"/>
      <c r="G542" s="4"/>
      <c r="H542" s="3"/>
    </row>
    <row r="543" spans="3:8" ht="15.75" customHeight="1">
      <c r="C543" s="2"/>
      <c r="D543" s="2"/>
      <c r="E543" s="3"/>
      <c r="F543" s="4"/>
      <c r="G543" s="4"/>
      <c r="H543" s="3"/>
    </row>
    <row r="544" spans="3:8" ht="15.75" customHeight="1">
      <c r="C544" s="2"/>
      <c r="D544" s="2"/>
      <c r="E544" s="3"/>
      <c r="F544" s="4"/>
      <c r="G544" s="4"/>
      <c r="H544" s="3"/>
    </row>
    <row r="545" spans="3:8" ht="15.75" customHeight="1">
      <c r="C545" s="2"/>
      <c r="D545" s="2"/>
      <c r="E545" s="3"/>
      <c r="F545" s="4"/>
      <c r="G545" s="4"/>
      <c r="H545" s="3"/>
    </row>
    <row r="546" spans="3:8" ht="15.75" customHeight="1">
      <c r="C546" s="2"/>
      <c r="D546" s="2"/>
      <c r="E546" s="3"/>
      <c r="F546" s="4"/>
      <c r="G546" s="4"/>
      <c r="H546" s="3"/>
    </row>
    <row r="547" spans="3:8" ht="15.75" customHeight="1">
      <c r="C547" s="2"/>
      <c r="D547" s="2"/>
      <c r="E547" s="3"/>
      <c r="F547" s="4"/>
      <c r="G547" s="4"/>
      <c r="H547" s="3"/>
    </row>
    <row r="548" spans="3:8" ht="15.75" customHeight="1">
      <c r="C548" s="2"/>
      <c r="D548" s="2"/>
      <c r="E548" s="3"/>
      <c r="F548" s="4"/>
      <c r="G548" s="4"/>
      <c r="H548" s="3"/>
    </row>
    <row r="549" spans="3:8" ht="15.75" customHeight="1">
      <c r="C549" s="2"/>
      <c r="D549" s="2"/>
      <c r="E549" s="3"/>
      <c r="F549" s="4"/>
      <c r="G549" s="4"/>
      <c r="H549" s="3"/>
    </row>
    <row r="550" spans="3:8" ht="15.75" customHeight="1">
      <c r="C550" s="2"/>
      <c r="D550" s="2"/>
      <c r="E550" s="3"/>
      <c r="F550" s="4"/>
      <c r="G550" s="4"/>
      <c r="H550" s="3"/>
    </row>
    <row r="551" spans="3:8" ht="15.75" customHeight="1">
      <c r="C551" s="2"/>
      <c r="D551" s="2"/>
      <c r="E551" s="3"/>
      <c r="F551" s="4"/>
      <c r="G551" s="4"/>
      <c r="H551" s="3"/>
    </row>
    <row r="552" spans="3:8" ht="15.75" customHeight="1">
      <c r="C552" s="2"/>
      <c r="D552" s="2"/>
      <c r="E552" s="3"/>
      <c r="F552" s="4"/>
      <c r="G552" s="4"/>
      <c r="H552" s="3"/>
    </row>
    <row r="553" spans="3:8" ht="15.75" customHeight="1">
      <c r="C553" s="2"/>
      <c r="D553" s="2"/>
      <c r="E553" s="3"/>
      <c r="F553" s="4"/>
      <c r="G553" s="4"/>
      <c r="H553" s="3"/>
    </row>
    <row r="554" spans="3:8" ht="15.75" customHeight="1">
      <c r="C554" s="2"/>
      <c r="D554" s="2"/>
      <c r="E554" s="3"/>
      <c r="F554" s="4"/>
      <c r="G554" s="4"/>
      <c r="H554" s="3"/>
    </row>
    <row r="555" spans="3:8" ht="15.75" customHeight="1">
      <c r="C555" s="2"/>
      <c r="D555" s="2"/>
      <c r="E555" s="3"/>
      <c r="F555" s="4"/>
      <c r="G555" s="4"/>
      <c r="H555" s="3"/>
    </row>
    <row r="556" spans="3:8" ht="15.75" customHeight="1">
      <c r="C556" s="2"/>
      <c r="D556" s="2"/>
      <c r="E556" s="3"/>
      <c r="F556" s="4"/>
      <c r="G556" s="4"/>
      <c r="H556" s="3"/>
    </row>
    <row r="557" spans="3:8" ht="15.75" customHeight="1">
      <c r="C557" s="2"/>
      <c r="D557" s="2"/>
      <c r="E557" s="3"/>
      <c r="F557" s="4"/>
      <c r="G557" s="4"/>
      <c r="H557" s="3"/>
    </row>
    <row r="558" spans="3:8" ht="15.75" customHeight="1">
      <c r="C558" s="2"/>
      <c r="D558" s="2"/>
      <c r="E558" s="3"/>
      <c r="F558" s="4"/>
      <c r="G558" s="4"/>
      <c r="H558" s="3"/>
    </row>
    <row r="559" spans="3:8" ht="15.75" customHeight="1">
      <c r="C559" s="2"/>
      <c r="D559" s="2"/>
      <c r="E559" s="3"/>
      <c r="F559" s="4"/>
      <c r="G559" s="4"/>
      <c r="H559" s="3"/>
    </row>
    <row r="560" spans="3:8" ht="15.75" customHeight="1">
      <c r="C560" s="2"/>
      <c r="D560" s="2"/>
      <c r="E560" s="3"/>
      <c r="F560" s="4"/>
      <c r="G560" s="4"/>
      <c r="H560" s="3"/>
    </row>
    <row r="561" spans="3:8" ht="15.75" customHeight="1">
      <c r="C561" s="2"/>
      <c r="D561" s="2"/>
      <c r="E561" s="3"/>
      <c r="F561" s="4"/>
      <c r="G561" s="4"/>
      <c r="H561" s="3"/>
    </row>
    <row r="562" spans="3:8" ht="15.75" customHeight="1">
      <c r="C562" s="2"/>
      <c r="D562" s="2"/>
      <c r="E562" s="3"/>
      <c r="F562" s="4"/>
      <c r="G562" s="4"/>
      <c r="H562" s="3"/>
    </row>
    <row r="563" spans="3:8" ht="15.75" customHeight="1">
      <c r="C563" s="2"/>
      <c r="D563" s="2"/>
      <c r="E563" s="3"/>
      <c r="F563" s="4"/>
      <c r="G563" s="4"/>
      <c r="H563" s="3"/>
    </row>
    <row r="564" spans="3:8" ht="15.75" customHeight="1">
      <c r="C564" s="2"/>
      <c r="D564" s="2"/>
      <c r="E564" s="3"/>
      <c r="F564" s="4"/>
      <c r="G564" s="4"/>
      <c r="H564" s="3"/>
    </row>
    <row r="565" spans="3:8" ht="15.75" customHeight="1">
      <c r="C565" s="2"/>
      <c r="D565" s="2"/>
      <c r="E565" s="3"/>
      <c r="F565" s="4"/>
      <c r="G565" s="4"/>
      <c r="H565" s="3"/>
    </row>
    <row r="566" spans="3:8" ht="15.75" customHeight="1">
      <c r="C566" s="2"/>
      <c r="D566" s="2"/>
      <c r="E566" s="3"/>
      <c r="F566" s="4"/>
      <c r="G566" s="4"/>
      <c r="H566" s="3"/>
    </row>
    <row r="567" spans="3:8" ht="15.75" customHeight="1">
      <c r="C567" s="2"/>
      <c r="D567" s="2"/>
      <c r="E567" s="3"/>
      <c r="F567" s="4"/>
      <c r="G567" s="4"/>
      <c r="H567" s="3"/>
    </row>
    <row r="568" spans="3:8" ht="15.75" customHeight="1">
      <c r="C568" s="2"/>
      <c r="D568" s="2"/>
      <c r="E568" s="3"/>
      <c r="F568" s="4"/>
      <c r="G568" s="4"/>
      <c r="H568" s="3"/>
    </row>
    <row r="569" spans="3:8" ht="15.75" customHeight="1">
      <c r="C569" s="2"/>
      <c r="D569" s="2"/>
      <c r="E569" s="3"/>
      <c r="F569" s="4"/>
      <c r="G569" s="4"/>
      <c r="H569" s="3"/>
    </row>
    <row r="570" spans="3:8" ht="15.75" customHeight="1">
      <c r="C570" s="2"/>
      <c r="D570" s="2"/>
      <c r="E570" s="3"/>
      <c r="F570" s="4"/>
      <c r="G570" s="4"/>
      <c r="H570" s="3"/>
    </row>
    <row r="571" spans="3:8" ht="15.75" customHeight="1">
      <c r="C571" s="2"/>
      <c r="D571" s="2"/>
      <c r="E571" s="3"/>
      <c r="F571" s="4"/>
      <c r="G571" s="4"/>
      <c r="H571" s="3"/>
    </row>
    <row r="572" spans="3:8" ht="15.75" customHeight="1">
      <c r="C572" s="2"/>
      <c r="D572" s="2"/>
      <c r="E572" s="3"/>
      <c r="F572" s="4"/>
      <c r="G572" s="4"/>
      <c r="H572" s="3"/>
    </row>
    <row r="573" spans="3:8" ht="15.75" customHeight="1">
      <c r="C573" s="2"/>
      <c r="D573" s="2"/>
      <c r="E573" s="3"/>
      <c r="F573" s="4"/>
      <c r="G573" s="4"/>
      <c r="H573" s="3"/>
    </row>
    <row r="574" spans="3:8" ht="15.75" customHeight="1">
      <c r="C574" s="2"/>
      <c r="D574" s="2"/>
      <c r="E574" s="3"/>
      <c r="F574" s="4"/>
      <c r="G574" s="4"/>
      <c r="H574" s="3"/>
    </row>
    <row r="575" spans="3:8" ht="15.75" customHeight="1">
      <c r="C575" s="2"/>
      <c r="D575" s="2"/>
      <c r="E575" s="3"/>
      <c r="F575" s="4"/>
      <c r="G575" s="4"/>
      <c r="H575" s="3"/>
    </row>
    <row r="576" spans="3:8" ht="15.75" customHeight="1">
      <c r="C576" s="2"/>
      <c r="D576" s="2"/>
      <c r="E576" s="3"/>
      <c r="F576" s="4"/>
      <c r="G576" s="4"/>
      <c r="H576" s="3"/>
    </row>
    <row r="577" spans="3:8" ht="15.75" customHeight="1">
      <c r="C577" s="2"/>
      <c r="D577" s="2"/>
      <c r="E577" s="3"/>
      <c r="F577" s="4"/>
      <c r="G577" s="4"/>
      <c r="H577" s="3"/>
    </row>
    <row r="578" spans="3:8" ht="15.75" customHeight="1">
      <c r="C578" s="2"/>
      <c r="D578" s="2"/>
      <c r="E578" s="3"/>
      <c r="F578" s="4"/>
      <c r="G578" s="4"/>
      <c r="H578" s="3"/>
    </row>
    <row r="579" spans="3:8" ht="15.75" customHeight="1">
      <c r="C579" s="2"/>
      <c r="D579" s="2"/>
      <c r="E579" s="3"/>
      <c r="F579" s="4"/>
      <c r="G579" s="4"/>
      <c r="H579" s="3"/>
    </row>
    <row r="580" spans="3:8" ht="15.75" customHeight="1">
      <c r="C580" s="2"/>
      <c r="D580" s="2"/>
      <c r="E580" s="3"/>
      <c r="F580" s="4"/>
      <c r="G580" s="4"/>
      <c r="H580" s="3"/>
    </row>
    <row r="581" spans="3:8" ht="15.75" customHeight="1">
      <c r="C581" s="2"/>
      <c r="D581" s="2"/>
      <c r="E581" s="3"/>
      <c r="F581" s="4"/>
      <c r="G581" s="4"/>
      <c r="H581" s="3"/>
    </row>
    <row r="582" spans="3:8" ht="15.75" customHeight="1">
      <c r="C582" s="2"/>
      <c r="D582" s="2"/>
      <c r="E582" s="3"/>
      <c r="F582" s="4"/>
      <c r="G582" s="4"/>
      <c r="H582" s="3"/>
    </row>
    <row r="583" spans="3:8" ht="15.75" customHeight="1">
      <c r="C583" s="2"/>
      <c r="D583" s="2"/>
      <c r="E583" s="3"/>
      <c r="F583" s="4"/>
      <c r="G583" s="4"/>
      <c r="H583" s="3"/>
    </row>
    <row r="584" spans="3:8" ht="15.75" customHeight="1">
      <c r="C584" s="2"/>
      <c r="D584" s="2"/>
      <c r="E584" s="3"/>
      <c r="F584" s="4"/>
      <c r="G584" s="4"/>
      <c r="H584" s="3"/>
    </row>
    <row r="585" spans="3:8" ht="15.75" customHeight="1">
      <c r="C585" s="2"/>
      <c r="D585" s="2"/>
      <c r="E585" s="3"/>
      <c r="F585" s="4"/>
      <c r="G585" s="4"/>
      <c r="H585" s="3"/>
    </row>
    <row r="586" spans="3:8" ht="15.75" customHeight="1">
      <c r="C586" s="2"/>
      <c r="D586" s="2"/>
      <c r="E586" s="3"/>
      <c r="F586" s="4"/>
      <c r="G586" s="4"/>
      <c r="H586" s="3"/>
    </row>
    <row r="587" spans="3:8" ht="15.75" customHeight="1">
      <c r="C587" s="2"/>
      <c r="D587" s="2"/>
      <c r="E587" s="3"/>
      <c r="F587" s="4"/>
      <c r="G587" s="4"/>
      <c r="H587" s="3"/>
    </row>
    <row r="588" spans="3:8" ht="15.75" customHeight="1">
      <c r="C588" s="2"/>
      <c r="D588" s="2"/>
      <c r="E588" s="3"/>
      <c r="F588" s="4"/>
      <c r="G588" s="4"/>
      <c r="H588" s="3"/>
    </row>
    <row r="589" spans="3:8" ht="15.75" customHeight="1">
      <c r="C589" s="2"/>
      <c r="D589" s="2"/>
      <c r="E589" s="3"/>
      <c r="F589" s="4"/>
      <c r="G589" s="4"/>
      <c r="H589" s="3"/>
    </row>
    <row r="590" spans="3:8" ht="15.75" customHeight="1">
      <c r="C590" s="2"/>
      <c r="D590" s="2"/>
      <c r="E590" s="3"/>
      <c r="F590" s="4"/>
      <c r="G590" s="4"/>
      <c r="H590" s="3"/>
    </row>
    <row r="591" spans="3:8" ht="15.75" customHeight="1">
      <c r="C591" s="2"/>
      <c r="D591" s="2"/>
      <c r="E591" s="3"/>
      <c r="F591" s="4"/>
      <c r="G591" s="4"/>
      <c r="H591" s="3"/>
    </row>
    <row r="592" spans="3:8" ht="15.75" customHeight="1">
      <c r="C592" s="2"/>
      <c r="D592" s="2"/>
      <c r="E592" s="3"/>
      <c r="F592" s="4"/>
      <c r="G592" s="4"/>
      <c r="H592" s="3"/>
    </row>
    <row r="593" spans="3:8" ht="15.75" customHeight="1">
      <c r="C593" s="2"/>
      <c r="D593" s="2"/>
      <c r="E593" s="3"/>
      <c r="F593" s="4"/>
      <c r="G593" s="4"/>
      <c r="H593" s="3"/>
    </row>
    <row r="594" spans="3:8" ht="15.75" customHeight="1">
      <c r="C594" s="2"/>
      <c r="D594" s="2"/>
      <c r="E594" s="3"/>
      <c r="F594" s="4"/>
      <c r="G594" s="4"/>
      <c r="H594" s="3"/>
    </row>
    <row r="595" spans="3:8" ht="15.75" customHeight="1">
      <c r="C595" s="2"/>
      <c r="D595" s="2"/>
      <c r="E595" s="3"/>
      <c r="F595" s="4"/>
      <c r="G595" s="4"/>
      <c r="H595" s="3"/>
    </row>
    <row r="596" spans="3:8" ht="15.75" customHeight="1">
      <c r="C596" s="2"/>
      <c r="D596" s="2"/>
      <c r="E596" s="3"/>
      <c r="F596" s="4"/>
      <c r="G596" s="4"/>
      <c r="H596" s="3"/>
    </row>
    <row r="597" spans="3:8" ht="15.75" customHeight="1">
      <c r="C597" s="2"/>
      <c r="D597" s="2"/>
      <c r="E597" s="3"/>
      <c r="F597" s="4"/>
      <c r="G597" s="4"/>
      <c r="H597" s="3"/>
    </row>
    <row r="598" spans="3:8" ht="15.75" customHeight="1">
      <c r="C598" s="2"/>
      <c r="D598" s="2"/>
      <c r="E598" s="3"/>
      <c r="F598" s="4"/>
      <c r="G598" s="4"/>
      <c r="H598" s="3"/>
    </row>
    <row r="599" spans="3:8" ht="15.75" customHeight="1">
      <c r="C599" s="2"/>
      <c r="D599" s="2"/>
      <c r="E599" s="3"/>
      <c r="F599" s="4"/>
      <c r="G599" s="4"/>
      <c r="H599" s="3"/>
    </row>
    <row r="600" spans="3:8" ht="15.75" customHeight="1">
      <c r="C600" s="2"/>
      <c r="D600" s="2"/>
      <c r="E600" s="3"/>
      <c r="F600" s="4"/>
      <c r="G600" s="4"/>
      <c r="H600" s="3"/>
    </row>
    <row r="601" spans="3:8" ht="15.75" customHeight="1">
      <c r="C601" s="2"/>
      <c r="D601" s="2"/>
      <c r="E601" s="3"/>
      <c r="F601" s="4"/>
      <c r="G601" s="4"/>
      <c r="H601" s="3"/>
    </row>
    <row r="602" spans="3:8" ht="15.75" customHeight="1">
      <c r="C602" s="2"/>
      <c r="D602" s="2"/>
      <c r="E602" s="3"/>
      <c r="F602" s="4"/>
      <c r="G602" s="4"/>
      <c r="H602" s="3"/>
    </row>
    <row r="603" spans="3:8" ht="15.75" customHeight="1">
      <c r="C603" s="2"/>
      <c r="D603" s="2"/>
      <c r="E603" s="3"/>
      <c r="F603" s="4"/>
      <c r="G603" s="4"/>
      <c r="H603" s="3"/>
    </row>
    <row r="604" spans="3:8" ht="15.75" customHeight="1">
      <c r="C604" s="2"/>
      <c r="D604" s="2"/>
      <c r="E604" s="3"/>
      <c r="F604" s="4"/>
      <c r="G604" s="4"/>
      <c r="H604" s="3"/>
    </row>
    <row r="605" spans="3:8" ht="15.75" customHeight="1">
      <c r="C605" s="2"/>
      <c r="D605" s="2"/>
      <c r="E605" s="3"/>
      <c r="F605" s="4"/>
      <c r="G605" s="4"/>
      <c r="H605" s="3"/>
    </row>
    <row r="606" spans="3:8" ht="15.75" customHeight="1">
      <c r="C606" s="2"/>
      <c r="D606" s="2"/>
      <c r="E606" s="3"/>
      <c r="F606" s="4"/>
      <c r="G606" s="4"/>
      <c r="H606" s="3"/>
    </row>
    <row r="607" spans="3:8" ht="15.75" customHeight="1">
      <c r="C607" s="2"/>
      <c r="D607" s="2"/>
      <c r="E607" s="3"/>
      <c r="F607" s="4"/>
      <c r="G607" s="4"/>
      <c r="H607" s="3"/>
    </row>
    <row r="608" spans="3:8" ht="15.75" customHeight="1">
      <c r="C608" s="2"/>
      <c r="D608" s="2"/>
      <c r="E608" s="3"/>
      <c r="F608" s="4"/>
      <c r="G608" s="4"/>
      <c r="H608" s="3"/>
    </row>
    <row r="609" spans="3:8" ht="15.75" customHeight="1">
      <c r="C609" s="2"/>
      <c r="D609" s="2"/>
      <c r="E609" s="3"/>
      <c r="F609" s="4"/>
      <c r="G609" s="4"/>
      <c r="H609" s="3"/>
    </row>
    <row r="610" spans="3:8" ht="15.75" customHeight="1">
      <c r="C610" s="2"/>
      <c r="D610" s="2"/>
      <c r="E610" s="3"/>
      <c r="F610" s="4"/>
      <c r="G610" s="4"/>
      <c r="H610" s="3"/>
    </row>
    <row r="611" spans="3:8" ht="15.75" customHeight="1">
      <c r="C611" s="2"/>
      <c r="D611" s="2"/>
      <c r="E611" s="3"/>
      <c r="F611" s="4"/>
      <c r="G611" s="4"/>
      <c r="H611" s="3"/>
    </row>
    <row r="612" spans="3:8" ht="15.75" customHeight="1">
      <c r="C612" s="2"/>
      <c r="D612" s="2"/>
      <c r="E612" s="3"/>
      <c r="F612" s="4"/>
      <c r="G612" s="4"/>
      <c r="H612" s="3"/>
    </row>
    <row r="613" spans="3:8" ht="15.75" customHeight="1">
      <c r="C613" s="2"/>
      <c r="D613" s="2"/>
      <c r="E613" s="3"/>
      <c r="F613" s="4"/>
      <c r="G613" s="4"/>
      <c r="H613" s="3"/>
    </row>
    <row r="614" spans="3:8" ht="15.75" customHeight="1">
      <c r="C614" s="2"/>
      <c r="D614" s="2"/>
      <c r="E614" s="3"/>
      <c r="F614" s="4"/>
      <c r="G614" s="4"/>
      <c r="H614" s="3"/>
    </row>
    <row r="615" spans="3:8" ht="15.75" customHeight="1">
      <c r="C615" s="2"/>
      <c r="D615" s="2"/>
      <c r="E615" s="3"/>
      <c r="F615" s="4"/>
      <c r="G615" s="4"/>
      <c r="H615" s="3"/>
    </row>
    <row r="616" spans="3:8" ht="15.75" customHeight="1">
      <c r="C616" s="2"/>
      <c r="D616" s="2"/>
      <c r="E616" s="3"/>
      <c r="F616" s="4"/>
      <c r="G616" s="4"/>
      <c r="H616" s="3"/>
    </row>
    <row r="617" spans="3:8" ht="15.75" customHeight="1">
      <c r="C617" s="2"/>
      <c r="D617" s="2"/>
      <c r="E617" s="3"/>
      <c r="F617" s="4"/>
      <c r="G617" s="4"/>
      <c r="H617" s="3"/>
    </row>
    <row r="618" spans="3:8" ht="15.75" customHeight="1">
      <c r="C618" s="2"/>
      <c r="D618" s="2"/>
      <c r="E618" s="3"/>
      <c r="F618" s="4"/>
      <c r="G618" s="4"/>
      <c r="H618" s="3"/>
    </row>
    <row r="619" spans="3:8" ht="15.75" customHeight="1">
      <c r="C619" s="2"/>
      <c r="D619" s="2"/>
      <c r="E619" s="3"/>
      <c r="F619" s="4"/>
      <c r="G619" s="4"/>
      <c r="H619" s="3"/>
    </row>
    <row r="620" spans="3:8" ht="15.75" customHeight="1">
      <c r="C620" s="2"/>
      <c r="D620" s="2"/>
      <c r="E620" s="3"/>
      <c r="F620" s="4"/>
      <c r="G620" s="4"/>
      <c r="H620" s="3"/>
    </row>
    <row r="621" spans="3:8" ht="15.75" customHeight="1">
      <c r="C621" s="2"/>
      <c r="D621" s="2"/>
      <c r="E621" s="3"/>
      <c r="F621" s="4"/>
      <c r="G621" s="4"/>
      <c r="H621" s="3"/>
    </row>
    <row r="622" spans="3:8" ht="15.75" customHeight="1">
      <c r="C622" s="2"/>
      <c r="D622" s="2"/>
      <c r="E622" s="3"/>
      <c r="F622" s="4"/>
      <c r="G622" s="4"/>
      <c r="H622" s="3"/>
    </row>
    <row r="623" spans="3:8" ht="15.75" customHeight="1">
      <c r="C623" s="2"/>
      <c r="D623" s="2"/>
      <c r="E623" s="3"/>
      <c r="F623" s="4"/>
      <c r="G623" s="4"/>
      <c r="H623" s="3"/>
    </row>
    <row r="624" spans="3:8" ht="15.75" customHeight="1">
      <c r="C624" s="2"/>
      <c r="D624" s="2"/>
      <c r="E624" s="3"/>
      <c r="F624" s="4"/>
      <c r="G624" s="4"/>
      <c r="H624" s="3"/>
    </row>
    <row r="625" spans="3:8" ht="15.75" customHeight="1">
      <c r="C625" s="2"/>
      <c r="D625" s="2"/>
      <c r="E625" s="3"/>
      <c r="F625" s="4"/>
      <c r="G625" s="4"/>
      <c r="H625" s="3"/>
    </row>
    <row r="626" spans="3:8" ht="15.75" customHeight="1">
      <c r="C626" s="2"/>
      <c r="D626" s="2"/>
      <c r="E626" s="3"/>
      <c r="F626" s="4"/>
      <c r="G626" s="4"/>
      <c r="H626" s="3"/>
    </row>
    <row r="627" spans="3:8" ht="15.75" customHeight="1">
      <c r="C627" s="2"/>
      <c r="D627" s="2"/>
      <c r="E627" s="3"/>
      <c r="F627" s="4"/>
      <c r="G627" s="4"/>
      <c r="H627" s="3"/>
    </row>
    <row r="628" spans="3:8" ht="15.75" customHeight="1">
      <c r="C628" s="2"/>
      <c r="D628" s="2"/>
      <c r="E628" s="3"/>
      <c r="F628" s="4"/>
      <c r="G628" s="4"/>
      <c r="H628" s="3"/>
    </row>
    <row r="629" spans="3:8" ht="15.75" customHeight="1">
      <c r="C629" s="2"/>
      <c r="D629" s="2"/>
      <c r="E629" s="3"/>
      <c r="F629" s="4"/>
      <c r="G629" s="4"/>
      <c r="H629" s="3"/>
    </row>
    <row r="630" spans="3:8" ht="15.75" customHeight="1">
      <c r="C630" s="2"/>
      <c r="D630" s="2"/>
      <c r="E630" s="3"/>
      <c r="F630" s="4"/>
      <c r="G630" s="4"/>
      <c r="H630" s="3"/>
    </row>
    <row r="631" spans="3:8" ht="15.75" customHeight="1">
      <c r="C631" s="2"/>
      <c r="D631" s="2"/>
      <c r="E631" s="3"/>
      <c r="F631" s="4"/>
      <c r="G631" s="4"/>
      <c r="H631" s="3"/>
    </row>
    <row r="632" spans="3:8" ht="15.75" customHeight="1">
      <c r="C632" s="2"/>
      <c r="D632" s="2"/>
      <c r="E632" s="3"/>
      <c r="F632" s="4"/>
      <c r="G632" s="4"/>
      <c r="H632" s="3"/>
    </row>
    <row r="633" spans="3:8" ht="15.75" customHeight="1">
      <c r="C633" s="2"/>
      <c r="D633" s="2"/>
      <c r="E633" s="3"/>
      <c r="F633" s="4"/>
      <c r="G633" s="4"/>
      <c r="H633" s="3"/>
    </row>
    <row r="634" spans="3:8" ht="15.75" customHeight="1">
      <c r="C634" s="2"/>
      <c r="D634" s="2"/>
      <c r="E634" s="3"/>
      <c r="F634" s="4"/>
      <c r="G634" s="4"/>
      <c r="H634" s="3"/>
    </row>
    <row r="635" spans="3:8" ht="15.75" customHeight="1">
      <c r="C635" s="2"/>
      <c r="D635" s="2"/>
      <c r="E635" s="3"/>
      <c r="F635" s="4"/>
      <c r="G635" s="4"/>
      <c r="H635" s="3"/>
    </row>
    <row r="636" spans="3:8" ht="15.75" customHeight="1">
      <c r="C636" s="2"/>
      <c r="D636" s="2"/>
      <c r="E636" s="3"/>
      <c r="F636" s="4"/>
      <c r="G636" s="4"/>
      <c r="H636" s="3"/>
    </row>
    <row r="637" spans="3:8" ht="15.75" customHeight="1">
      <c r="C637" s="2"/>
      <c r="D637" s="2"/>
      <c r="E637" s="3"/>
      <c r="F637" s="4"/>
      <c r="G637" s="4"/>
      <c r="H637" s="3"/>
    </row>
    <row r="638" spans="3:8" ht="15.75" customHeight="1">
      <c r="C638" s="2"/>
      <c r="D638" s="2"/>
      <c r="E638" s="3"/>
      <c r="F638" s="4"/>
      <c r="G638" s="4"/>
      <c r="H638" s="3"/>
    </row>
    <row r="639" spans="3:8" ht="15.75" customHeight="1">
      <c r="C639" s="2"/>
      <c r="D639" s="2"/>
      <c r="E639" s="3"/>
      <c r="F639" s="4"/>
      <c r="G639" s="4"/>
      <c r="H639" s="3"/>
    </row>
    <row r="640" spans="3:8" ht="15.75" customHeight="1">
      <c r="C640" s="2"/>
      <c r="D640" s="2"/>
      <c r="E640" s="3"/>
      <c r="F640" s="4"/>
      <c r="G640" s="4"/>
      <c r="H640" s="3"/>
    </row>
    <row r="641" spans="3:8" ht="15.75" customHeight="1">
      <c r="C641" s="2"/>
      <c r="D641" s="2"/>
      <c r="E641" s="3"/>
      <c r="F641" s="4"/>
      <c r="G641" s="4"/>
      <c r="H641" s="3"/>
    </row>
    <row r="642" spans="3:8" ht="15.75" customHeight="1">
      <c r="C642" s="2"/>
      <c r="D642" s="2"/>
      <c r="E642" s="3"/>
      <c r="F642" s="4"/>
      <c r="G642" s="4"/>
      <c r="H642" s="3"/>
    </row>
    <row r="643" spans="3:8" ht="15.75" customHeight="1">
      <c r="C643" s="2"/>
      <c r="D643" s="2"/>
      <c r="E643" s="3"/>
      <c r="F643" s="4"/>
      <c r="G643" s="4"/>
      <c r="H643" s="3"/>
    </row>
    <row r="644" spans="3:8" ht="15.75" customHeight="1">
      <c r="C644" s="2"/>
      <c r="D644" s="2"/>
      <c r="E644" s="3"/>
      <c r="F644" s="4"/>
      <c r="G644" s="4"/>
      <c r="H644" s="3"/>
    </row>
    <row r="645" spans="3:8" ht="15.75" customHeight="1">
      <c r="C645" s="2"/>
      <c r="D645" s="2"/>
      <c r="E645" s="3"/>
      <c r="F645" s="4"/>
      <c r="G645" s="4"/>
      <c r="H645" s="3"/>
    </row>
    <row r="646" spans="3:8" ht="15.75" customHeight="1">
      <c r="C646" s="2"/>
      <c r="D646" s="2"/>
      <c r="E646" s="3"/>
      <c r="F646" s="4"/>
      <c r="G646" s="4"/>
      <c r="H646" s="3"/>
    </row>
    <row r="647" spans="3:8" ht="15.75" customHeight="1">
      <c r="C647" s="2"/>
      <c r="D647" s="2"/>
      <c r="E647" s="3"/>
      <c r="F647" s="4"/>
      <c r="G647" s="4"/>
      <c r="H647" s="3"/>
    </row>
    <row r="648" spans="3:8" ht="15.75" customHeight="1">
      <c r="C648" s="2"/>
      <c r="D648" s="2"/>
      <c r="E648" s="3"/>
      <c r="F648" s="4"/>
      <c r="G648" s="4"/>
      <c r="H648" s="3"/>
    </row>
    <row r="649" spans="3:8" ht="15.75" customHeight="1">
      <c r="C649" s="2"/>
      <c r="D649" s="2"/>
      <c r="E649" s="3"/>
      <c r="F649" s="4"/>
      <c r="G649" s="4"/>
      <c r="H649" s="3"/>
    </row>
    <row r="650" spans="3:8" ht="15.75" customHeight="1">
      <c r="C650" s="2"/>
      <c r="D650" s="2"/>
      <c r="E650" s="3"/>
      <c r="F650" s="4"/>
      <c r="G650" s="4"/>
      <c r="H650" s="3"/>
    </row>
    <row r="651" spans="3:8" ht="15.75" customHeight="1">
      <c r="C651" s="2"/>
      <c r="D651" s="2"/>
      <c r="E651" s="3"/>
      <c r="F651" s="4"/>
      <c r="G651" s="4"/>
      <c r="H651" s="3"/>
    </row>
    <row r="652" spans="3:8" ht="15.75" customHeight="1">
      <c r="C652" s="2"/>
      <c r="D652" s="2"/>
      <c r="E652" s="3"/>
      <c r="F652" s="4"/>
      <c r="G652" s="4"/>
      <c r="H652" s="3"/>
    </row>
    <row r="653" spans="3:8" ht="15.75" customHeight="1">
      <c r="C653" s="2"/>
      <c r="D653" s="2"/>
      <c r="E653" s="3"/>
      <c r="F653" s="4"/>
      <c r="G653" s="4"/>
      <c r="H653" s="3"/>
    </row>
    <row r="654" spans="3:8" ht="15.75" customHeight="1">
      <c r="C654" s="2"/>
      <c r="D654" s="2"/>
      <c r="E654" s="3"/>
      <c r="F654" s="4"/>
      <c r="G654" s="4"/>
      <c r="H654" s="3"/>
    </row>
    <row r="655" spans="3:8" ht="15.75" customHeight="1">
      <c r="C655" s="2"/>
      <c r="D655" s="2"/>
      <c r="E655" s="3"/>
      <c r="F655" s="4"/>
      <c r="G655" s="4"/>
      <c r="H655" s="3"/>
    </row>
    <row r="656" spans="3:8" ht="15.75" customHeight="1">
      <c r="C656" s="2"/>
      <c r="D656" s="2"/>
      <c r="E656" s="3"/>
      <c r="F656" s="4"/>
      <c r="G656" s="4"/>
      <c r="H656" s="3"/>
    </row>
    <row r="657" spans="3:8" ht="15.75" customHeight="1">
      <c r="C657" s="2"/>
      <c r="D657" s="2"/>
      <c r="E657" s="3"/>
      <c r="F657" s="4"/>
      <c r="G657" s="4"/>
      <c r="H657" s="3"/>
    </row>
    <row r="658" spans="3:8" ht="15.75" customHeight="1">
      <c r="C658" s="2"/>
      <c r="D658" s="2"/>
      <c r="E658" s="3"/>
      <c r="F658" s="4"/>
      <c r="G658" s="4"/>
      <c r="H658" s="3"/>
    </row>
    <row r="659" spans="3:8" ht="15.75" customHeight="1">
      <c r="C659" s="2"/>
      <c r="D659" s="2"/>
      <c r="E659" s="3"/>
      <c r="F659" s="4"/>
      <c r="G659" s="4"/>
      <c r="H659" s="3"/>
    </row>
    <row r="660" spans="3:8" ht="15.75" customHeight="1">
      <c r="C660" s="2"/>
      <c r="D660" s="2"/>
      <c r="E660" s="3"/>
      <c r="F660" s="4"/>
      <c r="G660" s="4"/>
      <c r="H660" s="3"/>
    </row>
    <row r="661" spans="3:8" ht="15.75" customHeight="1">
      <c r="C661" s="2"/>
      <c r="D661" s="2"/>
      <c r="E661" s="3"/>
      <c r="F661" s="4"/>
      <c r="G661" s="4"/>
      <c r="H661" s="3"/>
    </row>
    <row r="662" spans="3:8" ht="15.75" customHeight="1">
      <c r="C662" s="2"/>
      <c r="D662" s="2"/>
      <c r="E662" s="3"/>
      <c r="F662" s="4"/>
      <c r="G662" s="4"/>
      <c r="H662" s="3"/>
    </row>
    <row r="663" spans="3:8" ht="15.75" customHeight="1">
      <c r="C663" s="2"/>
      <c r="D663" s="2"/>
      <c r="E663" s="3"/>
      <c r="F663" s="4"/>
      <c r="G663" s="4"/>
      <c r="H663" s="3"/>
    </row>
    <row r="664" spans="3:8" ht="15.75" customHeight="1">
      <c r="C664" s="2"/>
      <c r="D664" s="2"/>
      <c r="E664" s="3"/>
      <c r="F664" s="4"/>
      <c r="G664" s="4"/>
      <c r="H664" s="3"/>
    </row>
    <row r="665" spans="3:8" ht="15.75" customHeight="1">
      <c r="C665" s="2"/>
      <c r="D665" s="2"/>
      <c r="E665" s="3"/>
      <c r="F665" s="4"/>
      <c r="G665" s="4"/>
      <c r="H665" s="3"/>
    </row>
    <row r="666" spans="3:8" ht="15.75" customHeight="1">
      <c r="C666" s="2"/>
      <c r="D666" s="2"/>
      <c r="E666" s="3"/>
      <c r="F666" s="4"/>
      <c r="G666" s="4"/>
      <c r="H666" s="3"/>
    </row>
    <row r="667" spans="3:8" ht="15.75" customHeight="1">
      <c r="C667" s="2"/>
      <c r="D667" s="2"/>
      <c r="E667" s="3"/>
      <c r="F667" s="4"/>
      <c r="G667" s="4"/>
      <c r="H667" s="3"/>
    </row>
    <row r="668" spans="3:8" ht="15.75" customHeight="1">
      <c r="C668" s="2"/>
      <c r="D668" s="2"/>
      <c r="E668" s="3"/>
      <c r="F668" s="4"/>
      <c r="G668" s="4"/>
      <c r="H668" s="3"/>
    </row>
    <row r="669" spans="3:8" ht="15.75" customHeight="1">
      <c r="C669" s="2"/>
      <c r="D669" s="2"/>
      <c r="E669" s="3"/>
      <c r="F669" s="4"/>
      <c r="G669" s="4"/>
      <c r="H669" s="3"/>
    </row>
    <row r="670" spans="3:8" ht="15.75" customHeight="1">
      <c r="C670" s="2"/>
      <c r="D670" s="2"/>
      <c r="E670" s="3"/>
      <c r="F670" s="4"/>
      <c r="G670" s="4"/>
      <c r="H670" s="3"/>
    </row>
    <row r="671" spans="3:8" ht="15.75" customHeight="1">
      <c r="C671" s="2"/>
      <c r="D671" s="2"/>
      <c r="E671" s="3"/>
      <c r="F671" s="4"/>
      <c r="G671" s="4"/>
      <c r="H671" s="3"/>
    </row>
    <row r="672" spans="3:8" ht="15.75" customHeight="1">
      <c r="C672" s="2"/>
      <c r="D672" s="2"/>
      <c r="E672" s="3"/>
      <c r="F672" s="4"/>
      <c r="G672" s="4"/>
      <c r="H672" s="3"/>
    </row>
    <row r="673" spans="3:8" ht="15.75" customHeight="1">
      <c r="C673" s="2"/>
      <c r="D673" s="2"/>
      <c r="E673" s="3"/>
      <c r="F673" s="4"/>
      <c r="G673" s="4"/>
      <c r="H673" s="3"/>
    </row>
    <row r="674" spans="3:8" ht="15.75" customHeight="1">
      <c r="C674" s="2"/>
      <c r="D674" s="2"/>
      <c r="E674" s="3"/>
      <c r="F674" s="4"/>
      <c r="G674" s="4"/>
      <c r="H674" s="3"/>
    </row>
    <row r="675" spans="3:8" ht="15.75" customHeight="1">
      <c r="C675" s="2"/>
      <c r="D675" s="2"/>
      <c r="E675" s="3"/>
      <c r="F675" s="4"/>
      <c r="G675" s="4"/>
      <c r="H675" s="3"/>
    </row>
    <row r="676" spans="3:8" ht="15.75" customHeight="1">
      <c r="C676" s="2"/>
      <c r="D676" s="2"/>
      <c r="E676" s="3"/>
      <c r="F676" s="4"/>
      <c r="G676" s="4"/>
      <c r="H676" s="3"/>
    </row>
    <row r="677" spans="3:8" ht="15.75" customHeight="1">
      <c r="C677" s="2"/>
      <c r="D677" s="2"/>
      <c r="E677" s="3"/>
      <c r="F677" s="4"/>
      <c r="G677" s="4"/>
      <c r="H677" s="3"/>
    </row>
    <row r="678" spans="3:8" ht="15.75" customHeight="1">
      <c r="C678" s="2"/>
      <c r="D678" s="2"/>
      <c r="E678" s="3"/>
      <c r="F678" s="4"/>
      <c r="G678" s="4"/>
      <c r="H678" s="3"/>
    </row>
    <row r="679" spans="3:8" ht="15.75" customHeight="1">
      <c r="C679" s="2"/>
      <c r="D679" s="2"/>
      <c r="E679" s="3"/>
      <c r="F679" s="4"/>
      <c r="G679" s="4"/>
      <c r="H679" s="3"/>
    </row>
    <row r="680" spans="3:8" ht="15.75" customHeight="1">
      <c r="C680" s="2"/>
      <c r="D680" s="2"/>
      <c r="E680" s="3"/>
      <c r="F680" s="4"/>
      <c r="G680" s="4"/>
      <c r="H680" s="3"/>
    </row>
    <row r="681" spans="3:8" ht="15.75" customHeight="1">
      <c r="C681" s="2"/>
      <c r="D681" s="2"/>
      <c r="E681" s="3"/>
      <c r="F681" s="4"/>
      <c r="G681" s="4"/>
      <c r="H681" s="3"/>
    </row>
    <row r="682" spans="3:8" ht="15.75" customHeight="1">
      <c r="C682" s="2"/>
      <c r="D682" s="2"/>
      <c r="E682" s="3"/>
      <c r="F682" s="4"/>
      <c r="G682" s="4"/>
      <c r="H682" s="3"/>
    </row>
    <row r="683" spans="3:8" ht="15.75" customHeight="1">
      <c r="C683" s="2"/>
      <c r="D683" s="2"/>
      <c r="E683" s="3"/>
      <c r="F683" s="4"/>
      <c r="G683" s="4"/>
      <c r="H683" s="3"/>
    </row>
    <row r="684" spans="3:8" ht="15.75" customHeight="1">
      <c r="C684" s="2"/>
      <c r="D684" s="2"/>
      <c r="E684" s="3"/>
      <c r="F684" s="4"/>
      <c r="G684" s="4"/>
      <c r="H684" s="3"/>
    </row>
    <row r="685" spans="3:8" ht="15.75" customHeight="1">
      <c r="C685" s="2"/>
      <c r="D685" s="2"/>
      <c r="E685" s="3"/>
      <c r="F685" s="4"/>
      <c r="G685" s="4"/>
      <c r="H685" s="3"/>
    </row>
    <row r="686" spans="3:8" ht="15.75" customHeight="1">
      <c r="C686" s="2"/>
      <c r="D686" s="2"/>
      <c r="E686" s="3"/>
      <c r="F686" s="4"/>
      <c r="G686" s="4"/>
      <c r="H686" s="3"/>
    </row>
    <row r="687" spans="3:8" ht="15.75" customHeight="1">
      <c r="C687" s="2"/>
      <c r="D687" s="2"/>
      <c r="E687" s="3"/>
      <c r="F687" s="4"/>
      <c r="G687" s="4"/>
      <c r="H687" s="3"/>
    </row>
    <row r="688" spans="3:8" ht="15.75" customHeight="1">
      <c r="C688" s="2"/>
      <c r="D688" s="2"/>
      <c r="E688" s="3"/>
      <c r="F688" s="4"/>
      <c r="G688" s="4"/>
      <c r="H688" s="3"/>
    </row>
    <row r="689" spans="3:8" ht="15.75" customHeight="1">
      <c r="C689" s="2"/>
      <c r="D689" s="2"/>
      <c r="E689" s="3"/>
      <c r="F689" s="4"/>
      <c r="G689" s="4"/>
      <c r="H689" s="3"/>
    </row>
    <row r="690" spans="3:8" ht="15.75" customHeight="1">
      <c r="C690" s="2"/>
      <c r="D690" s="2"/>
      <c r="E690" s="3"/>
      <c r="F690" s="4"/>
      <c r="G690" s="4"/>
      <c r="H690" s="3"/>
    </row>
    <row r="691" spans="3:8" ht="15.75" customHeight="1">
      <c r="C691" s="2"/>
      <c r="D691" s="2"/>
      <c r="E691" s="3"/>
      <c r="F691" s="4"/>
      <c r="G691" s="4"/>
      <c r="H691" s="3"/>
    </row>
    <row r="692" spans="3:8" ht="15.75" customHeight="1">
      <c r="C692" s="2"/>
      <c r="D692" s="2"/>
      <c r="E692" s="3"/>
      <c r="F692" s="4"/>
      <c r="G692" s="4"/>
      <c r="H692" s="3"/>
    </row>
    <row r="693" spans="3:8" ht="15.75" customHeight="1">
      <c r="C693" s="2"/>
      <c r="D693" s="2"/>
      <c r="E693" s="3"/>
      <c r="F693" s="4"/>
      <c r="G693" s="4"/>
      <c r="H693" s="3"/>
    </row>
    <row r="694" spans="3:8" ht="15.75" customHeight="1">
      <c r="C694" s="2"/>
      <c r="D694" s="2"/>
      <c r="E694" s="3"/>
      <c r="F694" s="4"/>
      <c r="G694" s="4"/>
      <c r="H694" s="3"/>
    </row>
    <row r="695" spans="3:8" ht="15.75" customHeight="1">
      <c r="C695" s="2"/>
      <c r="D695" s="2"/>
      <c r="E695" s="3"/>
      <c r="F695" s="4"/>
      <c r="G695" s="4"/>
      <c r="H695" s="3"/>
    </row>
    <row r="696" spans="3:8" ht="15.75" customHeight="1">
      <c r="C696" s="2"/>
      <c r="D696" s="2"/>
      <c r="E696" s="3"/>
      <c r="F696" s="4"/>
      <c r="G696" s="4"/>
      <c r="H696" s="3"/>
    </row>
    <row r="697" spans="3:8" ht="15.75" customHeight="1">
      <c r="C697" s="2"/>
      <c r="D697" s="2"/>
      <c r="E697" s="3"/>
      <c r="F697" s="4"/>
      <c r="G697" s="4"/>
      <c r="H697" s="3"/>
    </row>
    <row r="698" spans="3:8" ht="15.75" customHeight="1">
      <c r="C698" s="2"/>
      <c r="D698" s="2"/>
      <c r="E698" s="3"/>
      <c r="F698" s="4"/>
      <c r="G698" s="4"/>
      <c r="H698" s="3"/>
    </row>
    <row r="699" spans="3:8" ht="15.75" customHeight="1">
      <c r="C699" s="2"/>
      <c r="D699" s="2"/>
      <c r="E699" s="3"/>
      <c r="F699" s="4"/>
      <c r="G699" s="4"/>
      <c r="H699" s="3"/>
    </row>
    <row r="700" spans="3:8" ht="15.75" customHeight="1">
      <c r="C700" s="2"/>
      <c r="D700" s="2"/>
      <c r="E700" s="3"/>
      <c r="F700" s="4"/>
      <c r="G700" s="4"/>
      <c r="H700" s="3"/>
    </row>
    <row r="701" spans="3:8" ht="15.75" customHeight="1">
      <c r="C701" s="2"/>
      <c r="D701" s="2"/>
      <c r="E701" s="3"/>
      <c r="F701" s="4"/>
      <c r="G701" s="4"/>
      <c r="H701" s="3"/>
    </row>
    <row r="702" spans="3:8" ht="15.75" customHeight="1">
      <c r="C702" s="2"/>
      <c r="D702" s="2"/>
      <c r="E702" s="3"/>
      <c r="F702" s="4"/>
      <c r="G702" s="4"/>
      <c r="H702" s="3"/>
    </row>
    <row r="703" spans="3:8" ht="15.75" customHeight="1">
      <c r="C703" s="2"/>
      <c r="D703" s="2"/>
      <c r="E703" s="3"/>
      <c r="F703" s="4"/>
      <c r="G703" s="4"/>
      <c r="H703" s="3"/>
    </row>
    <row r="704" spans="3:8" ht="15.75" customHeight="1">
      <c r="C704" s="2"/>
      <c r="D704" s="2"/>
      <c r="E704" s="3"/>
      <c r="F704" s="4"/>
      <c r="G704" s="4"/>
      <c r="H704" s="3"/>
    </row>
    <row r="705" spans="3:8" ht="15.75" customHeight="1">
      <c r="C705" s="2"/>
      <c r="D705" s="2"/>
      <c r="E705" s="3"/>
      <c r="F705" s="4"/>
      <c r="G705" s="4"/>
      <c r="H705" s="3"/>
    </row>
    <row r="706" spans="3:8" ht="15.75" customHeight="1">
      <c r="C706" s="2"/>
      <c r="D706" s="2"/>
      <c r="E706" s="3"/>
      <c r="F706" s="4"/>
      <c r="G706" s="4"/>
      <c r="H706" s="3"/>
    </row>
    <row r="707" spans="3:8" ht="15.75" customHeight="1">
      <c r="C707" s="2"/>
      <c r="D707" s="2"/>
      <c r="E707" s="3"/>
      <c r="F707" s="4"/>
      <c r="G707" s="4"/>
      <c r="H707" s="3"/>
    </row>
    <row r="708" spans="3:8" ht="15.75" customHeight="1">
      <c r="C708" s="2"/>
      <c r="D708" s="2"/>
      <c r="E708" s="3"/>
      <c r="F708" s="4"/>
      <c r="G708" s="4"/>
      <c r="H708" s="3"/>
    </row>
    <row r="709" spans="3:8" ht="15.75" customHeight="1">
      <c r="C709" s="2"/>
      <c r="D709" s="2"/>
      <c r="E709" s="3"/>
      <c r="F709" s="4"/>
      <c r="G709" s="4"/>
      <c r="H709" s="3"/>
    </row>
    <row r="710" spans="3:8" ht="15.75" customHeight="1">
      <c r="C710" s="2"/>
      <c r="D710" s="2"/>
      <c r="E710" s="3"/>
      <c r="F710" s="4"/>
      <c r="G710" s="4"/>
      <c r="H710" s="3"/>
    </row>
    <row r="711" spans="3:8" ht="15.75" customHeight="1">
      <c r="C711" s="2"/>
      <c r="D711" s="2"/>
      <c r="E711" s="3"/>
      <c r="F711" s="4"/>
      <c r="G711" s="4"/>
      <c r="H711" s="3"/>
    </row>
    <row r="712" spans="3:8" ht="15.75" customHeight="1">
      <c r="C712" s="2"/>
      <c r="D712" s="2"/>
      <c r="E712" s="3"/>
      <c r="F712" s="4"/>
      <c r="G712" s="4"/>
      <c r="H712" s="3"/>
    </row>
    <row r="713" spans="3:8" ht="15.75" customHeight="1">
      <c r="C713" s="2"/>
      <c r="D713" s="2"/>
      <c r="E713" s="3"/>
      <c r="F713" s="4"/>
      <c r="G713" s="4"/>
      <c r="H713" s="3"/>
    </row>
    <row r="714" spans="3:8" ht="15.75" customHeight="1">
      <c r="C714" s="2"/>
      <c r="D714" s="2"/>
      <c r="E714" s="3"/>
      <c r="F714" s="4"/>
      <c r="G714" s="4"/>
      <c r="H714" s="3"/>
    </row>
    <row r="715" spans="3:8" ht="15.75" customHeight="1">
      <c r="C715" s="2"/>
      <c r="D715" s="2"/>
      <c r="E715" s="3"/>
      <c r="F715" s="4"/>
      <c r="G715" s="4"/>
      <c r="H715" s="3"/>
    </row>
    <row r="716" spans="3:8" ht="15.75" customHeight="1">
      <c r="C716" s="2"/>
      <c r="D716" s="2"/>
      <c r="E716" s="3"/>
      <c r="F716" s="4"/>
      <c r="G716" s="4"/>
      <c r="H716" s="3"/>
    </row>
    <row r="717" spans="3:8" ht="15.75" customHeight="1">
      <c r="C717" s="2"/>
      <c r="D717" s="2"/>
      <c r="E717" s="3"/>
      <c r="F717" s="4"/>
      <c r="G717" s="4"/>
      <c r="H717" s="3"/>
    </row>
    <row r="718" spans="3:8" ht="15.75" customHeight="1">
      <c r="C718" s="2"/>
      <c r="D718" s="2"/>
      <c r="E718" s="3"/>
      <c r="F718" s="4"/>
      <c r="G718" s="4"/>
      <c r="H718" s="3"/>
    </row>
    <row r="719" spans="3:8" ht="15.75" customHeight="1">
      <c r="C719" s="2"/>
      <c r="D719" s="2"/>
      <c r="E719" s="3"/>
      <c r="F719" s="4"/>
      <c r="G719" s="4"/>
      <c r="H719" s="3"/>
    </row>
    <row r="720" spans="3:8" ht="15.75" customHeight="1">
      <c r="C720" s="2"/>
      <c r="D720" s="2"/>
      <c r="E720" s="3"/>
      <c r="F720" s="4"/>
      <c r="G720" s="4"/>
      <c r="H720" s="3"/>
    </row>
    <row r="721" spans="3:8" ht="15.75" customHeight="1">
      <c r="C721" s="2"/>
      <c r="D721" s="2"/>
      <c r="E721" s="3"/>
      <c r="F721" s="4"/>
      <c r="G721" s="4"/>
      <c r="H721" s="3"/>
    </row>
    <row r="722" spans="3:8" ht="15.75" customHeight="1">
      <c r="C722" s="2"/>
      <c r="D722" s="2"/>
      <c r="E722" s="3"/>
      <c r="F722" s="4"/>
      <c r="G722" s="4"/>
      <c r="H722" s="3"/>
    </row>
    <row r="723" spans="3:8" ht="15.75" customHeight="1">
      <c r="C723" s="2"/>
      <c r="D723" s="2"/>
      <c r="E723" s="3"/>
      <c r="F723" s="4"/>
      <c r="G723" s="4"/>
      <c r="H723" s="3"/>
    </row>
    <row r="724" spans="3:8" ht="15.75" customHeight="1">
      <c r="C724" s="2"/>
      <c r="D724" s="2"/>
      <c r="E724" s="3"/>
      <c r="F724" s="4"/>
      <c r="G724" s="4"/>
      <c r="H724" s="3"/>
    </row>
    <row r="725" spans="3:8" ht="15.75" customHeight="1">
      <c r="C725" s="2"/>
      <c r="D725" s="2"/>
      <c r="E725" s="3"/>
      <c r="F725" s="4"/>
      <c r="G725" s="4"/>
      <c r="H725" s="3"/>
    </row>
    <row r="726" spans="3:8" ht="15.75" customHeight="1">
      <c r="C726" s="2"/>
      <c r="D726" s="2"/>
      <c r="E726" s="3"/>
      <c r="F726" s="4"/>
      <c r="G726" s="4"/>
      <c r="H726" s="3"/>
    </row>
    <row r="727" spans="3:8" ht="15.75" customHeight="1">
      <c r="C727" s="2"/>
      <c r="D727" s="2"/>
      <c r="E727" s="3"/>
      <c r="F727" s="4"/>
      <c r="G727" s="4"/>
      <c r="H727" s="3"/>
    </row>
    <row r="728" spans="3:8" ht="15.75" customHeight="1">
      <c r="C728" s="2"/>
      <c r="D728" s="2"/>
      <c r="E728" s="3"/>
      <c r="F728" s="4"/>
      <c r="G728" s="4"/>
      <c r="H728" s="3"/>
    </row>
    <row r="729" spans="3:8" ht="15.75" customHeight="1">
      <c r="C729" s="2"/>
      <c r="D729" s="2"/>
      <c r="E729" s="3"/>
      <c r="F729" s="4"/>
      <c r="G729" s="4"/>
      <c r="H729" s="3"/>
    </row>
    <row r="730" spans="3:8" ht="15.75" customHeight="1">
      <c r="C730" s="2"/>
      <c r="D730" s="2"/>
      <c r="E730" s="3"/>
      <c r="F730" s="4"/>
      <c r="G730" s="4"/>
      <c r="H730" s="3"/>
    </row>
    <row r="731" spans="3:8" ht="15.75" customHeight="1">
      <c r="C731" s="2"/>
      <c r="D731" s="2"/>
      <c r="E731" s="3"/>
      <c r="F731" s="4"/>
      <c r="G731" s="4"/>
      <c r="H731" s="3"/>
    </row>
    <row r="732" spans="3:8" ht="15.75" customHeight="1">
      <c r="C732" s="2"/>
      <c r="D732" s="2"/>
      <c r="E732" s="3"/>
      <c r="F732" s="4"/>
      <c r="G732" s="4"/>
      <c r="H732" s="3"/>
    </row>
    <row r="733" spans="3:8" ht="15.75" customHeight="1">
      <c r="C733" s="2"/>
      <c r="D733" s="2"/>
      <c r="E733" s="3"/>
      <c r="F733" s="4"/>
      <c r="G733" s="4"/>
      <c r="H733" s="3"/>
    </row>
    <row r="734" spans="3:8" ht="15.75" customHeight="1">
      <c r="C734" s="2"/>
      <c r="D734" s="2"/>
      <c r="E734" s="3"/>
      <c r="F734" s="4"/>
      <c r="G734" s="4"/>
      <c r="H734" s="3"/>
    </row>
    <row r="735" spans="3:8" ht="15.75" customHeight="1">
      <c r="C735" s="2"/>
      <c r="D735" s="2"/>
      <c r="E735" s="3"/>
      <c r="F735" s="4"/>
      <c r="G735" s="4"/>
      <c r="H735" s="3"/>
    </row>
    <row r="736" spans="3:8" ht="15.75" customHeight="1">
      <c r="C736" s="2"/>
      <c r="D736" s="2"/>
      <c r="E736" s="3"/>
      <c r="F736" s="4"/>
      <c r="G736" s="4"/>
      <c r="H736" s="3"/>
    </row>
    <row r="737" spans="3:8" ht="15.75" customHeight="1">
      <c r="C737" s="2"/>
      <c r="D737" s="2"/>
      <c r="E737" s="3"/>
      <c r="F737" s="4"/>
      <c r="G737" s="4"/>
      <c r="H737" s="3"/>
    </row>
    <row r="738" spans="3:8" ht="15.75" customHeight="1">
      <c r="C738" s="2"/>
      <c r="D738" s="2"/>
      <c r="E738" s="3"/>
      <c r="F738" s="4"/>
      <c r="G738" s="4"/>
      <c r="H738" s="3"/>
    </row>
    <row r="739" spans="3:8" ht="15.75" customHeight="1">
      <c r="C739" s="2"/>
      <c r="D739" s="2"/>
      <c r="E739" s="3"/>
      <c r="F739" s="4"/>
      <c r="G739" s="4"/>
      <c r="H739" s="3"/>
    </row>
    <row r="740" spans="3:8" ht="15.75" customHeight="1">
      <c r="C740" s="2"/>
      <c r="D740" s="2"/>
      <c r="E740" s="3"/>
      <c r="F740" s="4"/>
      <c r="G740" s="4"/>
      <c r="H740" s="3"/>
    </row>
    <row r="741" spans="3:8" ht="15.75" customHeight="1">
      <c r="C741" s="2"/>
      <c r="D741" s="2"/>
      <c r="E741" s="3"/>
      <c r="F741" s="4"/>
      <c r="G741" s="4"/>
      <c r="H741" s="3"/>
    </row>
    <row r="742" spans="3:8" ht="15.75" customHeight="1">
      <c r="C742" s="2"/>
      <c r="D742" s="2"/>
      <c r="E742" s="3"/>
      <c r="F742" s="4"/>
      <c r="G742" s="4"/>
      <c r="H742" s="3"/>
    </row>
    <row r="743" spans="3:8" ht="15.75" customHeight="1">
      <c r="C743" s="2"/>
      <c r="D743" s="2"/>
      <c r="E743" s="3"/>
      <c r="F743" s="4"/>
      <c r="G743" s="4"/>
      <c r="H743" s="3"/>
    </row>
    <row r="744" spans="3:8" ht="15.75" customHeight="1">
      <c r="C744" s="2"/>
      <c r="D744" s="2"/>
      <c r="E744" s="3"/>
      <c r="F744" s="4"/>
      <c r="G744" s="4"/>
      <c r="H744" s="3"/>
    </row>
    <row r="745" spans="3:8" ht="15.75" customHeight="1">
      <c r="C745" s="2"/>
      <c r="D745" s="2"/>
      <c r="E745" s="3"/>
      <c r="F745" s="4"/>
      <c r="G745" s="4"/>
      <c r="H745" s="3"/>
    </row>
    <row r="746" spans="3:8" ht="15.75" customHeight="1">
      <c r="C746" s="2"/>
      <c r="D746" s="2"/>
      <c r="E746" s="3"/>
      <c r="F746" s="4"/>
      <c r="G746" s="4"/>
      <c r="H746" s="3"/>
    </row>
    <row r="747" spans="3:8" ht="15.75" customHeight="1">
      <c r="C747" s="2"/>
      <c r="D747" s="2"/>
      <c r="E747" s="3"/>
      <c r="F747" s="4"/>
      <c r="G747" s="4"/>
      <c r="H747" s="3"/>
    </row>
    <row r="748" spans="3:8" ht="15.75" customHeight="1">
      <c r="C748" s="2"/>
      <c r="D748" s="2"/>
      <c r="E748" s="3"/>
      <c r="F748" s="4"/>
      <c r="G748" s="4"/>
      <c r="H748" s="3"/>
    </row>
    <row r="749" spans="3:8" ht="15.75" customHeight="1">
      <c r="C749" s="2"/>
      <c r="D749" s="2"/>
      <c r="E749" s="3"/>
      <c r="F749" s="4"/>
      <c r="G749" s="4"/>
      <c r="H749" s="3"/>
    </row>
    <row r="750" spans="3:8" ht="15.75" customHeight="1">
      <c r="C750" s="2"/>
      <c r="D750" s="2"/>
      <c r="E750" s="3"/>
      <c r="F750" s="4"/>
      <c r="G750" s="4"/>
      <c r="H750" s="3"/>
    </row>
    <row r="751" spans="3:8" ht="15.75" customHeight="1">
      <c r="C751" s="2"/>
      <c r="D751" s="2"/>
      <c r="E751" s="3"/>
      <c r="F751" s="4"/>
      <c r="G751" s="4"/>
      <c r="H751" s="3"/>
    </row>
    <row r="752" spans="3:8" ht="15.75" customHeight="1">
      <c r="C752" s="2"/>
      <c r="D752" s="2"/>
      <c r="E752" s="3"/>
      <c r="F752" s="4"/>
      <c r="G752" s="4"/>
      <c r="H752" s="3"/>
    </row>
    <row r="753" spans="3:8" ht="15.75" customHeight="1">
      <c r="C753" s="2"/>
      <c r="D753" s="2"/>
      <c r="E753" s="3"/>
      <c r="F753" s="4"/>
      <c r="G753" s="4"/>
      <c r="H753" s="3"/>
    </row>
    <row r="754" spans="3:8" ht="15.75" customHeight="1">
      <c r="C754" s="2"/>
      <c r="D754" s="2"/>
      <c r="E754" s="3"/>
      <c r="F754" s="4"/>
      <c r="G754" s="4"/>
      <c r="H754" s="3"/>
    </row>
    <row r="755" spans="3:8" ht="15.75" customHeight="1">
      <c r="C755" s="2"/>
      <c r="D755" s="2"/>
      <c r="E755" s="3"/>
      <c r="F755" s="4"/>
      <c r="G755" s="4"/>
      <c r="H755" s="3"/>
    </row>
    <row r="756" spans="3:8" ht="15.75" customHeight="1">
      <c r="C756" s="2"/>
      <c r="D756" s="2"/>
      <c r="E756" s="3"/>
      <c r="F756" s="4"/>
      <c r="G756" s="4"/>
      <c r="H756" s="3"/>
    </row>
    <row r="757" spans="3:8" ht="15.75" customHeight="1">
      <c r="C757" s="2"/>
      <c r="D757" s="2"/>
      <c r="E757" s="3"/>
      <c r="F757" s="4"/>
      <c r="G757" s="4"/>
      <c r="H757" s="3"/>
    </row>
    <row r="758" spans="3:8" ht="15.75" customHeight="1">
      <c r="C758" s="2"/>
      <c r="D758" s="2"/>
      <c r="E758" s="3"/>
      <c r="F758" s="4"/>
      <c r="G758" s="4"/>
      <c r="H758" s="3"/>
    </row>
    <row r="759" spans="3:8" ht="15.75" customHeight="1">
      <c r="C759" s="2"/>
      <c r="D759" s="2"/>
      <c r="E759" s="3"/>
      <c r="F759" s="4"/>
      <c r="G759" s="4"/>
      <c r="H759" s="3"/>
    </row>
    <row r="760" spans="3:8" ht="15.75" customHeight="1">
      <c r="C760" s="2"/>
      <c r="D760" s="2"/>
      <c r="E760" s="3"/>
      <c r="F760" s="4"/>
      <c r="G760" s="4"/>
      <c r="H760" s="3"/>
    </row>
    <row r="761" spans="3:8" ht="15.75" customHeight="1">
      <c r="C761" s="2"/>
      <c r="D761" s="2"/>
      <c r="E761" s="3"/>
      <c r="F761" s="4"/>
      <c r="G761" s="4"/>
      <c r="H761" s="3"/>
    </row>
    <row r="762" spans="3:8" ht="15.75" customHeight="1">
      <c r="C762" s="2"/>
      <c r="D762" s="2"/>
      <c r="E762" s="3"/>
      <c r="F762" s="4"/>
      <c r="G762" s="4"/>
      <c r="H762" s="3"/>
    </row>
    <row r="763" spans="3:8" ht="15.75" customHeight="1">
      <c r="C763" s="2"/>
      <c r="D763" s="2"/>
      <c r="E763" s="3"/>
      <c r="F763" s="4"/>
      <c r="G763" s="4"/>
      <c r="H763" s="3"/>
    </row>
    <row r="764" spans="3:8" ht="15.75" customHeight="1">
      <c r="C764" s="2"/>
      <c r="D764" s="2"/>
      <c r="E764" s="3"/>
      <c r="F764" s="4"/>
      <c r="G764" s="4"/>
      <c r="H764" s="3"/>
    </row>
    <row r="765" spans="3:8" ht="15.75" customHeight="1">
      <c r="C765" s="2"/>
      <c r="D765" s="2"/>
      <c r="E765" s="3"/>
      <c r="F765" s="4"/>
      <c r="G765" s="4"/>
      <c r="H765" s="3"/>
    </row>
    <row r="766" spans="3:8" ht="15.75" customHeight="1">
      <c r="C766" s="2"/>
      <c r="D766" s="2"/>
      <c r="E766" s="3"/>
      <c r="F766" s="4"/>
      <c r="G766" s="4"/>
      <c r="H766" s="3"/>
    </row>
    <row r="767" spans="3:8" ht="15.75" customHeight="1">
      <c r="C767" s="2"/>
      <c r="D767" s="2"/>
      <c r="E767" s="3"/>
      <c r="F767" s="4"/>
      <c r="G767" s="4"/>
      <c r="H767" s="3"/>
    </row>
    <row r="768" spans="3:8" ht="15.75" customHeight="1">
      <c r="C768" s="2"/>
      <c r="D768" s="2"/>
      <c r="E768" s="3"/>
      <c r="F768" s="4"/>
      <c r="G768" s="4"/>
      <c r="H768" s="3"/>
    </row>
    <row r="769" spans="3:8" ht="15.75" customHeight="1">
      <c r="C769" s="2"/>
      <c r="D769" s="2"/>
      <c r="E769" s="3"/>
      <c r="F769" s="4"/>
      <c r="G769" s="4"/>
      <c r="H769" s="3"/>
    </row>
    <row r="770" spans="3:8" ht="15.75" customHeight="1">
      <c r="C770" s="2"/>
      <c r="D770" s="2"/>
      <c r="E770" s="3"/>
      <c r="F770" s="4"/>
      <c r="G770" s="4"/>
      <c r="H770" s="3"/>
    </row>
    <row r="771" spans="3:8" ht="15.75" customHeight="1">
      <c r="C771" s="2"/>
      <c r="D771" s="2"/>
      <c r="E771" s="3"/>
      <c r="F771" s="4"/>
      <c r="G771" s="4"/>
      <c r="H771" s="3"/>
    </row>
    <row r="772" spans="3:8" ht="15.75" customHeight="1">
      <c r="C772" s="2"/>
      <c r="D772" s="2"/>
      <c r="E772" s="3"/>
      <c r="F772" s="4"/>
      <c r="G772" s="4"/>
      <c r="H772" s="3"/>
    </row>
    <row r="773" spans="3:8" ht="15.75" customHeight="1">
      <c r="C773" s="2"/>
      <c r="D773" s="2"/>
      <c r="E773" s="3"/>
      <c r="F773" s="4"/>
      <c r="G773" s="4"/>
      <c r="H773" s="3"/>
    </row>
    <row r="774" spans="3:8" ht="15.75" customHeight="1">
      <c r="C774" s="2"/>
      <c r="D774" s="2"/>
      <c r="E774" s="3"/>
      <c r="F774" s="4"/>
      <c r="G774" s="4"/>
      <c r="H774" s="3"/>
    </row>
    <row r="775" spans="3:8" ht="15.75" customHeight="1">
      <c r="C775" s="2"/>
      <c r="D775" s="2"/>
      <c r="E775" s="3"/>
      <c r="F775" s="4"/>
      <c r="G775" s="4"/>
      <c r="H775" s="3"/>
    </row>
    <row r="776" spans="3:8" ht="15.75" customHeight="1">
      <c r="C776" s="2"/>
      <c r="D776" s="2"/>
      <c r="E776" s="3"/>
      <c r="F776" s="4"/>
      <c r="G776" s="4"/>
      <c r="H776" s="3"/>
    </row>
    <row r="777" spans="3:8" ht="15.75" customHeight="1">
      <c r="C777" s="2"/>
      <c r="D777" s="2"/>
      <c r="E777" s="3"/>
      <c r="F777" s="4"/>
      <c r="G777" s="4"/>
      <c r="H777" s="3"/>
    </row>
    <row r="778" spans="3:8" ht="15.75" customHeight="1">
      <c r="C778" s="2"/>
      <c r="D778" s="2"/>
      <c r="E778" s="3"/>
      <c r="F778" s="4"/>
      <c r="G778" s="4"/>
      <c r="H778" s="3"/>
    </row>
    <row r="779" spans="3:8" ht="15.75" customHeight="1">
      <c r="C779" s="2"/>
      <c r="D779" s="2"/>
      <c r="E779" s="3"/>
      <c r="F779" s="4"/>
      <c r="G779" s="4"/>
      <c r="H779" s="3"/>
    </row>
    <row r="780" spans="3:8" ht="15.75" customHeight="1">
      <c r="C780" s="2"/>
      <c r="D780" s="2"/>
      <c r="E780" s="3"/>
      <c r="F780" s="4"/>
      <c r="G780" s="4"/>
      <c r="H780" s="3"/>
    </row>
    <row r="781" spans="3:8" ht="15.75" customHeight="1">
      <c r="C781" s="2"/>
      <c r="D781" s="2"/>
      <c r="E781" s="3"/>
      <c r="F781" s="4"/>
      <c r="G781" s="4"/>
      <c r="H781" s="3"/>
    </row>
    <row r="782" spans="3:8" ht="15.75" customHeight="1">
      <c r="C782" s="2"/>
      <c r="D782" s="2"/>
      <c r="E782" s="3"/>
      <c r="F782" s="4"/>
      <c r="G782" s="4"/>
      <c r="H782" s="3"/>
    </row>
    <row r="783" spans="3:8" ht="15.75" customHeight="1">
      <c r="C783" s="2"/>
      <c r="D783" s="2"/>
      <c r="E783" s="3"/>
      <c r="F783" s="4"/>
      <c r="G783" s="4"/>
      <c r="H783" s="3"/>
    </row>
    <row r="784" spans="3:8" ht="15.75" customHeight="1">
      <c r="C784" s="2"/>
      <c r="D784" s="2"/>
      <c r="E784" s="3"/>
      <c r="F784" s="4"/>
      <c r="G784" s="4"/>
      <c r="H784" s="3"/>
    </row>
    <row r="785" spans="3:8" ht="15.75" customHeight="1">
      <c r="C785" s="2"/>
      <c r="D785" s="2"/>
      <c r="E785" s="3"/>
      <c r="F785" s="4"/>
      <c r="G785" s="4"/>
      <c r="H785" s="3"/>
    </row>
    <row r="786" spans="3:8" ht="15.75" customHeight="1">
      <c r="C786" s="2"/>
      <c r="D786" s="2"/>
      <c r="E786" s="3"/>
      <c r="F786" s="4"/>
      <c r="G786" s="4"/>
      <c r="H786" s="3"/>
    </row>
    <row r="787" spans="3:8" ht="15.75" customHeight="1">
      <c r="C787" s="2"/>
      <c r="D787" s="2"/>
      <c r="E787" s="3"/>
      <c r="F787" s="4"/>
      <c r="G787" s="4"/>
      <c r="H787" s="3"/>
    </row>
    <row r="788" spans="3:8" ht="15.75" customHeight="1">
      <c r="C788" s="2"/>
      <c r="D788" s="2"/>
      <c r="E788" s="3"/>
      <c r="F788" s="4"/>
      <c r="G788" s="4"/>
      <c r="H788" s="3"/>
    </row>
    <row r="789" spans="3:8" ht="15.75" customHeight="1">
      <c r="C789" s="2"/>
      <c r="D789" s="2"/>
      <c r="E789" s="3"/>
      <c r="F789" s="4"/>
      <c r="G789" s="4"/>
      <c r="H789" s="3"/>
    </row>
    <row r="790" spans="3:8" ht="15.75" customHeight="1">
      <c r="C790" s="2"/>
      <c r="D790" s="2"/>
      <c r="E790" s="3"/>
      <c r="F790" s="4"/>
      <c r="G790" s="4"/>
      <c r="H790" s="3"/>
    </row>
    <row r="791" spans="3:8" ht="15.75" customHeight="1">
      <c r="C791" s="2"/>
      <c r="D791" s="2"/>
      <c r="E791" s="3"/>
      <c r="F791" s="4"/>
      <c r="G791" s="4"/>
      <c r="H791" s="3"/>
    </row>
    <row r="792" spans="3:8" ht="15.75" customHeight="1">
      <c r="C792" s="2"/>
      <c r="D792" s="2"/>
      <c r="E792" s="3"/>
      <c r="F792" s="4"/>
      <c r="G792" s="4"/>
      <c r="H792" s="3"/>
    </row>
    <row r="793" spans="3:8" ht="15.75" customHeight="1">
      <c r="C793" s="2"/>
      <c r="D793" s="2"/>
      <c r="E793" s="3"/>
      <c r="F793" s="4"/>
      <c r="G793" s="4"/>
      <c r="H793" s="3"/>
    </row>
    <row r="794" spans="3:8" ht="15.75" customHeight="1">
      <c r="C794" s="2"/>
      <c r="D794" s="2"/>
      <c r="E794" s="3"/>
      <c r="F794" s="4"/>
      <c r="G794" s="4"/>
      <c r="H794" s="3"/>
    </row>
    <row r="795" spans="3:8" ht="15.75" customHeight="1">
      <c r="C795" s="2"/>
      <c r="D795" s="2"/>
      <c r="E795" s="3"/>
      <c r="F795" s="4"/>
      <c r="G795" s="4"/>
      <c r="H795" s="3"/>
    </row>
    <row r="796" spans="3:8" ht="15.75" customHeight="1">
      <c r="C796" s="2"/>
      <c r="D796" s="2"/>
      <c r="E796" s="3"/>
      <c r="F796" s="4"/>
      <c r="G796" s="4"/>
      <c r="H796" s="3"/>
    </row>
    <row r="797" spans="3:8" ht="15.75" customHeight="1">
      <c r="C797" s="2"/>
      <c r="D797" s="2"/>
      <c r="E797" s="3"/>
      <c r="F797" s="4"/>
      <c r="G797" s="4"/>
      <c r="H797" s="3"/>
    </row>
    <row r="798" spans="3:8" ht="15.75" customHeight="1">
      <c r="C798" s="2"/>
      <c r="D798" s="2"/>
      <c r="E798" s="3"/>
      <c r="F798" s="4"/>
      <c r="G798" s="4"/>
      <c r="H798" s="3"/>
    </row>
    <row r="799" spans="3:8" ht="15.75" customHeight="1">
      <c r="C799" s="2"/>
      <c r="D799" s="2"/>
      <c r="E799" s="3"/>
      <c r="F799" s="4"/>
      <c r="G799" s="4"/>
      <c r="H799" s="3"/>
    </row>
    <row r="800" spans="3:8" ht="15.75" customHeight="1">
      <c r="C800" s="2"/>
      <c r="D800" s="2"/>
      <c r="E800" s="3"/>
      <c r="F800" s="4"/>
      <c r="G800" s="4"/>
      <c r="H800" s="3"/>
    </row>
    <row r="801" spans="3:8" ht="15.75" customHeight="1">
      <c r="C801" s="2"/>
      <c r="D801" s="2"/>
      <c r="E801" s="3"/>
      <c r="F801" s="4"/>
      <c r="G801" s="4"/>
      <c r="H801" s="3"/>
    </row>
    <row r="802" spans="3:8" ht="15.75" customHeight="1">
      <c r="C802" s="2"/>
      <c r="D802" s="2"/>
      <c r="E802" s="3"/>
      <c r="F802" s="4"/>
      <c r="G802" s="4"/>
      <c r="H802" s="3"/>
    </row>
    <row r="803" spans="3:8" ht="15.75" customHeight="1">
      <c r="C803" s="2"/>
      <c r="D803" s="2"/>
      <c r="E803" s="3"/>
      <c r="F803" s="4"/>
      <c r="G803" s="4"/>
      <c r="H803" s="3"/>
    </row>
    <row r="804" spans="3:8" ht="15.75" customHeight="1">
      <c r="C804" s="2"/>
      <c r="D804" s="2"/>
      <c r="E804" s="3"/>
      <c r="F804" s="4"/>
      <c r="G804" s="4"/>
      <c r="H804" s="3"/>
    </row>
    <row r="805" spans="3:8" ht="15.75" customHeight="1">
      <c r="C805" s="2"/>
      <c r="D805" s="2"/>
      <c r="E805" s="3"/>
      <c r="F805" s="4"/>
      <c r="G805" s="4"/>
      <c r="H805" s="3"/>
    </row>
    <row r="806" spans="3:8" ht="15.75" customHeight="1">
      <c r="C806" s="2"/>
      <c r="D806" s="2"/>
      <c r="E806" s="3"/>
      <c r="F806" s="4"/>
      <c r="G806" s="4"/>
      <c r="H806" s="3"/>
    </row>
    <row r="807" spans="3:8" ht="15.75" customHeight="1">
      <c r="C807" s="2"/>
      <c r="D807" s="2"/>
      <c r="E807" s="3"/>
      <c r="F807" s="4"/>
      <c r="G807" s="4"/>
      <c r="H807" s="3"/>
    </row>
    <row r="808" spans="3:8" ht="15.75" customHeight="1">
      <c r="C808" s="2"/>
      <c r="D808" s="2"/>
      <c r="E808" s="3"/>
      <c r="F808" s="4"/>
      <c r="G808" s="4"/>
      <c r="H808" s="3"/>
    </row>
    <row r="809" spans="3:8" ht="15.75" customHeight="1">
      <c r="C809" s="2"/>
      <c r="D809" s="2"/>
      <c r="E809" s="3"/>
      <c r="F809" s="4"/>
      <c r="G809" s="4"/>
      <c r="H809" s="3"/>
    </row>
    <row r="810" spans="3:8" ht="15.75" customHeight="1">
      <c r="C810" s="2"/>
      <c r="D810" s="2"/>
      <c r="E810" s="3"/>
      <c r="F810" s="4"/>
      <c r="G810" s="4"/>
      <c r="H810" s="3"/>
    </row>
    <row r="811" spans="3:8" ht="15.75" customHeight="1">
      <c r="C811" s="2"/>
      <c r="D811" s="2"/>
      <c r="E811" s="3"/>
      <c r="F811" s="4"/>
      <c r="G811" s="4"/>
      <c r="H811" s="3"/>
    </row>
    <row r="812" spans="3:8" ht="15.75" customHeight="1">
      <c r="C812" s="2"/>
      <c r="D812" s="2"/>
      <c r="E812" s="3"/>
      <c r="F812" s="4"/>
      <c r="G812" s="4"/>
      <c r="H812" s="3"/>
    </row>
    <row r="813" spans="3:8" ht="15.75" customHeight="1">
      <c r="C813" s="2"/>
      <c r="D813" s="2"/>
      <c r="E813" s="3"/>
      <c r="F813" s="4"/>
      <c r="G813" s="4"/>
      <c r="H813" s="3"/>
    </row>
    <row r="814" spans="3:8" ht="15.75" customHeight="1">
      <c r="C814" s="2"/>
      <c r="D814" s="2"/>
      <c r="E814" s="3"/>
      <c r="F814" s="4"/>
      <c r="G814" s="4"/>
      <c r="H814" s="3"/>
    </row>
    <row r="815" spans="3:8" ht="15.75" customHeight="1">
      <c r="C815" s="2"/>
      <c r="D815" s="2"/>
      <c r="E815" s="3"/>
      <c r="F815" s="4"/>
      <c r="G815" s="4"/>
      <c r="H815" s="3"/>
    </row>
    <row r="816" spans="3:8" ht="15.75" customHeight="1">
      <c r="C816" s="2"/>
      <c r="D816" s="2"/>
      <c r="E816" s="3"/>
      <c r="F816" s="4"/>
      <c r="G816" s="4"/>
      <c r="H816" s="3"/>
    </row>
    <row r="817" spans="3:8" ht="15.75" customHeight="1">
      <c r="C817" s="2"/>
      <c r="D817" s="2"/>
      <c r="E817" s="3"/>
      <c r="F817" s="4"/>
      <c r="G817" s="4"/>
      <c r="H817" s="3"/>
    </row>
    <row r="818" spans="3:8" ht="15.75" customHeight="1">
      <c r="C818" s="2"/>
      <c r="D818" s="2"/>
      <c r="E818" s="3"/>
      <c r="F818" s="4"/>
      <c r="G818" s="4"/>
      <c r="H818" s="3"/>
    </row>
    <row r="819" spans="3:8" ht="15.75" customHeight="1">
      <c r="C819" s="2"/>
      <c r="D819" s="2"/>
      <c r="E819" s="3"/>
      <c r="F819" s="4"/>
      <c r="G819" s="4"/>
      <c r="H819" s="3"/>
    </row>
    <row r="820" spans="3:8" ht="15.75" customHeight="1">
      <c r="C820" s="2"/>
      <c r="D820" s="2"/>
      <c r="E820" s="3"/>
      <c r="F820" s="4"/>
      <c r="G820" s="4"/>
      <c r="H820" s="3"/>
    </row>
    <row r="821" spans="3:8" ht="15.75" customHeight="1">
      <c r="C821" s="2"/>
      <c r="D821" s="2"/>
      <c r="E821" s="3"/>
      <c r="F821" s="4"/>
      <c r="G821" s="4"/>
      <c r="H821" s="3"/>
    </row>
    <row r="822" spans="3:8" ht="15.75" customHeight="1">
      <c r="C822" s="2"/>
      <c r="D822" s="2"/>
      <c r="E822" s="3"/>
      <c r="F822" s="4"/>
      <c r="G822" s="4"/>
      <c r="H822" s="3"/>
    </row>
    <row r="823" spans="3:8" ht="15.75" customHeight="1">
      <c r="C823" s="2"/>
      <c r="D823" s="2"/>
      <c r="E823" s="3"/>
      <c r="F823" s="4"/>
      <c r="G823" s="4"/>
      <c r="H823" s="3"/>
    </row>
    <row r="824" spans="3:8" ht="15.75" customHeight="1">
      <c r="C824" s="2"/>
      <c r="D824" s="2"/>
      <c r="E824" s="3"/>
      <c r="F824" s="4"/>
      <c r="G824" s="4"/>
      <c r="H824" s="3"/>
    </row>
    <row r="825" spans="3:8" ht="15.75" customHeight="1">
      <c r="C825" s="2"/>
      <c r="D825" s="2"/>
      <c r="E825" s="3"/>
      <c r="F825" s="4"/>
      <c r="G825" s="4"/>
      <c r="H825" s="3"/>
    </row>
    <row r="826" spans="3:8" ht="15.75" customHeight="1">
      <c r="C826" s="2"/>
      <c r="D826" s="2"/>
      <c r="E826" s="3"/>
      <c r="F826" s="4"/>
      <c r="G826" s="4"/>
      <c r="H826" s="3"/>
    </row>
    <row r="827" spans="3:8" ht="15.75" customHeight="1">
      <c r="C827" s="2"/>
      <c r="D827" s="2"/>
      <c r="E827" s="3"/>
      <c r="F827" s="4"/>
      <c r="G827" s="4"/>
      <c r="H827" s="3"/>
    </row>
    <row r="828" spans="3:8" ht="15.75" customHeight="1">
      <c r="C828" s="2"/>
      <c r="D828" s="2"/>
      <c r="E828" s="3"/>
      <c r="F828" s="4"/>
      <c r="G828" s="4"/>
      <c r="H828" s="3"/>
    </row>
    <row r="829" spans="3:8" ht="15.75" customHeight="1">
      <c r="C829" s="2"/>
      <c r="D829" s="2"/>
      <c r="E829" s="3"/>
      <c r="F829" s="4"/>
      <c r="G829" s="4"/>
      <c r="H829" s="3"/>
    </row>
    <row r="830" spans="3:8" ht="15.75" customHeight="1">
      <c r="C830" s="2"/>
      <c r="D830" s="2"/>
      <c r="E830" s="3"/>
      <c r="F830" s="4"/>
      <c r="G830" s="4"/>
      <c r="H830" s="3"/>
    </row>
    <row r="831" spans="3:8" ht="15.75" customHeight="1">
      <c r="C831" s="2"/>
      <c r="D831" s="2"/>
      <c r="E831" s="3"/>
      <c r="F831" s="4"/>
      <c r="G831" s="4"/>
      <c r="H831" s="3"/>
    </row>
    <row r="832" spans="3:8" ht="15.75" customHeight="1">
      <c r="C832" s="2"/>
      <c r="D832" s="2"/>
      <c r="E832" s="3"/>
      <c r="F832" s="4"/>
      <c r="G832" s="4"/>
      <c r="H832" s="3"/>
    </row>
    <row r="833" spans="3:8" ht="15.75" customHeight="1">
      <c r="C833" s="2"/>
      <c r="D833" s="2"/>
      <c r="E833" s="3"/>
      <c r="F833" s="4"/>
      <c r="G833" s="4"/>
      <c r="H833" s="3"/>
    </row>
    <row r="834" spans="3:8" ht="15.75" customHeight="1">
      <c r="C834" s="2"/>
      <c r="D834" s="2"/>
      <c r="E834" s="3"/>
      <c r="F834" s="4"/>
      <c r="G834" s="4"/>
      <c r="H834" s="3"/>
    </row>
    <row r="835" spans="3:8" ht="15.75" customHeight="1">
      <c r="C835" s="2"/>
      <c r="D835" s="2"/>
      <c r="E835" s="3"/>
      <c r="F835" s="4"/>
      <c r="G835" s="4"/>
      <c r="H835" s="3"/>
    </row>
    <row r="836" spans="3:8" ht="15.75" customHeight="1">
      <c r="C836" s="2"/>
      <c r="D836" s="2"/>
      <c r="E836" s="3"/>
      <c r="F836" s="4"/>
      <c r="G836" s="4"/>
      <c r="H836" s="3"/>
    </row>
    <row r="837" spans="3:8" ht="15.75" customHeight="1">
      <c r="C837" s="2"/>
      <c r="D837" s="2"/>
      <c r="E837" s="3"/>
      <c r="F837" s="4"/>
      <c r="G837" s="4"/>
      <c r="H837" s="3"/>
    </row>
    <row r="838" spans="3:8" ht="15.75" customHeight="1">
      <c r="C838" s="2"/>
      <c r="D838" s="2"/>
      <c r="E838" s="3"/>
      <c r="F838" s="4"/>
      <c r="G838" s="4"/>
      <c r="H838" s="3"/>
    </row>
    <row r="839" spans="3:8" ht="15.75" customHeight="1">
      <c r="C839" s="2"/>
      <c r="D839" s="2"/>
      <c r="E839" s="3"/>
      <c r="F839" s="4"/>
      <c r="G839" s="4"/>
      <c r="H839" s="3"/>
    </row>
    <row r="840" spans="3:8" ht="15.75" customHeight="1">
      <c r="C840" s="2"/>
      <c r="D840" s="2"/>
      <c r="E840" s="3"/>
      <c r="F840" s="4"/>
      <c r="G840" s="4"/>
      <c r="H840" s="3"/>
    </row>
    <row r="841" spans="3:8" ht="15.75" customHeight="1">
      <c r="C841" s="2"/>
      <c r="D841" s="2"/>
      <c r="E841" s="3"/>
      <c r="F841" s="4"/>
      <c r="G841" s="4"/>
      <c r="H841" s="3"/>
    </row>
    <row r="842" spans="3:8" ht="15.75" customHeight="1">
      <c r="C842" s="2"/>
      <c r="D842" s="2"/>
      <c r="E842" s="3"/>
      <c r="F842" s="4"/>
      <c r="G842" s="4"/>
      <c r="H842" s="3"/>
    </row>
    <row r="843" spans="3:8" ht="15.75" customHeight="1">
      <c r="C843" s="2"/>
      <c r="D843" s="2"/>
      <c r="E843" s="3"/>
      <c r="F843" s="4"/>
      <c r="G843" s="4"/>
      <c r="H843" s="3"/>
    </row>
    <row r="844" spans="3:8" ht="15.75" customHeight="1">
      <c r="C844" s="2"/>
      <c r="D844" s="2"/>
      <c r="E844" s="3"/>
      <c r="F844" s="4"/>
      <c r="G844" s="4"/>
      <c r="H844" s="3"/>
    </row>
    <row r="845" spans="3:8" ht="15.75" customHeight="1">
      <c r="C845" s="2"/>
      <c r="D845" s="2"/>
      <c r="E845" s="3"/>
      <c r="F845" s="4"/>
      <c r="G845" s="4"/>
      <c r="H845" s="3"/>
    </row>
    <row r="846" spans="3:8" ht="15.75" customHeight="1">
      <c r="C846" s="2"/>
      <c r="D846" s="2"/>
      <c r="E846" s="3"/>
      <c r="F846" s="4"/>
      <c r="G846" s="4"/>
      <c r="H846" s="3"/>
    </row>
    <row r="847" spans="3:8" ht="15.75" customHeight="1">
      <c r="C847" s="2"/>
      <c r="D847" s="2"/>
      <c r="E847" s="3"/>
      <c r="F847" s="4"/>
      <c r="G847" s="4"/>
      <c r="H847" s="3"/>
    </row>
    <row r="848" spans="3:8" ht="15.75" customHeight="1">
      <c r="C848" s="2"/>
      <c r="D848" s="2"/>
      <c r="E848" s="3"/>
      <c r="F848" s="4"/>
      <c r="G848" s="4"/>
      <c r="H848" s="3"/>
    </row>
    <row r="849" spans="3:8" ht="15.75" customHeight="1">
      <c r="C849" s="2"/>
      <c r="D849" s="2"/>
      <c r="E849" s="3"/>
      <c r="F849" s="4"/>
      <c r="G849" s="4"/>
      <c r="H849" s="3"/>
    </row>
    <row r="850" spans="3:8" ht="15.75" customHeight="1">
      <c r="C850" s="2"/>
      <c r="D850" s="2"/>
      <c r="E850" s="3"/>
      <c r="F850" s="4"/>
      <c r="G850" s="4"/>
      <c r="H850" s="3"/>
    </row>
    <row r="851" spans="3:8" ht="15.75" customHeight="1">
      <c r="C851" s="2"/>
      <c r="D851" s="2"/>
      <c r="E851" s="3"/>
      <c r="F851" s="4"/>
      <c r="G851" s="4"/>
      <c r="H851" s="3"/>
    </row>
    <row r="852" spans="3:8" ht="15.75" customHeight="1">
      <c r="C852" s="2"/>
      <c r="D852" s="2"/>
      <c r="E852" s="3"/>
      <c r="F852" s="4"/>
      <c r="G852" s="4"/>
      <c r="H852" s="3"/>
    </row>
    <row r="853" spans="3:8" ht="15.75" customHeight="1">
      <c r="C853" s="2"/>
      <c r="D853" s="2"/>
      <c r="E853" s="3"/>
      <c r="F853" s="4"/>
      <c r="G853" s="4"/>
      <c r="H853" s="3"/>
    </row>
    <row r="854" spans="3:8" ht="15.75" customHeight="1">
      <c r="C854" s="2"/>
      <c r="D854" s="2"/>
      <c r="E854" s="3"/>
      <c r="F854" s="4"/>
      <c r="G854" s="4"/>
      <c r="H854" s="3"/>
    </row>
    <row r="855" spans="3:8" ht="15.75" customHeight="1">
      <c r="C855" s="2"/>
      <c r="D855" s="2"/>
      <c r="E855" s="3"/>
      <c r="F855" s="4"/>
      <c r="G855" s="4"/>
      <c r="H855" s="3"/>
    </row>
    <row r="856" spans="3:8" ht="15.75" customHeight="1">
      <c r="C856" s="2"/>
      <c r="D856" s="2"/>
      <c r="E856" s="3"/>
      <c r="F856" s="4"/>
      <c r="G856" s="4"/>
      <c r="H856" s="3"/>
    </row>
    <row r="857" spans="3:8" ht="15.75" customHeight="1">
      <c r="C857" s="2"/>
      <c r="D857" s="2"/>
      <c r="E857" s="3"/>
      <c r="F857" s="4"/>
      <c r="G857" s="4"/>
      <c r="H857" s="3"/>
    </row>
    <row r="858" spans="3:8" ht="15.75" customHeight="1">
      <c r="C858" s="2"/>
      <c r="D858" s="2"/>
      <c r="E858" s="3"/>
      <c r="F858" s="4"/>
      <c r="G858" s="4"/>
      <c r="H858" s="3"/>
    </row>
    <row r="859" spans="3:8" ht="15.75" customHeight="1">
      <c r="C859" s="2"/>
      <c r="D859" s="2"/>
      <c r="E859" s="3"/>
      <c r="F859" s="4"/>
      <c r="G859" s="4"/>
      <c r="H859" s="3"/>
    </row>
    <row r="860" spans="3:8" ht="15.75" customHeight="1">
      <c r="C860" s="2"/>
      <c r="D860" s="2"/>
      <c r="E860" s="3"/>
      <c r="F860" s="4"/>
      <c r="G860" s="4"/>
      <c r="H860" s="3"/>
    </row>
    <row r="861" spans="3:8" ht="15.75" customHeight="1">
      <c r="C861" s="2"/>
      <c r="D861" s="2"/>
      <c r="E861" s="3"/>
      <c r="F861" s="4"/>
      <c r="G861" s="4"/>
      <c r="H861" s="3"/>
    </row>
    <row r="862" spans="3:8" ht="15.75" customHeight="1">
      <c r="C862" s="2"/>
      <c r="D862" s="2"/>
      <c r="E862" s="3"/>
      <c r="F862" s="4"/>
      <c r="G862" s="4"/>
      <c r="H862" s="3"/>
    </row>
    <row r="863" spans="3:8" ht="15.75" customHeight="1">
      <c r="C863" s="2"/>
      <c r="D863" s="2"/>
      <c r="E863" s="3"/>
      <c r="F863" s="4"/>
      <c r="G863" s="4"/>
      <c r="H863" s="3"/>
    </row>
    <row r="864" spans="3:8" ht="15.75" customHeight="1">
      <c r="C864" s="2"/>
      <c r="D864" s="2"/>
      <c r="E864" s="3"/>
      <c r="F864" s="4"/>
      <c r="G864" s="4"/>
      <c r="H864" s="3"/>
    </row>
    <row r="865" spans="3:8" ht="15.75" customHeight="1">
      <c r="C865" s="2"/>
      <c r="D865" s="2"/>
      <c r="E865" s="3"/>
      <c r="F865" s="4"/>
      <c r="G865" s="4"/>
      <c r="H865" s="3"/>
    </row>
    <row r="866" spans="3:8" ht="15.75" customHeight="1">
      <c r="C866" s="2"/>
      <c r="D866" s="2"/>
      <c r="E866" s="3"/>
      <c r="F866" s="4"/>
      <c r="G866" s="4"/>
      <c r="H866" s="3"/>
    </row>
    <row r="867" spans="3:8" ht="15.75" customHeight="1">
      <c r="C867" s="2"/>
      <c r="D867" s="2"/>
      <c r="E867" s="3"/>
      <c r="F867" s="4"/>
      <c r="G867" s="4"/>
      <c r="H867" s="3"/>
    </row>
    <row r="868" spans="3:8" ht="15.75" customHeight="1">
      <c r="C868" s="2"/>
      <c r="D868" s="2"/>
      <c r="E868" s="3"/>
      <c r="F868" s="4"/>
      <c r="G868" s="4"/>
      <c r="H868" s="3"/>
    </row>
    <row r="869" spans="3:8" ht="15.75" customHeight="1">
      <c r="C869" s="2"/>
      <c r="D869" s="2"/>
      <c r="E869" s="3"/>
      <c r="F869" s="4"/>
      <c r="G869" s="4"/>
      <c r="H869" s="3"/>
    </row>
    <row r="870" spans="3:8" ht="15.75" customHeight="1">
      <c r="C870" s="2"/>
      <c r="D870" s="2"/>
      <c r="E870" s="3"/>
      <c r="F870" s="4"/>
      <c r="G870" s="4"/>
      <c r="H870" s="3"/>
    </row>
    <row r="871" spans="3:8" ht="15.75" customHeight="1">
      <c r="C871" s="2"/>
      <c r="D871" s="2"/>
      <c r="E871" s="3"/>
      <c r="F871" s="4"/>
      <c r="G871" s="4"/>
      <c r="H871" s="3"/>
    </row>
    <row r="872" spans="3:8" ht="15.75" customHeight="1">
      <c r="C872" s="2"/>
      <c r="D872" s="2"/>
      <c r="E872" s="3"/>
      <c r="F872" s="4"/>
      <c r="G872" s="4"/>
      <c r="H872" s="3"/>
    </row>
    <row r="873" spans="3:8" ht="15.75" customHeight="1">
      <c r="C873" s="2"/>
      <c r="D873" s="2"/>
      <c r="E873" s="3"/>
      <c r="F873" s="4"/>
      <c r="G873" s="4"/>
      <c r="H873" s="3"/>
    </row>
    <row r="874" spans="3:8" ht="15.75" customHeight="1">
      <c r="C874" s="2"/>
      <c r="D874" s="2"/>
      <c r="E874" s="3"/>
      <c r="F874" s="4"/>
      <c r="G874" s="4"/>
      <c r="H874" s="3"/>
    </row>
    <row r="875" spans="3:8" ht="15.75" customHeight="1">
      <c r="C875" s="2"/>
      <c r="D875" s="2"/>
      <c r="E875" s="3"/>
      <c r="F875" s="4"/>
      <c r="G875" s="4"/>
      <c r="H875" s="3"/>
    </row>
    <row r="876" spans="3:8" ht="15.75" customHeight="1">
      <c r="C876" s="2"/>
      <c r="D876" s="2"/>
      <c r="E876" s="3"/>
      <c r="F876" s="4"/>
      <c r="G876" s="4"/>
      <c r="H876" s="3"/>
    </row>
    <row r="877" spans="3:8" ht="15.75" customHeight="1">
      <c r="C877" s="2"/>
      <c r="D877" s="2"/>
      <c r="E877" s="3"/>
      <c r="F877" s="4"/>
      <c r="G877" s="4"/>
      <c r="H877" s="3"/>
    </row>
    <row r="878" spans="3:8" ht="15.75" customHeight="1">
      <c r="C878" s="2"/>
      <c r="D878" s="2"/>
      <c r="E878" s="3"/>
      <c r="F878" s="4"/>
      <c r="G878" s="4"/>
      <c r="H878" s="3"/>
    </row>
    <row r="879" spans="3:8" ht="15.75" customHeight="1">
      <c r="C879" s="2"/>
      <c r="D879" s="2"/>
      <c r="E879" s="3"/>
      <c r="F879" s="4"/>
      <c r="G879" s="4"/>
      <c r="H879" s="3"/>
    </row>
    <row r="880" spans="3:8" ht="15.75" customHeight="1">
      <c r="C880" s="2"/>
      <c r="D880" s="2"/>
      <c r="E880" s="3"/>
      <c r="F880" s="4"/>
      <c r="G880" s="4"/>
      <c r="H880" s="3"/>
    </row>
    <row r="881" spans="3:8" ht="15.75" customHeight="1">
      <c r="C881" s="2"/>
      <c r="D881" s="2"/>
      <c r="E881" s="3"/>
      <c r="F881" s="4"/>
      <c r="G881" s="4"/>
      <c r="H881" s="3"/>
    </row>
    <row r="882" spans="3:8" ht="15.75" customHeight="1">
      <c r="C882" s="2"/>
      <c r="D882" s="2"/>
      <c r="E882" s="3"/>
      <c r="F882" s="4"/>
      <c r="G882" s="4"/>
      <c r="H882" s="3"/>
    </row>
    <row r="883" spans="3:8" ht="15.75" customHeight="1">
      <c r="C883" s="2"/>
      <c r="D883" s="2"/>
      <c r="E883" s="3"/>
      <c r="F883" s="4"/>
      <c r="G883" s="4"/>
      <c r="H883" s="3"/>
    </row>
    <row r="884" spans="3:8" ht="15.75" customHeight="1">
      <c r="C884" s="2"/>
      <c r="D884" s="2"/>
      <c r="E884" s="3"/>
      <c r="F884" s="4"/>
      <c r="G884" s="4"/>
      <c r="H884" s="3"/>
    </row>
    <row r="885" spans="3:8" ht="15.75" customHeight="1">
      <c r="C885" s="2"/>
      <c r="D885" s="2"/>
      <c r="E885" s="3"/>
      <c r="F885" s="4"/>
      <c r="G885" s="4"/>
      <c r="H885" s="3"/>
    </row>
    <row r="886" spans="3:8" ht="15.75" customHeight="1">
      <c r="C886" s="2"/>
      <c r="D886" s="2"/>
      <c r="E886" s="3"/>
      <c r="F886" s="4"/>
      <c r="G886" s="4"/>
      <c r="H886" s="3"/>
    </row>
    <row r="887" spans="3:8" ht="15.75" customHeight="1">
      <c r="C887" s="2"/>
      <c r="D887" s="2"/>
      <c r="E887" s="3"/>
      <c r="F887" s="4"/>
      <c r="G887" s="4"/>
      <c r="H887" s="3"/>
    </row>
    <row r="888" spans="3:8" ht="15.75" customHeight="1">
      <c r="C888" s="2"/>
      <c r="D888" s="2"/>
      <c r="E888" s="3"/>
      <c r="F888" s="4"/>
      <c r="G888" s="4"/>
      <c r="H888" s="3"/>
    </row>
    <row r="889" spans="3:8" ht="15.75" customHeight="1">
      <c r="C889" s="2"/>
      <c r="D889" s="2"/>
      <c r="E889" s="3"/>
      <c r="F889" s="4"/>
      <c r="G889" s="4"/>
      <c r="H889" s="3"/>
    </row>
    <row r="890" spans="3:8" ht="15.75" customHeight="1">
      <c r="C890" s="2"/>
      <c r="D890" s="2"/>
      <c r="E890" s="3"/>
      <c r="F890" s="4"/>
      <c r="G890" s="4"/>
      <c r="H890" s="3"/>
    </row>
    <row r="891" spans="3:8" ht="15.75" customHeight="1">
      <c r="C891" s="2"/>
      <c r="D891" s="2"/>
      <c r="E891" s="3"/>
      <c r="F891" s="4"/>
      <c r="G891" s="4"/>
      <c r="H891" s="3"/>
    </row>
    <row r="892" spans="3:8" ht="15.75" customHeight="1">
      <c r="C892" s="2"/>
      <c r="D892" s="2"/>
      <c r="E892" s="3"/>
      <c r="F892" s="4"/>
      <c r="G892" s="4"/>
      <c r="H892" s="3"/>
    </row>
    <row r="893" spans="3:8" ht="15.75" customHeight="1">
      <c r="C893" s="2"/>
      <c r="D893" s="2"/>
      <c r="E893" s="3"/>
      <c r="F893" s="4"/>
      <c r="G893" s="4"/>
      <c r="H893" s="3"/>
    </row>
    <row r="894" spans="3:8" ht="15.75" customHeight="1">
      <c r="C894" s="2"/>
      <c r="D894" s="2"/>
      <c r="E894" s="3"/>
      <c r="F894" s="4"/>
      <c r="G894" s="4"/>
      <c r="H894" s="3"/>
    </row>
    <row r="895" spans="3:8" ht="15.75" customHeight="1">
      <c r="C895" s="2"/>
      <c r="D895" s="2"/>
      <c r="E895" s="3"/>
      <c r="F895" s="4"/>
      <c r="G895" s="4"/>
      <c r="H895" s="3"/>
    </row>
    <row r="896" spans="3:8" ht="15.75" customHeight="1">
      <c r="C896" s="2"/>
      <c r="D896" s="2"/>
      <c r="E896" s="3"/>
      <c r="F896" s="4"/>
      <c r="G896" s="4"/>
      <c r="H896" s="3"/>
    </row>
    <row r="897" spans="3:8" ht="15.75" customHeight="1">
      <c r="C897" s="2"/>
      <c r="D897" s="2"/>
      <c r="E897" s="3"/>
      <c r="F897" s="4"/>
      <c r="G897" s="4"/>
      <c r="H897" s="3"/>
    </row>
    <row r="898" spans="3:8" ht="15.75" customHeight="1">
      <c r="C898" s="2"/>
      <c r="D898" s="2"/>
      <c r="E898" s="3"/>
      <c r="F898" s="4"/>
      <c r="G898" s="4"/>
      <c r="H898" s="3"/>
    </row>
    <row r="899" spans="3:8" ht="15.75" customHeight="1">
      <c r="C899" s="2"/>
      <c r="D899" s="2"/>
      <c r="E899" s="3"/>
      <c r="F899" s="4"/>
      <c r="G899" s="4"/>
      <c r="H899" s="3"/>
    </row>
    <row r="900" spans="3:8" ht="15.75" customHeight="1">
      <c r="C900" s="2"/>
      <c r="D900" s="2"/>
      <c r="E900" s="3"/>
      <c r="F900" s="4"/>
      <c r="G900" s="4"/>
      <c r="H900" s="3"/>
    </row>
    <row r="901" spans="3:8" ht="15.75" customHeight="1">
      <c r="C901" s="2"/>
      <c r="D901" s="2"/>
      <c r="E901" s="3"/>
      <c r="F901" s="4"/>
      <c r="G901" s="4"/>
      <c r="H901" s="3"/>
    </row>
    <row r="902" spans="3:8" ht="15.75" customHeight="1">
      <c r="C902" s="2"/>
      <c r="D902" s="2"/>
      <c r="E902" s="3"/>
      <c r="F902" s="4"/>
      <c r="G902" s="4"/>
      <c r="H902" s="3"/>
    </row>
    <row r="903" spans="3:8" ht="15.75" customHeight="1">
      <c r="C903" s="2"/>
      <c r="D903" s="2"/>
      <c r="E903" s="3"/>
      <c r="F903" s="4"/>
      <c r="G903" s="4"/>
      <c r="H903" s="3"/>
    </row>
    <row r="904" spans="3:8" ht="15.75" customHeight="1">
      <c r="C904" s="2"/>
      <c r="D904" s="2"/>
      <c r="E904" s="3"/>
      <c r="F904" s="4"/>
      <c r="G904" s="4"/>
      <c r="H904" s="3"/>
    </row>
    <row r="905" spans="3:8" ht="15.75" customHeight="1">
      <c r="C905" s="2"/>
      <c r="D905" s="2"/>
      <c r="E905" s="3"/>
      <c r="F905" s="4"/>
      <c r="G905" s="4"/>
      <c r="H905" s="3"/>
    </row>
    <row r="906" spans="3:8" ht="15.75" customHeight="1">
      <c r="C906" s="2"/>
      <c r="D906" s="2"/>
      <c r="E906" s="3"/>
      <c r="F906" s="4"/>
      <c r="G906" s="4"/>
      <c r="H906" s="3"/>
    </row>
    <row r="907" spans="3:8" ht="15.75" customHeight="1">
      <c r="C907" s="2"/>
      <c r="D907" s="2"/>
      <c r="E907" s="3"/>
      <c r="F907" s="4"/>
      <c r="G907" s="4"/>
      <c r="H907" s="3"/>
    </row>
    <row r="908" spans="3:8" ht="15.75" customHeight="1">
      <c r="C908" s="2"/>
      <c r="D908" s="2"/>
      <c r="E908" s="3"/>
      <c r="F908" s="4"/>
      <c r="G908" s="4"/>
      <c r="H908" s="3"/>
    </row>
    <row r="909" spans="3:8" ht="15.75" customHeight="1">
      <c r="C909" s="2"/>
      <c r="D909" s="2"/>
      <c r="E909" s="3"/>
      <c r="F909" s="4"/>
      <c r="G909" s="4"/>
      <c r="H909" s="3"/>
    </row>
    <row r="910" spans="3:8" ht="15.75" customHeight="1">
      <c r="C910" s="2"/>
      <c r="D910" s="2"/>
      <c r="E910" s="3"/>
      <c r="F910" s="4"/>
      <c r="G910" s="4"/>
      <c r="H910" s="3"/>
    </row>
    <row r="911" spans="3:8" ht="15.75" customHeight="1">
      <c r="C911" s="2"/>
      <c r="D911" s="2"/>
      <c r="E911" s="3"/>
      <c r="F911" s="4"/>
      <c r="G911" s="4"/>
      <c r="H911" s="3"/>
    </row>
    <row r="912" spans="3:8" ht="15.75" customHeight="1">
      <c r="C912" s="2"/>
      <c r="D912" s="2"/>
      <c r="E912" s="3"/>
      <c r="F912" s="4"/>
      <c r="G912" s="4"/>
      <c r="H912" s="3"/>
    </row>
    <row r="913" spans="3:8" ht="15.75" customHeight="1">
      <c r="C913" s="2"/>
      <c r="D913" s="2"/>
      <c r="E913" s="3"/>
      <c r="F913" s="4"/>
      <c r="G913" s="4"/>
      <c r="H913" s="3"/>
    </row>
    <row r="914" spans="3:8" ht="15.75" customHeight="1">
      <c r="C914" s="2"/>
      <c r="D914" s="2"/>
      <c r="E914" s="3"/>
      <c r="F914" s="4"/>
      <c r="G914" s="4"/>
      <c r="H914" s="3"/>
    </row>
    <row r="915" spans="3:8" ht="15.75" customHeight="1">
      <c r="C915" s="2"/>
      <c r="D915" s="2"/>
      <c r="E915" s="3"/>
      <c r="F915" s="4"/>
      <c r="G915" s="4"/>
      <c r="H915" s="3"/>
    </row>
    <row r="916" spans="3:8" ht="15.75" customHeight="1">
      <c r="C916" s="2"/>
      <c r="D916" s="2"/>
      <c r="E916" s="3"/>
      <c r="F916" s="4"/>
      <c r="G916" s="4"/>
      <c r="H916" s="3"/>
    </row>
    <row r="917" spans="3:8" ht="15.75" customHeight="1">
      <c r="C917" s="2"/>
      <c r="D917" s="2"/>
      <c r="E917" s="3"/>
      <c r="F917" s="4"/>
      <c r="G917" s="4"/>
      <c r="H917" s="3"/>
    </row>
    <row r="918" spans="3:8" ht="15.75" customHeight="1">
      <c r="C918" s="2"/>
      <c r="D918" s="2"/>
      <c r="E918" s="3"/>
      <c r="F918" s="4"/>
      <c r="G918" s="4"/>
      <c r="H918" s="3"/>
    </row>
    <row r="919" spans="3:8" ht="15.75" customHeight="1">
      <c r="C919" s="2"/>
      <c r="D919" s="2"/>
      <c r="E919" s="3"/>
      <c r="F919" s="4"/>
      <c r="G919" s="4"/>
      <c r="H919" s="3"/>
    </row>
    <row r="920" spans="3:8" ht="15.75" customHeight="1">
      <c r="C920" s="2"/>
      <c r="D920" s="2"/>
      <c r="E920" s="3"/>
      <c r="F920" s="4"/>
      <c r="G920" s="4"/>
      <c r="H920" s="3"/>
    </row>
    <row r="921" spans="3:8" ht="15.75" customHeight="1">
      <c r="C921" s="2"/>
      <c r="D921" s="2"/>
      <c r="E921" s="3"/>
      <c r="F921" s="4"/>
      <c r="G921" s="4"/>
      <c r="H921" s="3"/>
    </row>
    <row r="922" spans="3:8" ht="15.75" customHeight="1">
      <c r="C922" s="2"/>
      <c r="D922" s="2"/>
      <c r="E922" s="3"/>
      <c r="F922" s="4"/>
      <c r="G922" s="4"/>
      <c r="H922" s="3"/>
    </row>
    <row r="923" spans="3:8" ht="15.75" customHeight="1">
      <c r="C923" s="2"/>
      <c r="D923" s="2"/>
      <c r="E923" s="3"/>
      <c r="F923" s="4"/>
      <c r="G923" s="4"/>
      <c r="H923" s="3"/>
    </row>
    <row r="924" spans="3:8" ht="15.75" customHeight="1">
      <c r="C924" s="2"/>
      <c r="D924" s="2"/>
      <c r="E924" s="3"/>
      <c r="F924" s="4"/>
      <c r="G924" s="4"/>
      <c r="H924" s="3"/>
    </row>
    <row r="925" spans="3:8" ht="15.75" customHeight="1">
      <c r="C925" s="2"/>
      <c r="D925" s="2"/>
      <c r="E925" s="3"/>
      <c r="F925" s="4"/>
      <c r="G925" s="4"/>
      <c r="H925" s="3"/>
    </row>
    <row r="926" spans="3:8" ht="15.75" customHeight="1">
      <c r="C926" s="2"/>
      <c r="D926" s="2"/>
      <c r="E926" s="3"/>
      <c r="F926" s="4"/>
      <c r="G926" s="4"/>
      <c r="H926" s="3"/>
    </row>
    <row r="927" spans="3:8" ht="15.75" customHeight="1">
      <c r="C927" s="2"/>
      <c r="D927" s="2"/>
      <c r="E927" s="3"/>
      <c r="F927" s="4"/>
      <c r="G927" s="4"/>
      <c r="H927" s="3"/>
    </row>
    <row r="928" spans="3:8" ht="15.75" customHeight="1">
      <c r="C928" s="2"/>
      <c r="D928" s="2"/>
      <c r="E928" s="3"/>
      <c r="F928" s="4"/>
      <c r="G928" s="4"/>
      <c r="H928" s="3"/>
    </row>
    <row r="929" spans="3:8" ht="15.75" customHeight="1">
      <c r="C929" s="2"/>
      <c r="D929" s="2"/>
      <c r="E929" s="3"/>
      <c r="F929" s="4"/>
      <c r="G929" s="4"/>
      <c r="H929" s="3"/>
    </row>
    <row r="930" spans="3:8" ht="15.75" customHeight="1">
      <c r="C930" s="2"/>
      <c r="D930" s="2"/>
      <c r="E930" s="3"/>
      <c r="F930" s="4"/>
      <c r="G930" s="4"/>
      <c r="H930" s="3"/>
    </row>
    <row r="931" spans="3:8" ht="15.75" customHeight="1">
      <c r="C931" s="2"/>
      <c r="D931" s="2"/>
      <c r="E931" s="3"/>
      <c r="F931" s="4"/>
      <c r="G931" s="4"/>
      <c r="H931" s="3"/>
    </row>
    <row r="932" spans="3:8" ht="15.75" customHeight="1">
      <c r="C932" s="2"/>
      <c r="D932" s="2"/>
      <c r="E932" s="3"/>
      <c r="F932" s="4"/>
      <c r="G932" s="4"/>
      <c r="H932" s="3"/>
    </row>
    <row r="933" spans="3:8" ht="15.75" customHeight="1">
      <c r="C933" s="2"/>
      <c r="D933" s="2"/>
      <c r="E933" s="3"/>
      <c r="F933" s="4"/>
      <c r="G933" s="4"/>
      <c r="H933" s="3"/>
    </row>
    <row r="934" spans="3:8" ht="15.75" customHeight="1">
      <c r="C934" s="2"/>
      <c r="D934" s="2"/>
      <c r="E934" s="3"/>
      <c r="F934" s="4"/>
      <c r="G934" s="4"/>
      <c r="H934" s="3"/>
    </row>
    <row r="935" spans="3:8" ht="15.75" customHeight="1">
      <c r="C935" s="2"/>
      <c r="D935" s="2"/>
      <c r="E935" s="3"/>
      <c r="F935" s="4"/>
      <c r="G935" s="4"/>
      <c r="H935" s="3"/>
    </row>
    <row r="936" spans="3:8" ht="15.75" customHeight="1">
      <c r="C936" s="2"/>
      <c r="D936" s="2"/>
      <c r="E936" s="3"/>
      <c r="F936" s="4"/>
      <c r="G936" s="4"/>
      <c r="H936" s="3"/>
    </row>
    <row r="937" spans="3:8" ht="15.75" customHeight="1">
      <c r="C937" s="2"/>
      <c r="D937" s="2"/>
      <c r="E937" s="3"/>
      <c r="F937" s="4"/>
      <c r="G937" s="4"/>
      <c r="H937" s="3"/>
    </row>
    <row r="938" spans="3:8" ht="15.75" customHeight="1">
      <c r="C938" s="2"/>
      <c r="D938" s="2"/>
      <c r="E938" s="3"/>
      <c r="F938" s="4"/>
      <c r="G938" s="4"/>
      <c r="H938" s="3"/>
    </row>
    <row r="939" spans="3:8" ht="15.75" customHeight="1">
      <c r="C939" s="2"/>
      <c r="D939" s="2"/>
      <c r="E939" s="3"/>
      <c r="F939" s="4"/>
      <c r="G939" s="4"/>
      <c r="H939" s="3"/>
    </row>
    <row r="940" spans="3:8" ht="15.75" customHeight="1">
      <c r="C940" s="2"/>
      <c r="D940" s="2"/>
      <c r="E940" s="3"/>
      <c r="F940" s="4"/>
      <c r="G940" s="4"/>
      <c r="H940" s="3"/>
    </row>
    <row r="941" spans="3:8" ht="15.75" customHeight="1">
      <c r="C941" s="2"/>
      <c r="D941" s="2"/>
      <c r="E941" s="3"/>
      <c r="F941" s="4"/>
      <c r="G941" s="4"/>
      <c r="H941" s="3"/>
    </row>
    <row r="942" spans="3:8" ht="15.75" customHeight="1">
      <c r="C942" s="2"/>
      <c r="D942" s="2"/>
      <c r="E942" s="3"/>
      <c r="F942" s="4"/>
      <c r="G942" s="4"/>
      <c r="H942" s="3"/>
    </row>
    <row r="943" spans="3:8" ht="15.75" customHeight="1">
      <c r="C943" s="2"/>
      <c r="D943" s="2"/>
      <c r="E943" s="3"/>
      <c r="F943" s="4"/>
      <c r="G943" s="4"/>
      <c r="H943" s="3"/>
    </row>
    <row r="944" spans="3:8" ht="15.75" customHeight="1">
      <c r="C944" s="2"/>
      <c r="D944" s="2"/>
      <c r="E944" s="3"/>
      <c r="F944" s="4"/>
      <c r="G944" s="4"/>
      <c r="H944" s="3"/>
    </row>
    <row r="945" spans="3:8" ht="15.75" customHeight="1">
      <c r="C945" s="2"/>
      <c r="D945" s="2"/>
      <c r="E945" s="3"/>
      <c r="F945" s="4"/>
      <c r="G945" s="4"/>
      <c r="H945" s="3"/>
    </row>
    <row r="946" spans="3:8" ht="15.75" customHeight="1">
      <c r="C946" s="2"/>
      <c r="D946" s="2"/>
      <c r="E946" s="3"/>
      <c r="F946" s="4"/>
      <c r="G946" s="4"/>
      <c r="H946" s="3"/>
    </row>
    <row r="947" spans="3:8" ht="15.75" customHeight="1">
      <c r="C947" s="2"/>
      <c r="D947" s="2"/>
      <c r="E947" s="3"/>
      <c r="F947" s="4"/>
      <c r="G947" s="4"/>
      <c r="H947" s="3"/>
    </row>
    <row r="948" spans="3:8" ht="15.75" customHeight="1">
      <c r="C948" s="2"/>
      <c r="D948" s="2"/>
      <c r="E948" s="3"/>
      <c r="F948" s="4"/>
      <c r="G948" s="4"/>
      <c r="H948" s="3"/>
    </row>
    <row r="949" spans="3:8" ht="15.75" customHeight="1">
      <c r="C949" s="2"/>
      <c r="D949" s="2"/>
      <c r="E949" s="3"/>
      <c r="F949" s="4"/>
      <c r="G949" s="4"/>
      <c r="H949" s="3"/>
    </row>
    <row r="950" spans="3:8" ht="15.75" customHeight="1">
      <c r="C950" s="2"/>
      <c r="D950" s="2"/>
      <c r="E950" s="3"/>
      <c r="F950" s="4"/>
      <c r="G950" s="4"/>
      <c r="H950" s="3"/>
    </row>
    <row r="951" spans="3:8" ht="15.75" customHeight="1">
      <c r="C951" s="2"/>
      <c r="D951" s="2"/>
      <c r="E951" s="3"/>
      <c r="F951" s="4"/>
      <c r="G951" s="4"/>
      <c r="H951" s="3"/>
    </row>
    <row r="952" spans="3:8" ht="15.75" customHeight="1">
      <c r="C952" s="2"/>
      <c r="D952" s="2"/>
      <c r="E952" s="3"/>
      <c r="F952" s="4"/>
      <c r="G952" s="4"/>
      <c r="H952" s="3"/>
    </row>
    <row r="953" spans="3:8" ht="15.75" customHeight="1">
      <c r="C953" s="2"/>
      <c r="D953" s="2"/>
      <c r="E953" s="3"/>
      <c r="F953" s="4"/>
      <c r="G953" s="4"/>
      <c r="H953" s="3"/>
    </row>
    <row r="954" spans="3:8" ht="15.75" customHeight="1">
      <c r="C954" s="2"/>
      <c r="D954" s="2"/>
      <c r="E954" s="3"/>
      <c r="F954" s="4"/>
      <c r="G954" s="4"/>
      <c r="H954" s="3"/>
    </row>
    <row r="955" spans="3:8" ht="15.75" customHeight="1">
      <c r="C955" s="2"/>
      <c r="D955" s="2"/>
      <c r="E955" s="3"/>
      <c r="F955" s="4"/>
      <c r="G955" s="4"/>
      <c r="H955" s="3"/>
    </row>
    <row r="956" spans="3:8" ht="15.75" customHeight="1">
      <c r="C956" s="2"/>
      <c r="D956" s="2"/>
      <c r="E956" s="3"/>
      <c r="F956" s="4"/>
      <c r="G956" s="4"/>
      <c r="H956" s="3"/>
    </row>
    <row r="957" spans="3:8" ht="15.75" customHeight="1">
      <c r="C957" s="2"/>
      <c r="D957" s="2"/>
      <c r="E957" s="3"/>
      <c r="F957" s="4"/>
      <c r="G957" s="4"/>
      <c r="H957" s="3"/>
    </row>
    <row r="958" spans="3:8" ht="15.75" customHeight="1">
      <c r="C958" s="2"/>
      <c r="D958" s="2"/>
      <c r="E958" s="3"/>
      <c r="F958" s="4"/>
      <c r="G958" s="4"/>
      <c r="H958" s="3"/>
    </row>
    <row r="959" spans="3:8" ht="15.75" customHeight="1">
      <c r="C959" s="2"/>
      <c r="D959" s="2"/>
      <c r="E959" s="3"/>
      <c r="F959" s="4"/>
      <c r="G959" s="4"/>
      <c r="H959" s="3"/>
    </row>
    <row r="960" spans="3:8" ht="15.75" customHeight="1">
      <c r="C960" s="2"/>
      <c r="D960" s="2"/>
      <c r="E960" s="3"/>
      <c r="F960" s="4"/>
      <c r="G960" s="4"/>
      <c r="H960" s="3"/>
    </row>
    <row r="961" spans="3:8" ht="15.75" customHeight="1">
      <c r="C961" s="2"/>
      <c r="D961" s="2"/>
      <c r="E961" s="3"/>
      <c r="F961" s="4"/>
      <c r="G961" s="4"/>
      <c r="H961" s="3"/>
    </row>
    <row r="962" spans="3:8" ht="15.75" customHeight="1">
      <c r="C962" s="2"/>
      <c r="D962" s="2"/>
      <c r="E962" s="3"/>
      <c r="F962" s="4"/>
      <c r="G962" s="4"/>
      <c r="H962" s="3"/>
    </row>
    <row r="963" spans="3:8" ht="15.75" customHeight="1">
      <c r="C963" s="2"/>
      <c r="D963" s="2"/>
      <c r="E963" s="3"/>
      <c r="F963" s="4"/>
      <c r="G963" s="4"/>
      <c r="H963" s="3"/>
    </row>
    <row r="964" spans="3:8" ht="15.75" customHeight="1">
      <c r="C964" s="2"/>
      <c r="D964" s="2"/>
      <c r="E964" s="3"/>
      <c r="F964" s="4"/>
      <c r="G964" s="4"/>
      <c r="H964" s="3"/>
    </row>
    <row r="965" spans="3:8" ht="15.75" customHeight="1">
      <c r="C965" s="2"/>
      <c r="D965" s="2"/>
      <c r="E965" s="3"/>
      <c r="F965" s="4"/>
      <c r="G965" s="4"/>
      <c r="H965" s="3"/>
    </row>
    <row r="966" spans="3:8" ht="15.75" customHeight="1">
      <c r="C966" s="2"/>
      <c r="D966" s="2"/>
      <c r="E966" s="3"/>
      <c r="F966" s="4"/>
      <c r="G966" s="4"/>
      <c r="H966" s="3"/>
    </row>
    <row r="967" spans="3:8" ht="15.75" customHeight="1">
      <c r="C967" s="2"/>
      <c r="D967" s="2"/>
      <c r="E967" s="3"/>
      <c r="F967" s="4"/>
      <c r="G967" s="4"/>
      <c r="H967" s="3"/>
    </row>
    <row r="968" spans="3:8" ht="15.75" customHeight="1">
      <c r="C968" s="2"/>
      <c r="D968" s="2"/>
      <c r="E968" s="3"/>
      <c r="F968" s="4"/>
      <c r="G968" s="4"/>
      <c r="H968" s="3"/>
    </row>
    <row r="969" spans="3:8" ht="15.75" customHeight="1">
      <c r="C969" s="2"/>
      <c r="D969" s="2"/>
      <c r="E969" s="3"/>
      <c r="F969" s="4"/>
      <c r="G969" s="4"/>
      <c r="H969" s="3"/>
    </row>
    <row r="970" spans="3:8" ht="15.75" customHeight="1">
      <c r="C970" s="2"/>
      <c r="D970" s="2"/>
      <c r="E970" s="3"/>
      <c r="F970" s="4"/>
      <c r="G970" s="4"/>
      <c r="H970" s="3"/>
    </row>
    <row r="971" spans="3:8" ht="15.75" customHeight="1">
      <c r="C971" s="2"/>
      <c r="D971" s="2"/>
      <c r="E971" s="3"/>
      <c r="F971" s="4"/>
      <c r="G971" s="4"/>
      <c r="H971" s="3"/>
    </row>
    <row r="972" spans="3:8" ht="15.75" customHeight="1">
      <c r="C972" s="2"/>
      <c r="D972" s="2"/>
      <c r="E972" s="3"/>
      <c r="F972" s="4"/>
      <c r="G972" s="4"/>
      <c r="H972" s="3"/>
    </row>
    <row r="973" spans="3:8" ht="15.75" customHeight="1">
      <c r="C973" s="2"/>
      <c r="D973" s="2"/>
      <c r="E973" s="3"/>
      <c r="F973" s="4"/>
      <c r="G973" s="4"/>
      <c r="H973" s="3"/>
    </row>
    <row r="974" spans="3:8" ht="15.75" customHeight="1">
      <c r="C974" s="2"/>
      <c r="D974" s="2"/>
      <c r="E974" s="3"/>
      <c r="F974" s="4"/>
      <c r="G974" s="4"/>
      <c r="H974" s="3"/>
    </row>
    <row r="975" spans="3:8" ht="15.75" customHeight="1">
      <c r="C975" s="2"/>
      <c r="D975" s="2"/>
      <c r="E975" s="3"/>
      <c r="F975" s="4"/>
      <c r="G975" s="4"/>
      <c r="H975" s="3"/>
    </row>
    <row r="976" spans="3:8" ht="15.75" customHeight="1">
      <c r="C976" s="2"/>
      <c r="D976" s="2"/>
      <c r="E976" s="3"/>
      <c r="F976" s="4"/>
      <c r="G976" s="4"/>
      <c r="H976" s="3"/>
    </row>
    <row r="977" spans="3:8" ht="15.75" customHeight="1">
      <c r="C977" s="2"/>
      <c r="D977" s="2"/>
      <c r="E977" s="3"/>
      <c r="F977" s="4"/>
      <c r="G977" s="4"/>
      <c r="H977" s="3"/>
    </row>
    <row r="978" spans="3:8" ht="15.75" customHeight="1">
      <c r="C978" s="2"/>
      <c r="D978" s="2"/>
      <c r="E978" s="3"/>
      <c r="F978" s="4"/>
      <c r="G978" s="4"/>
      <c r="H978" s="3"/>
    </row>
    <row r="979" spans="3:8" ht="15.75" customHeight="1">
      <c r="C979" s="2"/>
      <c r="D979" s="2"/>
      <c r="E979" s="3"/>
      <c r="F979" s="4"/>
      <c r="G979" s="4"/>
      <c r="H979" s="3"/>
    </row>
    <row r="980" spans="3:8" ht="15.75" customHeight="1">
      <c r="C980" s="2"/>
      <c r="D980" s="2"/>
      <c r="E980" s="3"/>
      <c r="F980" s="4"/>
      <c r="G980" s="4"/>
      <c r="H980" s="3"/>
    </row>
    <row r="981" spans="3:8" ht="15.75" customHeight="1">
      <c r="C981" s="2"/>
      <c r="D981" s="2"/>
      <c r="E981" s="3"/>
      <c r="F981" s="4"/>
      <c r="G981" s="4"/>
      <c r="H981" s="3"/>
    </row>
    <row r="982" spans="3:8" ht="15.75" customHeight="1">
      <c r="C982" s="2"/>
      <c r="D982" s="2"/>
      <c r="E982" s="3"/>
      <c r="F982" s="4"/>
      <c r="G982" s="4"/>
      <c r="H982" s="3"/>
    </row>
    <row r="983" spans="3:8" ht="15.75" customHeight="1">
      <c r="C983" s="2"/>
      <c r="D983" s="2"/>
      <c r="E983" s="3"/>
      <c r="F983" s="4"/>
      <c r="G983" s="4"/>
      <c r="H983" s="3"/>
    </row>
    <row r="984" spans="3:8" ht="15.75" customHeight="1">
      <c r="C984" s="2"/>
      <c r="D984" s="2"/>
      <c r="E984" s="3"/>
      <c r="F984" s="4"/>
      <c r="G984" s="4"/>
      <c r="H984" s="3"/>
    </row>
    <row r="985" spans="3:8" ht="15.75" customHeight="1">
      <c r="C985" s="2"/>
      <c r="D985" s="2"/>
      <c r="E985" s="3"/>
      <c r="F985" s="4"/>
      <c r="G985" s="4"/>
      <c r="H985" s="3"/>
    </row>
    <row r="986" spans="3:8" ht="15.75" customHeight="1">
      <c r="C986" s="2"/>
      <c r="D986" s="2"/>
      <c r="E986" s="3"/>
      <c r="F986" s="4"/>
      <c r="G986" s="4"/>
      <c r="H986" s="3"/>
    </row>
    <row r="987" spans="3:8" ht="15.75" customHeight="1">
      <c r="C987" s="2"/>
      <c r="D987" s="2"/>
      <c r="E987" s="3"/>
      <c r="F987" s="4"/>
      <c r="G987" s="4"/>
      <c r="H987" s="3"/>
    </row>
    <row r="988" spans="3:8" ht="15.75" customHeight="1">
      <c r="C988" s="2"/>
      <c r="D988" s="2"/>
      <c r="E988" s="3"/>
      <c r="F988" s="4"/>
      <c r="G988" s="4"/>
      <c r="H988" s="3"/>
    </row>
    <row r="989" spans="3:8" ht="15.75" customHeight="1">
      <c r="C989" s="2"/>
      <c r="D989" s="2"/>
      <c r="E989" s="3"/>
      <c r="F989" s="4"/>
      <c r="G989" s="4"/>
      <c r="H989" s="3"/>
    </row>
    <row r="990" spans="3:8" ht="15.75" customHeight="1">
      <c r="C990" s="2"/>
      <c r="D990" s="2"/>
      <c r="E990" s="3"/>
      <c r="F990" s="4"/>
      <c r="G990" s="4"/>
      <c r="H990" s="3"/>
    </row>
    <row r="991" spans="3:8" ht="15.75" customHeight="1">
      <c r="C991" s="2"/>
      <c r="D991" s="2"/>
      <c r="E991" s="3"/>
      <c r="F991" s="4"/>
      <c r="G991" s="4"/>
      <c r="H991" s="3"/>
    </row>
    <row r="992" spans="3:8" ht="15.75" customHeight="1">
      <c r="C992" s="2"/>
      <c r="D992" s="2"/>
      <c r="E992" s="3"/>
      <c r="F992" s="4"/>
      <c r="G992" s="4"/>
      <c r="H992" s="3"/>
    </row>
    <row r="993" spans="3:8" ht="15.75" customHeight="1">
      <c r="C993" s="2"/>
      <c r="D993" s="2"/>
      <c r="E993" s="3"/>
      <c r="F993" s="4"/>
      <c r="G993" s="4"/>
      <c r="H993" s="3"/>
    </row>
    <row r="994" spans="3:8" ht="15.75" customHeight="1">
      <c r="C994" s="2"/>
      <c r="D994" s="2"/>
      <c r="E994" s="3"/>
      <c r="F994" s="4"/>
      <c r="G994" s="4"/>
      <c r="H994" s="3"/>
    </row>
    <row r="995" spans="3:8" ht="15.75" customHeight="1">
      <c r="C995" s="2"/>
      <c r="D995" s="2"/>
      <c r="E995" s="3"/>
      <c r="F995" s="4"/>
      <c r="G995" s="4"/>
      <c r="H995" s="3"/>
    </row>
    <row r="996" spans="3:8" ht="15.75" customHeight="1">
      <c r="C996" s="2"/>
      <c r="D996" s="2"/>
      <c r="E996" s="3"/>
      <c r="F996" s="4"/>
      <c r="G996" s="4"/>
      <c r="H996" s="3"/>
    </row>
    <row r="997" spans="3:8" ht="15.75" customHeight="1">
      <c r="C997" s="2"/>
      <c r="D997" s="2"/>
      <c r="E997" s="3"/>
      <c r="F997" s="4"/>
      <c r="G997" s="4"/>
      <c r="H997" s="3"/>
    </row>
    <row r="998" spans="3:8" ht="15.75" customHeight="1">
      <c r="C998" s="2"/>
      <c r="D998" s="2"/>
      <c r="E998" s="3"/>
      <c r="F998" s="4"/>
      <c r="G998" s="4"/>
      <c r="H998" s="3"/>
    </row>
    <row r="999" spans="3:8" ht="15.75" customHeight="1">
      <c r="C999" s="2"/>
      <c r="D999" s="2"/>
      <c r="E999" s="3"/>
      <c r="F999" s="4"/>
      <c r="G999" s="4"/>
      <c r="H999" s="3"/>
    </row>
    <row r="1000" spans="3:8" ht="15.75" customHeight="1">
      <c r="C1000" s="2"/>
      <c r="D1000" s="2"/>
      <c r="E1000" s="3"/>
      <c r="F1000" s="4"/>
      <c r="G1000" s="4"/>
      <c r="H1000" s="3"/>
    </row>
    <row r="1001" spans="3:8" ht="15.75" customHeight="1">
      <c r="C1001" s="2"/>
      <c r="D1001" s="2"/>
      <c r="E1001" s="3"/>
      <c r="F1001" s="4"/>
      <c r="G1001" s="4"/>
      <c r="H1001" s="3"/>
    </row>
    <row r="1002" spans="3:8" ht="15.75" customHeight="1">
      <c r="C1002" s="2"/>
      <c r="D1002" s="2"/>
      <c r="E1002" s="3"/>
      <c r="F1002" s="4"/>
      <c r="G1002" s="4"/>
      <c r="H1002" s="3"/>
    </row>
    <row r="1003" spans="3:8" ht="15.75" customHeight="1">
      <c r="C1003" s="2"/>
      <c r="D1003" s="2"/>
      <c r="E1003" s="3"/>
      <c r="F1003" s="4"/>
      <c r="G1003" s="4"/>
      <c r="H1003" s="3"/>
    </row>
    <row r="1004" spans="3:8" ht="15.75" customHeight="1">
      <c r="C1004" s="2"/>
      <c r="D1004" s="2"/>
      <c r="E1004" s="3"/>
      <c r="F1004" s="4"/>
      <c r="G1004" s="4"/>
      <c r="H1004" s="3"/>
    </row>
    <row r="1005" spans="3:8" ht="15.75" customHeight="1">
      <c r="C1005" s="2"/>
      <c r="D1005" s="2"/>
      <c r="E1005" s="3"/>
      <c r="F1005" s="4"/>
      <c r="G1005" s="4"/>
      <c r="H1005" s="3"/>
    </row>
  </sheetData>
  <mergeCells count="1">
    <mergeCell ref="D4:I4"/>
  </mergeCells>
  <conditionalFormatting sqref="I9:I42">
    <cfRule type="expression" dxfId="24" priority="1">
      <formula>AND(I9&gt;=TODAY(), I9&lt;=TODAY()+30)</formula>
    </cfRule>
    <cfRule type="expression" dxfId="23" priority="2">
      <formula>I9&gt;=TODAY()</formula>
    </cfRule>
    <cfRule type="expression" dxfId="22" priority="3">
      <formula>AND(I9&lt;&gt;"", I9&lt;TODAY())</formula>
    </cfRule>
  </conditionalFormatting>
  <pageMargins left="0.25" right="0.25" top="0.75" bottom="0.75" header="0.3" footer="0.3"/>
  <pageSetup paperSize="5" orientation="landscape"/>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AD36-1524-48E5-996A-5307C1B4FD31}">
  <dimension ref="A1:N11"/>
  <sheetViews>
    <sheetView workbookViewId="0">
      <selection activeCell="B5" sqref="B5"/>
    </sheetView>
  </sheetViews>
  <sheetFormatPr defaultRowHeight="15"/>
  <cols>
    <col min="1" max="1" width="18.140625" customWidth="1"/>
    <col min="2" max="2" width="14" customWidth="1"/>
    <col min="3" max="3" width="24.140625" customWidth="1"/>
    <col min="6" max="6" width="16.42578125" bestFit="1" customWidth="1"/>
    <col min="8" max="8" width="16.5703125" bestFit="1" customWidth="1"/>
    <col min="9" max="9" width="21.5703125" bestFit="1" customWidth="1"/>
    <col min="10" max="10" width="28.7109375" customWidth="1"/>
    <col min="11" max="11" width="23.28515625" bestFit="1" customWidth="1"/>
    <col min="12" max="13" width="19.7109375" customWidth="1"/>
    <col min="14" max="14" width="15" bestFit="1" customWidth="1"/>
  </cols>
  <sheetData>
    <row r="1" spans="1:14">
      <c r="A1" s="45" t="s">
        <v>698</v>
      </c>
      <c r="B1" s="45" t="s">
        <v>1334</v>
      </c>
      <c r="C1" s="45" t="s">
        <v>1335</v>
      </c>
      <c r="D1" s="45" t="s">
        <v>1186</v>
      </c>
      <c r="E1" s="86" t="s">
        <v>1187</v>
      </c>
      <c r="F1" s="86" t="s">
        <v>1188</v>
      </c>
      <c r="G1" s="45" t="s">
        <v>552</v>
      </c>
      <c r="H1" s="45" t="s">
        <v>1189</v>
      </c>
      <c r="I1" s="45" t="s">
        <v>1190</v>
      </c>
      <c r="J1" s="88" t="s">
        <v>1336</v>
      </c>
      <c r="K1" s="88" t="s">
        <v>1337</v>
      </c>
      <c r="L1" s="88" t="s">
        <v>1338</v>
      </c>
      <c r="M1" s="88" t="s">
        <v>1339</v>
      </c>
      <c r="N1" s="88" t="s">
        <v>1340</v>
      </c>
    </row>
    <row r="2" spans="1:14">
      <c r="A2" s="9">
        <v>6610024850</v>
      </c>
      <c r="B2" s="9"/>
      <c r="C2" s="9" t="s">
        <v>1341</v>
      </c>
      <c r="D2" s="9" t="s">
        <v>13</v>
      </c>
      <c r="E2" s="8" t="s">
        <v>1199</v>
      </c>
      <c r="F2" s="8" t="s">
        <v>1200</v>
      </c>
      <c r="G2" s="7">
        <v>1998</v>
      </c>
      <c r="H2" s="7" t="s">
        <v>1201</v>
      </c>
      <c r="I2" s="27" t="s">
        <v>1202</v>
      </c>
      <c r="J2" s="98">
        <v>0</v>
      </c>
      <c r="K2" s="96">
        <v>46049</v>
      </c>
      <c r="L2" s="7"/>
      <c r="M2" s="7"/>
      <c r="N2" s="97">
        <f>J2+3000</f>
        <v>3000</v>
      </c>
    </row>
    <row r="3" spans="1:14">
      <c r="A3" s="9"/>
      <c r="B3" s="9"/>
      <c r="C3" s="9"/>
      <c r="D3" s="9" t="s">
        <v>15</v>
      </c>
      <c r="E3" s="8" t="s">
        <v>1209</v>
      </c>
      <c r="F3" s="8" t="s">
        <v>1210</v>
      </c>
      <c r="G3" s="7">
        <v>2008</v>
      </c>
      <c r="H3" s="7">
        <v>518526</v>
      </c>
      <c r="I3" s="27" t="s">
        <v>1211</v>
      </c>
      <c r="J3" s="98">
        <v>0</v>
      </c>
      <c r="K3" s="7"/>
      <c r="L3" s="7"/>
      <c r="M3" s="7"/>
      <c r="N3" s="97">
        <f t="shared" ref="N3:N11" si="0">J3+3000</f>
        <v>3000</v>
      </c>
    </row>
    <row r="4" spans="1:14">
      <c r="A4" s="9">
        <v>6511007332</v>
      </c>
      <c r="B4" s="9" t="s">
        <v>1342</v>
      </c>
      <c r="C4" s="9" t="s">
        <v>1343</v>
      </c>
      <c r="D4" s="9" t="s">
        <v>18</v>
      </c>
      <c r="E4" s="8" t="s">
        <v>1214</v>
      </c>
      <c r="F4" s="8" t="s">
        <v>1215</v>
      </c>
      <c r="G4" s="7">
        <v>2011</v>
      </c>
      <c r="H4" s="7">
        <v>73229790</v>
      </c>
      <c r="I4" s="27" t="s">
        <v>1216</v>
      </c>
      <c r="J4" s="98">
        <v>5618</v>
      </c>
      <c r="K4" s="96">
        <v>45882</v>
      </c>
      <c r="L4" s="100">
        <v>59959</v>
      </c>
      <c r="M4" s="100"/>
      <c r="N4" s="97">
        <f t="shared" si="0"/>
        <v>8618</v>
      </c>
    </row>
    <row r="5" spans="1:14">
      <c r="A5" s="9">
        <v>6511265619</v>
      </c>
      <c r="B5" s="9"/>
      <c r="C5" s="9" t="s">
        <v>1343</v>
      </c>
      <c r="D5" s="9" t="s">
        <v>23</v>
      </c>
      <c r="E5" s="37" t="s">
        <v>1205</v>
      </c>
      <c r="F5" s="37" t="s">
        <v>1224</v>
      </c>
      <c r="G5" s="32">
        <v>2015</v>
      </c>
      <c r="H5" s="32">
        <v>73598550</v>
      </c>
      <c r="I5" s="31" t="s">
        <v>1225</v>
      </c>
      <c r="J5" s="98">
        <v>0</v>
      </c>
      <c r="K5" s="7">
        <v>2023</v>
      </c>
      <c r="L5" s="7"/>
      <c r="M5" s="7"/>
      <c r="N5" s="97">
        <f t="shared" si="0"/>
        <v>3000</v>
      </c>
    </row>
    <row r="6" spans="1:14">
      <c r="A6" s="9"/>
      <c r="B6" s="9"/>
      <c r="C6" s="9"/>
      <c r="D6" s="9" t="s">
        <v>24</v>
      </c>
      <c r="E6" s="8" t="s">
        <v>1227</v>
      </c>
      <c r="F6" s="8" t="s">
        <v>1228</v>
      </c>
      <c r="G6" s="7">
        <v>2023</v>
      </c>
      <c r="H6" s="7">
        <v>74884819</v>
      </c>
      <c r="I6" s="27" t="s">
        <v>1229</v>
      </c>
      <c r="J6" s="98">
        <v>0</v>
      </c>
      <c r="K6" s="7"/>
      <c r="L6" s="7"/>
      <c r="M6" s="7"/>
      <c r="N6" s="97">
        <f t="shared" si="0"/>
        <v>3000</v>
      </c>
    </row>
    <row r="7" spans="1:14">
      <c r="A7" s="9">
        <v>6511417520</v>
      </c>
      <c r="B7" s="9"/>
      <c r="C7" s="9" t="s">
        <v>1343</v>
      </c>
      <c r="D7" s="9" t="s">
        <v>26</v>
      </c>
      <c r="E7" s="8" t="s">
        <v>1205</v>
      </c>
      <c r="F7" s="8" t="s">
        <v>1224</v>
      </c>
      <c r="G7" s="7">
        <v>2017</v>
      </c>
      <c r="H7" s="7">
        <v>74046967</v>
      </c>
      <c r="I7" s="10" t="s">
        <v>1231</v>
      </c>
      <c r="J7" s="98">
        <v>0</v>
      </c>
      <c r="K7" s="96">
        <v>45965</v>
      </c>
      <c r="L7" s="7">
        <v>45673.4</v>
      </c>
      <c r="M7" s="7">
        <v>5341.8</v>
      </c>
      <c r="N7" s="97">
        <f t="shared" si="0"/>
        <v>3000</v>
      </c>
    </row>
    <row r="8" spans="1:14">
      <c r="A8" s="9">
        <v>6511024142</v>
      </c>
      <c r="B8" s="9"/>
      <c r="C8" s="9" t="s">
        <v>1343</v>
      </c>
      <c r="D8" s="9" t="s">
        <v>27</v>
      </c>
      <c r="E8" s="37" t="s">
        <v>1205</v>
      </c>
      <c r="F8" s="37" t="s">
        <v>1224</v>
      </c>
      <c r="G8" s="32">
        <v>2011</v>
      </c>
      <c r="H8" s="32">
        <v>73267648</v>
      </c>
      <c r="I8" s="31" t="s">
        <v>1233</v>
      </c>
      <c r="J8" s="98">
        <v>0</v>
      </c>
      <c r="K8" s="96">
        <v>45916</v>
      </c>
      <c r="L8" s="7">
        <v>60197</v>
      </c>
      <c r="M8" s="7">
        <v>5548.7</v>
      </c>
      <c r="N8" s="97">
        <f t="shared" si="0"/>
        <v>3000</v>
      </c>
    </row>
    <row r="9" spans="1:14">
      <c r="A9" s="9"/>
      <c r="B9" s="9"/>
      <c r="C9" s="9"/>
      <c r="D9" s="9" t="s">
        <v>28</v>
      </c>
      <c r="E9" s="8" t="s">
        <v>1199</v>
      </c>
      <c r="F9" s="8" t="s">
        <v>1200</v>
      </c>
      <c r="G9" s="7">
        <v>1994</v>
      </c>
      <c r="H9" s="7" t="s">
        <v>1235</v>
      </c>
      <c r="I9" s="10" t="s">
        <v>1236</v>
      </c>
      <c r="J9" s="98">
        <v>0</v>
      </c>
      <c r="K9" s="7"/>
      <c r="L9" s="7"/>
      <c r="M9" s="7"/>
      <c r="N9" s="97">
        <f t="shared" si="0"/>
        <v>3000</v>
      </c>
    </row>
    <row r="10" spans="1:14">
      <c r="A10" s="9">
        <v>6511262805</v>
      </c>
      <c r="B10" s="9" t="s">
        <v>1344</v>
      </c>
      <c r="C10" s="9" t="s">
        <v>1343</v>
      </c>
      <c r="D10" s="9" t="s">
        <v>40</v>
      </c>
      <c r="E10" s="8" t="s">
        <v>1265</v>
      </c>
      <c r="F10" s="8" t="s">
        <v>1266</v>
      </c>
      <c r="G10" s="7">
        <v>2015</v>
      </c>
      <c r="H10" s="7" t="s">
        <v>1267</v>
      </c>
      <c r="I10" s="10" t="s">
        <v>1268</v>
      </c>
      <c r="J10" s="98">
        <v>0</v>
      </c>
      <c r="K10" s="7"/>
      <c r="L10" s="7"/>
      <c r="M10" s="7"/>
      <c r="N10" s="97">
        <f t="shared" si="0"/>
        <v>3000</v>
      </c>
    </row>
    <row r="11" spans="1:14">
      <c r="A11" s="9"/>
      <c r="B11" s="9"/>
      <c r="C11" s="9"/>
      <c r="D11" s="9" t="s">
        <v>43</v>
      </c>
      <c r="E11" s="8" t="s">
        <v>1199</v>
      </c>
      <c r="F11" s="8" t="s">
        <v>1271</v>
      </c>
      <c r="G11" s="7">
        <v>1994</v>
      </c>
      <c r="H11" s="7" t="s">
        <v>1272</v>
      </c>
      <c r="I11" s="10" t="s">
        <v>1273</v>
      </c>
      <c r="J11" s="99"/>
      <c r="K11" s="16"/>
      <c r="L11" s="16"/>
      <c r="M11" s="16"/>
      <c r="N11" s="97">
        <f t="shared" si="0"/>
        <v>3000</v>
      </c>
    </row>
  </sheetData>
  <autoFilter ref="A1:I11" xr:uid="{E5E2AD36-1524-48E5-996A-5307C1B4FD3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1000"/>
  <sheetViews>
    <sheetView workbookViewId="0">
      <selection activeCell="E19" sqref="E19"/>
    </sheetView>
  </sheetViews>
  <sheetFormatPr defaultColWidth="14.42578125" defaultRowHeight="15" customHeight="1"/>
  <cols>
    <col min="1" max="2" width="10.7109375" customWidth="1"/>
    <col min="3" max="3" width="15.85546875" customWidth="1"/>
    <col min="4" max="4" width="15.5703125" customWidth="1"/>
    <col min="5" max="5" width="10.7109375" customWidth="1"/>
    <col min="6" max="6" width="18.42578125" customWidth="1"/>
    <col min="7" max="7" width="20.7109375" customWidth="1"/>
    <col min="8" max="8" width="16.85546875" customWidth="1"/>
    <col min="9" max="9" width="12.42578125" customWidth="1"/>
    <col min="10" max="10" width="13.42578125" customWidth="1"/>
    <col min="11" max="11" width="15.28515625" customWidth="1"/>
    <col min="12" max="26" width="10.7109375" customWidth="1"/>
  </cols>
  <sheetData>
    <row r="2" spans="1:11">
      <c r="A2" s="5" t="s">
        <v>0</v>
      </c>
      <c r="B2" s="5" t="s">
        <v>1186</v>
      </c>
      <c r="C2" s="6" t="s">
        <v>1187</v>
      </c>
      <c r="D2" s="6" t="s">
        <v>1188</v>
      </c>
      <c r="E2" s="5" t="s">
        <v>552</v>
      </c>
      <c r="F2" s="5" t="s">
        <v>1189</v>
      </c>
      <c r="G2" s="5" t="s">
        <v>1190</v>
      </c>
      <c r="H2" s="5" t="s">
        <v>1345</v>
      </c>
      <c r="I2" s="5" t="s">
        <v>1346</v>
      </c>
      <c r="J2" s="5" t="s">
        <v>1347</v>
      </c>
      <c r="K2" s="5" t="s">
        <v>1348</v>
      </c>
    </row>
    <row r="3" spans="1:11">
      <c r="A3" s="249" t="s">
        <v>1193</v>
      </c>
      <c r="B3" s="7" t="s">
        <v>11</v>
      </c>
      <c r="C3" s="8" t="s">
        <v>1194</v>
      </c>
      <c r="D3" s="8" t="s">
        <v>1195</v>
      </c>
      <c r="E3" s="7">
        <v>2007</v>
      </c>
      <c r="F3" s="7" t="s">
        <v>1196</v>
      </c>
      <c r="G3" s="7" t="s">
        <v>1197</v>
      </c>
      <c r="H3" s="9">
        <v>2020</v>
      </c>
      <c r="I3" s="9"/>
      <c r="J3" s="9"/>
      <c r="K3" s="22">
        <v>44218</v>
      </c>
    </row>
    <row r="4" spans="1:11">
      <c r="A4" s="275"/>
      <c r="B4" s="7" t="s">
        <v>13</v>
      </c>
      <c r="C4" s="8" t="s">
        <v>1199</v>
      </c>
      <c r="D4" s="8" t="s">
        <v>1200</v>
      </c>
      <c r="E4" s="7">
        <v>1998</v>
      </c>
      <c r="F4" s="7" t="s">
        <v>1201</v>
      </c>
      <c r="G4" s="10" t="s">
        <v>1202</v>
      </c>
      <c r="H4" s="20">
        <v>44287</v>
      </c>
      <c r="I4" s="9"/>
      <c r="J4" s="9"/>
      <c r="K4" s="22">
        <v>44354</v>
      </c>
    </row>
    <row r="5" spans="1:11">
      <c r="A5" s="276"/>
      <c r="B5" s="7" t="s">
        <v>15</v>
      </c>
      <c r="C5" s="8" t="s">
        <v>1209</v>
      </c>
      <c r="D5" s="8" t="s">
        <v>1210</v>
      </c>
      <c r="E5" s="7">
        <v>2008</v>
      </c>
      <c r="F5" s="7">
        <v>518526</v>
      </c>
      <c r="G5" s="10" t="s">
        <v>1211</v>
      </c>
      <c r="H5" s="20">
        <v>44470</v>
      </c>
      <c r="I5" s="9"/>
      <c r="J5" s="9"/>
      <c r="K5" s="22"/>
    </row>
    <row r="6" spans="1:11">
      <c r="A6" s="250" t="s">
        <v>1213</v>
      </c>
      <c r="B6" s="7" t="s">
        <v>18</v>
      </c>
      <c r="C6" s="8" t="s">
        <v>1214</v>
      </c>
      <c r="D6" s="8" t="s">
        <v>1215</v>
      </c>
      <c r="E6" s="7">
        <v>2011</v>
      </c>
      <c r="F6" s="7">
        <v>73229790</v>
      </c>
      <c r="G6" s="10" t="s">
        <v>1216</v>
      </c>
      <c r="H6" s="20">
        <v>44501</v>
      </c>
      <c r="I6" s="9"/>
      <c r="J6" s="9"/>
      <c r="K6" s="22"/>
    </row>
    <row r="7" spans="1:11">
      <c r="A7" s="276"/>
      <c r="B7" s="7" t="s">
        <v>20</v>
      </c>
      <c r="C7" s="8" t="s">
        <v>1218</v>
      </c>
      <c r="D7" s="8" t="s">
        <v>1219</v>
      </c>
      <c r="E7" s="7">
        <v>2021</v>
      </c>
      <c r="F7" s="7" t="s">
        <v>1220</v>
      </c>
      <c r="G7" s="10" t="s">
        <v>1221</v>
      </c>
      <c r="H7" s="20">
        <v>44501</v>
      </c>
      <c r="I7" s="9"/>
      <c r="J7" s="9"/>
      <c r="K7" s="22"/>
    </row>
    <row r="8" spans="1:11">
      <c r="A8" s="251" t="s">
        <v>1223</v>
      </c>
      <c r="B8" s="7" t="s">
        <v>23</v>
      </c>
      <c r="C8" s="8" t="s">
        <v>1205</v>
      </c>
      <c r="D8" s="8" t="s">
        <v>1224</v>
      </c>
      <c r="E8" s="7">
        <v>2015</v>
      </c>
      <c r="F8" s="7">
        <v>73598550</v>
      </c>
      <c r="G8" s="10" t="s">
        <v>1225</v>
      </c>
      <c r="H8" s="20">
        <v>44356</v>
      </c>
      <c r="I8" s="9"/>
      <c r="J8" s="9"/>
      <c r="K8" s="22"/>
    </row>
    <row r="9" spans="1:11">
      <c r="A9" s="276"/>
      <c r="B9" s="7" t="s">
        <v>99</v>
      </c>
      <c r="C9" s="8" t="s">
        <v>1194</v>
      </c>
      <c r="D9" s="8" t="s">
        <v>1349</v>
      </c>
      <c r="E9" s="7">
        <v>1998</v>
      </c>
      <c r="F9" s="7" t="s">
        <v>1288</v>
      </c>
      <c r="G9" s="10" t="s">
        <v>1289</v>
      </c>
      <c r="H9" s="20">
        <v>44265</v>
      </c>
      <c r="I9" s="9">
        <v>71351</v>
      </c>
      <c r="J9" s="9" t="s">
        <v>1350</v>
      </c>
      <c r="K9" s="22">
        <v>44350</v>
      </c>
    </row>
    <row r="10" spans="1:11">
      <c r="A10" s="252" t="s">
        <v>298</v>
      </c>
      <c r="B10" s="7" t="s">
        <v>26</v>
      </c>
      <c r="C10" s="8" t="s">
        <v>1205</v>
      </c>
      <c r="D10" s="8" t="s">
        <v>1224</v>
      </c>
      <c r="E10" s="7">
        <v>2017</v>
      </c>
      <c r="F10" s="7">
        <v>74046967</v>
      </c>
      <c r="G10" s="10" t="s">
        <v>1231</v>
      </c>
      <c r="H10" s="20">
        <v>44438</v>
      </c>
      <c r="I10" s="9"/>
      <c r="J10" s="9"/>
      <c r="K10" s="22"/>
    </row>
    <row r="11" spans="1:11">
      <c r="A11" s="275"/>
      <c r="B11" s="7" t="s">
        <v>27</v>
      </c>
      <c r="C11" s="8" t="s">
        <v>1205</v>
      </c>
      <c r="D11" s="8" t="s">
        <v>1224</v>
      </c>
      <c r="E11" s="7">
        <v>2011</v>
      </c>
      <c r="F11" s="7">
        <v>73267648</v>
      </c>
      <c r="G11" s="10" t="s">
        <v>1233</v>
      </c>
      <c r="H11" s="20">
        <v>44357</v>
      </c>
      <c r="I11" s="9"/>
      <c r="J11" s="9"/>
    </row>
    <row r="12" spans="1:11">
      <c r="A12" s="276"/>
      <c r="B12" s="7" t="s">
        <v>28</v>
      </c>
      <c r="C12" s="8" t="s">
        <v>1199</v>
      </c>
      <c r="D12" s="8" t="s">
        <v>1200</v>
      </c>
      <c r="E12" s="7">
        <v>1994</v>
      </c>
      <c r="F12" s="7" t="s">
        <v>1235</v>
      </c>
      <c r="G12" s="10" t="s">
        <v>1236</v>
      </c>
      <c r="H12" s="20">
        <v>44607</v>
      </c>
      <c r="I12" s="9"/>
      <c r="J12" s="9"/>
      <c r="K12" s="22">
        <v>44354</v>
      </c>
    </row>
    <row r="13" spans="1:11">
      <c r="A13" s="247" t="s">
        <v>1244</v>
      </c>
      <c r="B13" s="7" t="s">
        <v>33</v>
      </c>
      <c r="C13" s="8" t="s">
        <v>1245</v>
      </c>
      <c r="D13" s="8" t="s">
        <v>1351</v>
      </c>
      <c r="E13" s="7">
        <v>2021</v>
      </c>
      <c r="F13" s="7">
        <v>22856025895616</v>
      </c>
      <c r="G13" s="10" t="s">
        <v>1247</v>
      </c>
      <c r="H13" s="20">
        <v>44575</v>
      </c>
      <c r="I13" s="9"/>
      <c r="J13" s="9"/>
      <c r="K13" s="22">
        <v>43891</v>
      </c>
    </row>
    <row r="14" spans="1:11">
      <c r="A14" s="276"/>
      <c r="B14" s="7" t="s">
        <v>1167</v>
      </c>
      <c r="C14" s="8" t="s">
        <v>1245</v>
      </c>
      <c r="D14" s="8" t="s">
        <v>1250</v>
      </c>
      <c r="E14" s="7">
        <v>2013</v>
      </c>
      <c r="F14" s="12">
        <v>22834645963468</v>
      </c>
      <c r="G14" s="10" t="s">
        <v>1251</v>
      </c>
      <c r="H14" s="20">
        <v>44270</v>
      </c>
      <c r="I14" s="9">
        <v>38769</v>
      </c>
      <c r="J14" s="9">
        <v>3402</v>
      </c>
      <c r="K14" s="22">
        <v>43922</v>
      </c>
    </row>
    <row r="15" spans="1:11">
      <c r="A15" s="246" t="s">
        <v>1259</v>
      </c>
      <c r="B15" s="7" t="s">
        <v>38</v>
      </c>
      <c r="C15" s="8" t="s">
        <v>1209</v>
      </c>
      <c r="D15" s="8" t="s">
        <v>1260</v>
      </c>
      <c r="E15" s="7">
        <v>2015</v>
      </c>
      <c r="F15" s="10">
        <v>1046135</v>
      </c>
      <c r="G15" s="10" t="s">
        <v>1261</v>
      </c>
      <c r="H15" s="23"/>
      <c r="I15" s="9"/>
      <c r="J15" s="9"/>
      <c r="K15" s="22">
        <v>43862</v>
      </c>
    </row>
    <row r="16" spans="1:11">
      <c r="A16" s="275"/>
      <c r="B16" s="7" t="s">
        <v>39</v>
      </c>
      <c r="C16" s="8" t="s">
        <v>1209</v>
      </c>
      <c r="D16" s="8" t="s">
        <v>1260</v>
      </c>
      <c r="E16" s="7">
        <v>2019</v>
      </c>
      <c r="F16" s="13">
        <v>1509868</v>
      </c>
      <c r="G16" s="10" t="s">
        <v>1263</v>
      </c>
      <c r="H16" s="23"/>
      <c r="I16" s="9"/>
      <c r="J16" s="9"/>
      <c r="K16" s="22">
        <v>44228</v>
      </c>
    </row>
    <row r="17" spans="1:11">
      <c r="A17" s="276"/>
      <c r="B17" s="7" t="s">
        <v>1172</v>
      </c>
      <c r="C17" s="8" t="s">
        <v>1328</v>
      </c>
      <c r="D17" s="8" t="s">
        <v>1329</v>
      </c>
      <c r="E17" s="7">
        <v>2012</v>
      </c>
      <c r="F17" s="7" t="s">
        <v>1330</v>
      </c>
      <c r="G17" s="10" t="s">
        <v>1331</v>
      </c>
      <c r="H17" s="23"/>
      <c r="I17" s="9"/>
      <c r="J17" s="9"/>
      <c r="K17" s="22">
        <v>44354</v>
      </c>
    </row>
    <row r="18" spans="1:11">
      <c r="A18" s="247" t="s">
        <v>1270</v>
      </c>
      <c r="B18" s="7" t="s">
        <v>43</v>
      </c>
      <c r="C18" s="8" t="s">
        <v>1199</v>
      </c>
      <c r="D18" s="8" t="s">
        <v>1271</v>
      </c>
      <c r="E18" s="7">
        <v>1994</v>
      </c>
      <c r="F18" s="7" t="s">
        <v>1272</v>
      </c>
      <c r="G18" s="10" t="s">
        <v>1273</v>
      </c>
      <c r="H18" s="20">
        <v>44228</v>
      </c>
      <c r="I18" s="9"/>
      <c r="J18" s="9"/>
      <c r="K18" s="22"/>
    </row>
    <row r="19" spans="1:11">
      <c r="A19" s="276"/>
      <c r="B19" s="7" t="s">
        <v>44</v>
      </c>
      <c r="C19" s="8" t="s">
        <v>1209</v>
      </c>
      <c r="D19" s="8" t="s">
        <v>1260</v>
      </c>
      <c r="E19" s="7">
        <v>2015</v>
      </c>
      <c r="F19" s="13">
        <v>1235185</v>
      </c>
      <c r="G19" s="10" t="s">
        <v>1352</v>
      </c>
      <c r="H19" s="20">
        <v>44229</v>
      </c>
      <c r="I19" s="9"/>
      <c r="J19" s="9"/>
      <c r="K19" s="22">
        <v>44284</v>
      </c>
    </row>
    <row r="20" spans="1:11">
      <c r="A20" s="24" t="s">
        <v>1282</v>
      </c>
      <c r="B20" s="7" t="s">
        <v>47</v>
      </c>
      <c r="C20" s="8" t="s">
        <v>1194</v>
      </c>
      <c r="D20" s="8" t="s">
        <v>1283</v>
      </c>
      <c r="E20" s="7">
        <v>2004</v>
      </c>
      <c r="F20" s="7" t="s">
        <v>1284</v>
      </c>
      <c r="G20" s="10" t="s">
        <v>1285</v>
      </c>
      <c r="H20" s="23"/>
      <c r="I20" s="9"/>
      <c r="J20" s="9"/>
      <c r="K20" s="22">
        <v>44105</v>
      </c>
    </row>
    <row r="21" spans="1:11">
      <c r="A21" s="25" t="s">
        <v>332</v>
      </c>
      <c r="B21" s="7" t="s">
        <v>49</v>
      </c>
      <c r="C21" s="8" t="s">
        <v>1194</v>
      </c>
      <c r="D21" s="8" t="s">
        <v>1300</v>
      </c>
      <c r="E21" s="7">
        <v>1998</v>
      </c>
      <c r="F21" s="7" t="s">
        <v>1301</v>
      </c>
      <c r="G21" s="10" t="s">
        <v>1302</v>
      </c>
      <c r="H21" s="20">
        <v>44409</v>
      </c>
      <c r="I21" s="9"/>
      <c r="J21" s="9"/>
      <c r="K21" s="22">
        <v>44347</v>
      </c>
    </row>
    <row r="22" spans="1:11" ht="15.75" customHeight="1">
      <c r="A22" s="248" t="s">
        <v>583</v>
      </c>
      <c r="B22" s="7" t="s">
        <v>33</v>
      </c>
      <c r="C22" s="8" t="s">
        <v>1194</v>
      </c>
      <c r="D22" s="8" t="s">
        <v>1296</v>
      </c>
      <c r="E22" s="7">
        <v>1998</v>
      </c>
      <c r="F22" s="7" t="s">
        <v>1297</v>
      </c>
      <c r="G22" s="10" t="s">
        <v>1298</v>
      </c>
      <c r="H22" s="26">
        <v>44044</v>
      </c>
      <c r="I22" s="9"/>
      <c r="J22" s="9"/>
      <c r="K22" s="22">
        <v>44287</v>
      </c>
    </row>
    <row r="23" spans="1:11" ht="15.75" customHeight="1">
      <c r="A23" s="275"/>
      <c r="B23" s="7" t="s">
        <v>55</v>
      </c>
      <c r="C23" s="8" t="s">
        <v>1238</v>
      </c>
      <c r="D23" s="8" t="s">
        <v>1304</v>
      </c>
      <c r="E23" s="7">
        <v>2015</v>
      </c>
      <c r="F23" s="16" t="s">
        <v>1305</v>
      </c>
      <c r="G23" s="10" t="s">
        <v>1306</v>
      </c>
      <c r="H23" s="23"/>
      <c r="I23" s="9"/>
      <c r="J23" s="9"/>
      <c r="K23" s="22"/>
    </row>
    <row r="24" spans="1:11" ht="15.75" customHeight="1">
      <c r="A24" s="275"/>
      <c r="B24" s="7" t="s">
        <v>52</v>
      </c>
      <c r="C24" s="14" t="s">
        <v>1308</v>
      </c>
      <c r="D24" s="14" t="s">
        <v>1309</v>
      </c>
      <c r="E24" s="7">
        <v>2015</v>
      </c>
      <c r="F24" s="15" t="s">
        <v>1310</v>
      </c>
      <c r="G24" s="15" t="s">
        <v>1311</v>
      </c>
      <c r="H24" s="20">
        <v>44317</v>
      </c>
      <c r="I24" s="9"/>
      <c r="J24" s="9"/>
      <c r="K24" s="22"/>
    </row>
    <row r="25" spans="1:11" ht="15.75" customHeight="1">
      <c r="A25" s="275"/>
      <c r="B25" s="7" t="s">
        <v>53</v>
      </c>
      <c r="C25" s="14" t="s">
        <v>1291</v>
      </c>
      <c r="D25" s="14" t="s">
        <v>1292</v>
      </c>
      <c r="E25" s="7">
        <v>2019</v>
      </c>
      <c r="F25" s="15" t="s">
        <v>1313</v>
      </c>
      <c r="G25" s="15" t="s">
        <v>1314</v>
      </c>
      <c r="H25" s="20">
        <v>44531</v>
      </c>
      <c r="I25" s="9"/>
      <c r="J25" s="9"/>
      <c r="K25" s="18">
        <v>2020</v>
      </c>
    </row>
    <row r="26" spans="1:11" ht="15.75" customHeight="1">
      <c r="A26" s="275"/>
      <c r="B26" s="7" t="s">
        <v>50</v>
      </c>
      <c r="C26" s="14" t="s">
        <v>1291</v>
      </c>
      <c r="D26" s="14" t="s">
        <v>1292</v>
      </c>
      <c r="E26" s="7">
        <v>2019</v>
      </c>
      <c r="F26" s="15" t="s">
        <v>1293</v>
      </c>
      <c r="G26" s="15" t="s">
        <v>1294</v>
      </c>
      <c r="H26" s="23"/>
      <c r="I26" s="9"/>
      <c r="J26" s="9"/>
      <c r="K26" s="22"/>
    </row>
    <row r="27" spans="1:11" ht="15.75" customHeight="1">
      <c r="A27" s="275"/>
      <c r="B27" s="7" t="s">
        <v>57</v>
      </c>
      <c r="C27" s="14" t="s">
        <v>1218</v>
      </c>
      <c r="D27" s="14" t="s">
        <v>1316</v>
      </c>
      <c r="E27" s="7">
        <v>2017</v>
      </c>
      <c r="F27" s="15" t="s">
        <v>1317</v>
      </c>
      <c r="G27" s="15" t="s">
        <v>1318</v>
      </c>
      <c r="H27" s="20">
        <v>44562</v>
      </c>
      <c r="I27" s="9">
        <v>20000</v>
      </c>
      <c r="J27" s="9"/>
      <c r="K27" s="18">
        <v>2020</v>
      </c>
    </row>
    <row r="28" spans="1:11" ht="15.75" customHeight="1">
      <c r="A28" s="275"/>
      <c r="B28" s="7" t="s">
        <v>59</v>
      </c>
      <c r="C28" s="14" t="s">
        <v>1320</v>
      </c>
      <c r="D28" s="14" t="s">
        <v>1321</v>
      </c>
      <c r="E28" s="7">
        <v>2013</v>
      </c>
      <c r="F28" s="15" t="s">
        <v>1322</v>
      </c>
      <c r="G28" s="15" t="s">
        <v>1323</v>
      </c>
      <c r="H28" s="20">
        <v>43891</v>
      </c>
      <c r="I28" s="9"/>
      <c r="J28" s="9"/>
      <c r="K28" s="22"/>
    </row>
    <row r="29" spans="1:11" ht="15.75" customHeight="1">
      <c r="A29" s="276"/>
      <c r="B29" s="7" t="s">
        <v>1353</v>
      </c>
      <c r="C29" s="14" t="s">
        <v>1265</v>
      </c>
      <c r="D29" s="14" t="s">
        <v>1266</v>
      </c>
      <c r="E29" s="7">
        <v>2015</v>
      </c>
      <c r="F29" s="15" t="s">
        <v>1267</v>
      </c>
      <c r="G29" s="15" t="s">
        <v>1268</v>
      </c>
      <c r="H29" s="20">
        <v>44362</v>
      </c>
      <c r="I29" s="9"/>
      <c r="J29" s="9"/>
      <c r="K29" s="22"/>
    </row>
    <row r="30" spans="1:11" ht="15.75" customHeight="1">
      <c r="H30" s="20"/>
    </row>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5:A17"/>
    <mergeCell ref="A18:A19"/>
    <mergeCell ref="A22:A29"/>
    <mergeCell ref="A3:A5"/>
    <mergeCell ref="A6:A7"/>
    <mergeCell ref="A8:A9"/>
    <mergeCell ref="A10:A12"/>
    <mergeCell ref="A13:A1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8"/>
  <sheetViews>
    <sheetView workbookViewId="0">
      <selection activeCell="B22" sqref="B22:H22"/>
    </sheetView>
  </sheetViews>
  <sheetFormatPr defaultColWidth="14.42578125" defaultRowHeight="15" customHeight="1"/>
  <cols>
    <col min="4" max="4" width="15.5703125" customWidth="1"/>
    <col min="6" max="6" width="19.140625" customWidth="1"/>
    <col min="7" max="7" width="21.140625" customWidth="1"/>
    <col min="8" max="8" width="17.28515625" customWidth="1"/>
  </cols>
  <sheetData>
    <row r="1" spans="1:10">
      <c r="A1" s="5" t="s">
        <v>0</v>
      </c>
      <c r="B1" s="5" t="s">
        <v>1186</v>
      </c>
      <c r="C1" s="6" t="s">
        <v>1187</v>
      </c>
      <c r="D1" s="6" t="s">
        <v>1188</v>
      </c>
      <c r="E1" s="5" t="s">
        <v>552</v>
      </c>
      <c r="F1" s="5" t="s">
        <v>1189</v>
      </c>
      <c r="G1" s="5" t="s">
        <v>1190</v>
      </c>
      <c r="H1" s="5" t="s">
        <v>1354</v>
      </c>
      <c r="I1" s="5" t="s">
        <v>1346</v>
      </c>
      <c r="J1" s="5" t="s">
        <v>1347</v>
      </c>
    </row>
    <row r="2" spans="1:10">
      <c r="A2" s="249" t="s">
        <v>1193</v>
      </c>
      <c r="B2" s="7" t="s">
        <v>11</v>
      </c>
      <c r="C2" s="8" t="s">
        <v>1194</v>
      </c>
      <c r="D2" s="8" t="s">
        <v>1195</v>
      </c>
      <c r="E2" s="7">
        <v>2007</v>
      </c>
      <c r="F2" s="7" t="s">
        <v>1196</v>
      </c>
      <c r="G2" s="7" t="s">
        <v>1197</v>
      </c>
      <c r="H2" s="20">
        <v>44774</v>
      </c>
      <c r="I2" s="18"/>
      <c r="J2" s="18"/>
    </row>
    <row r="3" spans="1:10">
      <c r="A3" s="275"/>
      <c r="B3" s="7" t="s">
        <v>13</v>
      </c>
      <c r="C3" s="8" t="s">
        <v>1199</v>
      </c>
      <c r="D3" s="8" t="s">
        <v>1200</v>
      </c>
      <c r="E3" s="7">
        <v>1998</v>
      </c>
      <c r="F3" s="7" t="s">
        <v>1201</v>
      </c>
      <c r="G3" s="10" t="s">
        <v>1202</v>
      </c>
      <c r="H3" s="20">
        <v>44713</v>
      </c>
      <c r="I3" s="18"/>
      <c r="J3" s="18"/>
    </row>
    <row r="4" spans="1:10">
      <c r="A4" s="276"/>
      <c r="B4" s="7" t="s">
        <v>15</v>
      </c>
      <c r="C4" s="8" t="s">
        <v>1209</v>
      </c>
      <c r="D4" s="8" t="s">
        <v>1210</v>
      </c>
      <c r="E4" s="7">
        <v>2008</v>
      </c>
      <c r="F4" s="7">
        <v>518526</v>
      </c>
      <c r="G4" s="10" t="s">
        <v>1211</v>
      </c>
      <c r="H4" s="18" t="s">
        <v>1355</v>
      </c>
      <c r="I4" s="18"/>
      <c r="J4" s="18"/>
    </row>
    <row r="5" spans="1:10">
      <c r="A5" s="250" t="s">
        <v>1213</v>
      </c>
      <c r="B5" s="7" t="s">
        <v>18</v>
      </c>
      <c r="C5" s="8" t="s">
        <v>1214</v>
      </c>
      <c r="D5" s="8" t="s">
        <v>1215</v>
      </c>
      <c r="E5" s="7">
        <v>2011</v>
      </c>
      <c r="F5" s="7">
        <v>73229790</v>
      </c>
      <c r="G5" s="10" t="s">
        <v>1216</v>
      </c>
      <c r="H5" s="20">
        <v>44835</v>
      </c>
      <c r="I5" s="18"/>
      <c r="J5" s="18"/>
    </row>
    <row r="6" spans="1:10">
      <c r="A6" s="276"/>
      <c r="B6" s="7" t="s">
        <v>20</v>
      </c>
      <c r="C6" s="8" t="s">
        <v>1218</v>
      </c>
      <c r="D6" s="8" t="s">
        <v>1219</v>
      </c>
      <c r="E6" s="7">
        <v>2021</v>
      </c>
      <c r="F6" s="7" t="s">
        <v>1220</v>
      </c>
      <c r="G6" s="10" t="s">
        <v>1221</v>
      </c>
      <c r="H6" s="20">
        <v>44835</v>
      </c>
      <c r="I6" s="18"/>
      <c r="J6" s="18"/>
    </row>
    <row r="7" spans="1:10">
      <c r="A7" s="251" t="s">
        <v>1223</v>
      </c>
      <c r="B7" s="7" t="s">
        <v>23</v>
      </c>
      <c r="C7" s="8" t="s">
        <v>1205</v>
      </c>
      <c r="D7" s="8" t="s">
        <v>1224</v>
      </c>
      <c r="E7" s="7">
        <v>2015</v>
      </c>
      <c r="F7" s="7">
        <v>73598550</v>
      </c>
      <c r="G7" s="10" t="s">
        <v>1225</v>
      </c>
      <c r="H7" s="20">
        <v>44774</v>
      </c>
      <c r="I7" s="18"/>
      <c r="J7" s="18"/>
    </row>
    <row r="8" spans="1:10">
      <c r="A8" s="276"/>
      <c r="B8" s="7" t="s">
        <v>99</v>
      </c>
      <c r="C8" s="8" t="s">
        <v>1194</v>
      </c>
      <c r="D8" s="8" t="s">
        <v>1349</v>
      </c>
      <c r="E8" s="7">
        <v>1998</v>
      </c>
      <c r="F8" s="7" t="s">
        <v>1288</v>
      </c>
      <c r="G8" s="10" t="s">
        <v>1289</v>
      </c>
      <c r="H8" s="20">
        <v>44682</v>
      </c>
      <c r="I8" s="18"/>
      <c r="J8" s="18"/>
    </row>
    <row r="9" spans="1:10">
      <c r="A9" s="252" t="s">
        <v>298</v>
      </c>
      <c r="B9" s="7" t="s">
        <v>26</v>
      </c>
      <c r="C9" s="8" t="s">
        <v>1205</v>
      </c>
      <c r="D9" s="8" t="s">
        <v>1224</v>
      </c>
      <c r="E9" s="7">
        <v>2017</v>
      </c>
      <c r="F9" s="7">
        <v>74046967</v>
      </c>
      <c r="G9" s="10" t="s">
        <v>1231</v>
      </c>
      <c r="H9" s="20">
        <v>44805</v>
      </c>
      <c r="I9" s="18"/>
      <c r="J9" s="18"/>
    </row>
    <row r="10" spans="1:10">
      <c r="A10" s="275"/>
      <c r="B10" s="7" t="s">
        <v>27</v>
      </c>
      <c r="C10" s="8" t="s">
        <v>1205</v>
      </c>
      <c r="D10" s="8" t="s">
        <v>1224</v>
      </c>
      <c r="E10" s="7">
        <v>2011</v>
      </c>
      <c r="F10" s="7">
        <v>73267648</v>
      </c>
      <c r="G10" s="10" t="s">
        <v>1233</v>
      </c>
      <c r="H10" s="18" t="s">
        <v>1355</v>
      </c>
      <c r="I10" s="18"/>
      <c r="J10" s="18"/>
    </row>
    <row r="11" spans="1:10">
      <c r="A11" s="276"/>
      <c r="B11" s="7" t="s">
        <v>28</v>
      </c>
      <c r="C11" s="8" t="s">
        <v>1199</v>
      </c>
      <c r="D11" s="8" t="s">
        <v>1200</v>
      </c>
      <c r="E11" s="7">
        <v>1994</v>
      </c>
      <c r="F11" s="7" t="s">
        <v>1235</v>
      </c>
      <c r="G11" s="10" t="s">
        <v>1236</v>
      </c>
      <c r="H11" s="20">
        <v>44607</v>
      </c>
      <c r="I11" s="18"/>
      <c r="J11" s="18"/>
    </row>
    <row r="12" spans="1:10">
      <c r="A12" s="247" t="s">
        <v>1244</v>
      </c>
      <c r="B12" s="7" t="s">
        <v>33</v>
      </c>
      <c r="C12" s="8" t="s">
        <v>1245</v>
      </c>
      <c r="D12" s="8" t="s">
        <v>1351</v>
      </c>
      <c r="E12" s="7">
        <v>2021</v>
      </c>
      <c r="F12" s="7">
        <v>22856025895616</v>
      </c>
      <c r="G12" s="10" t="s">
        <v>1247</v>
      </c>
      <c r="H12" s="20">
        <v>44575</v>
      </c>
      <c r="I12" s="18"/>
      <c r="J12" s="18"/>
    </row>
    <row r="13" spans="1:10">
      <c r="A13" s="276"/>
      <c r="B13" s="7" t="s">
        <v>1167</v>
      </c>
      <c r="C13" s="8" t="s">
        <v>1245</v>
      </c>
      <c r="D13" s="8" t="s">
        <v>1250</v>
      </c>
      <c r="E13" s="7">
        <v>2013</v>
      </c>
      <c r="F13" s="12">
        <v>22834645963468</v>
      </c>
      <c r="G13" s="10" t="s">
        <v>1251</v>
      </c>
      <c r="H13" s="18" t="s">
        <v>1355</v>
      </c>
      <c r="I13" s="18"/>
      <c r="J13" s="18"/>
    </row>
    <row r="14" spans="1:10">
      <c r="A14" s="246" t="s">
        <v>1259</v>
      </c>
      <c r="B14" s="7" t="s">
        <v>38</v>
      </c>
      <c r="C14" s="8" t="s">
        <v>1209</v>
      </c>
      <c r="D14" s="8" t="s">
        <v>1260</v>
      </c>
      <c r="E14" s="7">
        <v>2015</v>
      </c>
      <c r="F14" s="10">
        <v>1046135</v>
      </c>
      <c r="G14" s="10" t="s">
        <v>1261</v>
      </c>
      <c r="H14" s="20">
        <v>44713</v>
      </c>
      <c r="I14" s="18"/>
      <c r="J14" s="18"/>
    </row>
    <row r="15" spans="1:10">
      <c r="A15" s="275"/>
      <c r="B15" s="7" t="s">
        <v>39</v>
      </c>
      <c r="C15" s="8" t="s">
        <v>1209</v>
      </c>
      <c r="D15" s="8" t="s">
        <v>1260</v>
      </c>
      <c r="E15" s="7">
        <v>2019</v>
      </c>
      <c r="F15" s="13">
        <v>1509868</v>
      </c>
      <c r="G15" s="10" t="s">
        <v>1263</v>
      </c>
      <c r="H15" s="18" t="s">
        <v>1355</v>
      </c>
      <c r="I15" s="18"/>
      <c r="J15" s="18"/>
    </row>
    <row r="16" spans="1:10">
      <c r="A16" s="276"/>
      <c r="B16" s="7" t="s">
        <v>1172</v>
      </c>
      <c r="C16" s="8" t="s">
        <v>1328</v>
      </c>
      <c r="D16" s="8" t="s">
        <v>1329</v>
      </c>
      <c r="E16" s="7">
        <v>2012</v>
      </c>
      <c r="F16" s="7" t="s">
        <v>1330</v>
      </c>
      <c r="G16" s="10" t="s">
        <v>1331</v>
      </c>
      <c r="H16" s="18" t="s">
        <v>1355</v>
      </c>
      <c r="I16" s="18"/>
      <c r="J16" s="18"/>
    </row>
    <row r="17" spans="1:10">
      <c r="A17" s="247" t="s">
        <v>1270</v>
      </c>
      <c r="B17" s="7" t="s">
        <v>43</v>
      </c>
      <c r="C17" s="8" t="s">
        <v>1199</v>
      </c>
      <c r="D17" s="8" t="s">
        <v>1271</v>
      </c>
      <c r="E17" s="7">
        <v>1994</v>
      </c>
      <c r="F17" s="7" t="s">
        <v>1272</v>
      </c>
      <c r="G17" s="10" t="s">
        <v>1273</v>
      </c>
      <c r="H17" s="20">
        <v>44835</v>
      </c>
      <c r="I17" s="18"/>
      <c r="J17" s="18"/>
    </row>
    <row r="18" spans="1:10">
      <c r="A18" s="276"/>
      <c r="B18" s="7" t="s">
        <v>44</v>
      </c>
      <c r="C18" s="8" t="s">
        <v>1209</v>
      </c>
      <c r="D18" s="8" t="s">
        <v>1260</v>
      </c>
      <c r="E18" s="7">
        <v>2015</v>
      </c>
      <c r="F18" s="13">
        <v>1235185</v>
      </c>
      <c r="G18" s="10" t="s">
        <v>1352</v>
      </c>
      <c r="H18" s="20">
        <v>44713</v>
      </c>
      <c r="I18" s="18"/>
      <c r="J18" s="18"/>
    </row>
    <row r="19" spans="1:10">
      <c r="A19" s="24" t="s">
        <v>1282</v>
      </c>
      <c r="B19" s="7" t="s">
        <v>47</v>
      </c>
      <c r="C19" s="8" t="s">
        <v>1194</v>
      </c>
      <c r="D19" s="8" t="s">
        <v>1283</v>
      </c>
      <c r="E19" s="7">
        <v>2004</v>
      </c>
      <c r="F19" s="7" t="s">
        <v>1284</v>
      </c>
      <c r="G19" s="10" t="s">
        <v>1285</v>
      </c>
      <c r="H19" s="20">
        <v>44743</v>
      </c>
      <c r="I19" s="18"/>
      <c r="J19" s="18"/>
    </row>
    <row r="20" spans="1:10">
      <c r="A20" s="25" t="s">
        <v>332</v>
      </c>
      <c r="B20" s="7" t="s">
        <v>49</v>
      </c>
      <c r="C20" s="8" t="s">
        <v>1194</v>
      </c>
      <c r="D20" s="8" t="s">
        <v>1300</v>
      </c>
      <c r="E20" s="7">
        <v>1998</v>
      </c>
      <c r="F20" s="7" t="s">
        <v>1301</v>
      </c>
      <c r="G20" s="10" t="s">
        <v>1302</v>
      </c>
      <c r="H20" s="20">
        <v>44835</v>
      </c>
      <c r="I20" s="18"/>
      <c r="J20" s="18"/>
    </row>
    <row r="21" spans="1:10">
      <c r="A21" s="248" t="s">
        <v>583</v>
      </c>
      <c r="B21" s="7" t="s">
        <v>62</v>
      </c>
      <c r="C21" s="8" t="s">
        <v>1194</v>
      </c>
      <c r="D21" s="8" t="s">
        <v>1296</v>
      </c>
      <c r="E21" s="7">
        <v>1998</v>
      </c>
      <c r="F21" s="7" t="s">
        <v>1297</v>
      </c>
      <c r="G21" s="10" t="s">
        <v>1298</v>
      </c>
      <c r="H21" s="18" t="s">
        <v>1355</v>
      </c>
      <c r="I21" s="18"/>
      <c r="J21" s="18"/>
    </row>
    <row r="22" spans="1:10">
      <c r="A22" s="275"/>
      <c r="B22" s="7" t="s">
        <v>55</v>
      </c>
      <c r="C22" s="8" t="s">
        <v>1238</v>
      </c>
      <c r="D22" s="8" t="s">
        <v>1304</v>
      </c>
      <c r="E22" s="7">
        <v>2015</v>
      </c>
      <c r="F22" s="16" t="s">
        <v>1305</v>
      </c>
      <c r="G22" s="10" t="s">
        <v>1306</v>
      </c>
      <c r="H22" s="20">
        <v>44805</v>
      </c>
      <c r="I22" s="18"/>
      <c r="J22" s="18"/>
    </row>
    <row r="23" spans="1:10">
      <c r="A23" s="275"/>
      <c r="B23" s="7" t="s">
        <v>52</v>
      </c>
      <c r="C23" s="14" t="s">
        <v>1308</v>
      </c>
      <c r="D23" s="14" t="s">
        <v>1309</v>
      </c>
      <c r="E23" s="7">
        <v>2015</v>
      </c>
      <c r="F23" s="15" t="s">
        <v>1310</v>
      </c>
      <c r="G23" s="15" t="s">
        <v>1311</v>
      </c>
      <c r="H23" s="18" t="s">
        <v>1355</v>
      </c>
      <c r="I23" s="18"/>
      <c r="J23" s="18"/>
    </row>
    <row r="24" spans="1:10">
      <c r="A24" s="275"/>
      <c r="B24" s="7" t="s">
        <v>53</v>
      </c>
      <c r="C24" s="14" t="s">
        <v>1291</v>
      </c>
      <c r="D24" s="14" t="s">
        <v>1292</v>
      </c>
      <c r="E24" s="7">
        <v>2019</v>
      </c>
      <c r="F24" s="15" t="s">
        <v>1313</v>
      </c>
      <c r="G24" s="15" t="s">
        <v>1314</v>
      </c>
      <c r="H24" s="20">
        <v>44866</v>
      </c>
      <c r="I24" s="18"/>
      <c r="J24" s="18"/>
    </row>
    <row r="25" spans="1:10">
      <c r="A25" s="275"/>
      <c r="B25" s="7" t="s">
        <v>50</v>
      </c>
      <c r="C25" s="14" t="s">
        <v>1291</v>
      </c>
      <c r="D25" s="14" t="s">
        <v>1292</v>
      </c>
      <c r="E25" s="7">
        <v>2019</v>
      </c>
      <c r="F25" s="15" t="s">
        <v>1293</v>
      </c>
      <c r="G25" s="15" t="s">
        <v>1294</v>
      </c>
      <c r="H25" s="18" t="s">
        <v>1355</v>
      </c>
      <c r="I25" s="18"/>
      <c r="J25" s="18"/>
    </row>
    <row r="26" spans="1:10">
      <c r="A26" s="275"/>
      <c r="B26" s="7" t="s">
        <v>57</v>
      </c>
      <c r="C26" s="14" t="s">
        <v>1218</v>
      </c>
      <c r="D26" s="14" t="s">
        <v>1316</v>
      </c>
      <c r="E26" s="7">
        <v>2017</v>
      </c>
      <c r="F26" s="15" t="s">
        <v>1317</v>
      </c>
      <c r="G26" s="15" t="s">
        <v>1318</v>
      </c>
      <c r="H26" s="20">
        <v>44562</v>
      </c>
      <c r="I26" s="18"/>
      <c r="J26" s="18"/>
    </row>
    <row r="27" spans="1:10">
      <c r="A27" s="275"/>
      <c r="B27" s="7" t="s">
        <v>59</v>
      </c>
      <c r="C27" s="14" t="s">
        <v>1320</v>
      </c>
      <c r="D27" s="14" t="s">
        <v>1321</v>
      </c>
      <c r="E27" s="7">
        <v>2013</v>
      </c>
      <c r="F27" s="15" t="s">
        <v>1322</v>
      </c>
      <c r="G27" s="15" t="s">
        <v>1323</v>
      </c>
      <c r="H27" s="20">
        <v>44866</v>
      </c>
      <c r="I27" s="18"/>
      <c r="J27" s="18"/>
    </row>
    <row r="28" spans="1:10">
      <c r="A28" s="276"/>
      <c r="B28" s="7" t="s">
        <v>1353</v>
      </c>
      <c r="C28" s="14" t="s">
        <v>1265</v>
      </c>
      <c r="D28" s="14" t="s">
        <v>1266</v>
      </c>
      <c r="E28" s="7">
        <v>2015</v>
      </c>
      <c r="F28" s="15" t="s">
        <v>1267</v>
      </c>
      <c r="G28" s="15" t="s">
        <v>1268</v>
      </c>
      <c r="H28" s="20">
        <v>44805</v>
      </c>
      <c r="I28" s="18"/>
      <c r="J28" s="18"/>
    </row>
  </sheetData>
  <mergeCells count="8">
    <mergeCell ref="A14:A16"/>
    <mergeCell ref="A17:A18"/>
    <mergeCell ref="A21:A28"/>
    <mergeCell ref="A2:A4"/>
    <mergeCell ref="A5:A6"/>
    <mergeCell ref="A7:A8"/>
    <mergeCell ref="A9:A11"/>
    <mergeCell ref="A12:A13"/>
  </mergeCell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51B8D-5208-42B2-A6E2-EE6C9B530CB8}">
  <dimension ref="A1:C5"/>
  <sheetViews>
    <sheetView workbookViewId="0">
      <selection activeCell="C6" sqref="C6"/>
    </sheetView>
  </sheetViews>
  <sheetFormatPr defaultRowHeight="15"/>
  <cols>
    <col min="1" max="2" width="9.140625" style="3"/>
    <col min="3" max="3" width="149.7109375" customWidth="1"/>
  </cols>
  <sheetData>
    <row r="1" spans="1:3">
      <c r="A1" s="67" t="s">
        <v>66</v>
      </c>
      <c r="B1" s="67" t="s">
        <v>1356</v>
      </c>
      <c r="C1" s="68" t="s">
        <v>1357</v>
      </c>
    </row>
    <row r="2" spans="1:3">
      <c r="A2" s="69">
        <v>45383</v>
      </c>
      <c r="B2" s="3" t="s">
        <v>26</v>
      </c>
      <c r="C2" s="70" t="s">
        <v>1358</v>
      </c>
    </row>
    <row r="3" spans="1:3">
      <c r="B3" s="3" t="s">
        <v>23</v>
      </c>
    </row>
    <row r="4" spans="1:3">
      <c r="A4" s="69">
        <v>45809</v>
      </c>
      <c r="B4" s="3" t="s">
        <v>26</v>
      </c>
      <c r="C4" t="s">
        <v>1359</v>
      </c>
    </row>
    <row r="5" spans="1:3">
      <c r="A5" s="69">
        <v>45901</v>
      </c>
      <c r="B5" s="3" t="s">
        <v>26</v>
      </c>
      <c r="C5" t="s">
        <v>1360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4740-1695-43D9-85F7-F4AFB0F100A2}">
  <dimension ref="A1:H30"/>
  <sheetViews>
    <sheetView workbookViewId="0">
      <selection activeCell="J23" sqref="J23"/>
    </sheetView>
  </sheetViews>
  <sheetFormatPr defaultRowHeight="15"/>
  <cols>
    <col min="1" max="1" width="12.42578125" customWidth="1"/>
    <col min="2" max="2" width="12.140625" customWidth="1"/>
    <col min="3" max="3" width="25.28515625" customWidth="1"/>
    <col min="4" max="4" width="13.85546875" customWidth="1"/>
    <col min="5" max="5" width="33.28515625" customWidth="1"/>
    <col min="6" max="6" width="15.7109375" customWidth="1"/>
    <col min="7" max="7" width="45.140625" style="50" bestFit="1" customWidth="1"/>
    <col min="8" max="8" width="28.140625" style="50" customWidth="1"/>
  </cols>
  <sheetData>
    <row r="1" spans="1:8" ht="30" customHeight="1">
      <c r="A1" s="111" t="s">
        <v>1361</v>
      </c>
      <c r="B1" s="111" t="s">
        <v>1362</v>
      </c>
      <c r="C1" s="111" t="s">
        <v>1363</v>
      </c>
      <c r="D1" s="111" t="s">
        <v>1364</v>
      </c>
      <c r="E1" s="111" t="s">
        <v>1365</v>
      </c>
      <c r="F1" s="111" t="s">
        <v>1366</v>
      </c>
      <c r="G1" s="112" t="s">
        <v>1367</v>
      </c>
      <c r="H1" s="112" t="s">
        <v>1368</v>
      </c>
    </row>
    <row r="2" spans="1:8" ht="21">
      <c r="A2" s="109" t="s">
        <v>11</v>
      </c>
      <c r="B2" s="109"/>
      <c r="C2" s="109"/>
      <c r="D2" s="109"/>
      <c r="E2" s="109"/>
      <c r="F2" s="109"/>
      <c r="G2" s="110"/>
      <c r="H2" s="110"/>
    </row>
    <row r="3" spans="1:8" ht="21">
      <c r="A3" s="109" t="s">
        <v>13</v>
      </c>
      <c r="B3" s="109" t="s">
        <v>1369</v>
      </c>
      <c r="C3" s="109" t="s">
        <v>1370</v>
      </c>
      <c r="D3" s="109" t="s">
        <v>1369</v>
      </c>
      <c r="E3" s="109" t="s">
        <v>1371</v>
      </c>
      <c r="F3" s="109"/>
      <c r="G3" s="110" t="s">
        <v>1372</v>
      </c>
      <c r="H3" s="110"/>
    </row>
    <row r="4" spans="1:8" ht="21">
      <c r="A4" s="109" t="s">
        <v>15</v>
      </c>
      <c r="B4" s="109"/>
      <c r="C4" s="109"/>
      <c r="D4" s="109"/>
      <c r="E4" s="109"/>
      <c r="F4" s="109"/>
      <c r="G4" s="110"/>
      <c r="H4" s="110"/>
    </row>
    <row r="5" spans="1:8" ht="21">
      <c r="A5" s="109" t="s">
        <v>18</v>
      </c>
      <c r="B5" s="109" t="s">
        <v>1369</v>
      </c>
      <c r="C5" s="109" t="s">
        <v>1373</v>
      </c>
      <c r="D5" s="109" t="s">
        <v>1369</v>
      </c>
      <c r="E5" s="109" t="s">
        <v>1374</v>
      </c>
      <c r="F5" s="109"/>
      <c r="G5" s="110" t="s">
        <v>1375</v>
      </c>
      <c r="H5" s="110"/>
    </row>
    <row r="6" spans="1:8" ht="21">
      <c r="A6" s="109" t="s">
        <v>20</v>
      </c>
      <c r="B6" s="109"/>
      <c r="C6" s="109"/>
      <c r="D6" s="109"/>
      <c r="E6" s="109"/>
      <c r="F6" s="109"/>
      <c r="G6" s="110"/>
      <c r="H6" s="110"/>
    </row>
    <row r="7" spans="1:8" ht="21">
      <c r="A7" s="109" t="s">
        <v>23</v>
      </c>
      <c r="B7" s="109" t="s">
        <v>1376</v>
      </c>
      <c r="C7" s="109" t="s">
        <v>1377</v>
      </c>
      <c r="D7" s="109"/>
      <c r="E7" s="109"/>
      <c r="F7" s="109"/>
      <c r="G7" s="110" t="s">
        <v>1378</v>
      </c>
      <c r="H7" s="110"/>
    </row>
    <row r="8" spans="1:8" ht="21">
      <c r="A8" s="109" t="s">
        <v>24</v>
      </c>
      <c r="B8" s="109"/>
      <c r="C8" s="109"/>
      <c r="D8" s="109"/>
      <c r="E8" s="109"/>
      <c r="F8" s="109"/>
      <c r="G8" s="110"/>
      <c r="H8" s="110"/>
    </row>
    <row r="9" spans="1:8" ht="21">
      <c r="A9" s="109" t="s">
        <v>26</v>
      </c>
      <c r="B9" s="113"/>
      <c r="C9" s="113"/>
      <c r="D9" s="113"/>
      <c r="E9" s="113"/>
      <c r="F9" s="113"/>
      <c r="G9" s="114"/>
      <c r="H9" s="114"/>
    </row>
    <row r="10" spans="1:8" ht="21">
      <c r="A10" s="109" t="s">
        <v>27</v>
      </c>
      <c r="B10" s="113"/>
      <c r="C10" s="113"/>
      <c r="D10" s="113"/>
      <c r="E10" s="113"/>
      <c r="F10" s="113"/>
      <c r="G10" s="114"/>
      <c r="H10" s="114"/>
    </row>
    <row r="11" spans="1:8" ht="21">
      <c r="A11" s="109" t="s">
        <v>28</v>
      </c>
      <c r="B11" s="113"/>
      <c r="C11" s="113"/>
      <c r="D11" s="113"/>
      <c r="E11" s="113"/>
      <c r="F11" s="113"/>
      <c r="G11" s="114"/>
      <c r="H11" s="114"/>
    </row>
    <row r="12" spans="1:8" ht="21">
      <c r="A12" s="109" t="s">
        <v>33</v>
      </c>
      <c r="B12" s="109"/>
      <c r="C12" s="109"/>
      <c r="D12" s="109"/>
      <c r="E12" s="109"/>
      <c r="F12" s="109"/>
      <c r="G12" s="110"/>
      <c r="H12" s="110"/>
    </row>
    <row r="13" spans="1:8" ht="21">
      <c r="A13" s="109" t="s">
        <v>34</v>
      </c>
      <c r="B13" s="109"/>
      <c r="C13" s="109"/>
      <c r="D13" s="109"/>
      <c r="E13" s="109"/>
      <c r="F13" s="109"/>
      <c r="G13" s="110"/>
      <c r="H13" s="110"/>
    </row>
    <row r="14" spans="1:8" ht="21">
      <c r="A14" s="109" t="s">
        <v>35</v>
      </c>
      <c r="B14" s="109"/>
      <c r="C14" s="109"/>
      <c r="D14" s="109"/>
      <c r="E14" s="109"/>
      <c r="F14" s="109"/>
      <c r="G14" s="110"/>
      <c r="H14" s="110"/>
    </row>
    <row r="15" spans="1:8" ht="21">
      <c r="A15" s="109" t="s">
        <v>38</v>
      </c>
      <c r="B15" s="109"/>
      <c r="C15" s="109"/>
      <c r="D15" s="109"/>
      <c r="E15" s="109"/>
      <c r="F15" s="109"/>
      <c r="G15" s="110"/>
      <c r="H15" s="110"/>
    </row>
    <row r="16" spans="1:8" ht="21">
      <c r="A16" s="109" t="s">
        <v>39</v>
      </c>
      <c r="B16" s="109"/>
      <c r="C16" s="109"/>
      <c r="D16" s="109"/>
      <c r="E16" s="109"/>
      <c r="F16" s="109"/>
      <c r="G16" s="110"/>
      <c r="H16" s="110"/>
    </row>
    <row r="17" spans="1:8" ht="21">
      <c r="A17" s="109" t="s">
        <v>40</v>
      </c>
      <c r="B17" s="109"/>
      <c r="C17" s="109"/>
      <c r="D17" s="109"/>
      <c r="E17" s="109"/>
      <c r="F17" s="109"/>
      <c r="G17" s="110"/>
      <c r="H17" s="110"/>
    </row>
    <row r="18" spans="1:8" ht="21">
      <c r="A18" s="109" t="s">
        <v>43</v>
      </c>
      <c r="B18" s="109"/>
      <c r="C18" s="109"/>
      <c r="D18" s="109"/>
      <c r="E18" s="109"/>
      <c r="F18" s="109"/>
      <c r="G18" s="110"/>
      <c r="H18" s="110"/>
    </row>
    <row r="19" spans="1:8" ht="21">
      <c r="A19" s="109" t="s">
        <v>44</v>
      </c>
      <c r="B19" s="109"/>
      <c r="C19" s="109"/>
      <c r="D19" s="109"/>
      <c r="E19" s="109"/>
      <c r="F19" s="109"/>
      <c r="G19" s="110"/>
      <c r="H19" s="110"/>
    </row>
    <row r="20" spans="1:8" ht="21">
      <c r="A20" s="109" t="s">
        <v>45</v>
      </c>
      <c r="B20" s="109"/>
      <c r="C20" s="109"/>
      <c r="D20" s="109"/>
      <c r="E20" s="109"/>
      <c r="F20" s="109"/>
      <c r="G20" s="110"/>
      <c r="H20" s="110"/>
    </row>
    <row r="21" spans="1:8" ht="21">
      <c r="A21" s="109" t="s">
        <v>47</v>
      </c>
      <c r="B21" s="109"/>
      <c r="C21" s="109"/>
      <c r="D21" s="109"/>
      <c r="E21" s="109"/>
      <c r="F21" s="109"/>
      <c r="G21" s="110"/>
      <c r="H21" s="110"/>
    </row>
    <row r="22" spans="1:8" ht="21">
      <c r="A22" s="109" t="s">
        <v>49</v>
      </c>
      <c r="B22" s="109"/>
      <c r="C22" s="109"/>
      <c r="D22" s="109"/>
      <c r="E22" s="109"/>
      <c r="F22" s="109"/>
      <c r="G22" s="110"/>
      <c r="H22" s="110"/>
    </row>
    <row r="23" spans="1:8" ht="21">
      <c r="A23" s="109" t="s">
        <v>50</v>
      </c>
      <c r="B23" s="109"/>
      <c r="C23" s="109"/>
      <c r="D23" s="109"/>
      <c r="E23" s="109"/>
      <c r="F23" s="109"/>
      <c r="G23" s="110"/>
      <c r="H23" s="110"/>
    </row>
    <row r="24" spans="1:8" ht="21">
      <c r="A24" s="109" t="s">
        <v>52</v>
      </c>
      <c r="B24" s="109"/>
      <c r="C24" s="109"/>
      <c r="D24" s="109"/>
      <c r="E24" s="109"/>
      <c r="F24" s="109"/>
      <c r="G24" s="110"/>
      <c r="H24" s="110"/>
    </row>
    <row r="25" spans="1:8" ht="21">
      <c r="A25" s="109" t="s">
        <v>53</v>
      </c>
      <c r="B25" s="109"/>
      <c r="C25" s="109"/>
      <c r="D25" s="109"/>
      <c r="E25" s="109"/>
      <c r="F25" s="109"/>
      <c r="G25" s="110"/>
      <c r="H25" s="110"/>
    </row>
    <row r="26" spans="1:8" ht="21">
      <c r="A26" s="109" t="s">
        <v>54</v>
      </c>
      <c r="B26" s="109"/>
      <c r="C26" s="109"/>
      <c r="D26" s="109"/>
      <c r="E26" s="109"/>
      <c r="F26" s="109"/>
      <c r="G26" s="110"/>
      <c r="H26" s="110"/>
    </row>
    <row r="27" spans="1:8" ht="21">
      <c r="A27" s="109" t="s">
        <v>55</v>
      </c>
      <c r="B27" s="109"/>
      <c r="C27" s="109"/>
      <c r="D27" s="109"/>
      <c r="E27" s="109"/>
      <c r="F27" s="109"/>
      <c r="G27" s="110"/>
      <c r="H27" s="110"/>
    </row>
    <row r="28" spans="1:8" ht="21">
      <c r="A28" s="109" t="s">
        <v>61</v>
      </c>
      <c r="B28" s="109"/>
      <c r="C28" s="109"/>
      <c r="D28" s="109"/>
      <c r="E28" s="109"/>
      <c r="F28" s="109"/>
      <c r="G28" s="110"/>
      <c r="H28" s="110"/>
    </row>
    <row r="29" spans="1:8" ht="21">
      <c r="A29" s="109" t="s">
        <v>57</v>
      </c>
      <c r="B29" s="109"/>
      <c r="C29" s="109"/>
      <c r="D29" s="109"/>
      <c r="E29" s="109"/>
      <c r="F29" s="109"/>
      <c r="G29" s="110"/>
      <c r="H29" s="110"/>
    </row>
    <row r="30" spans="1:8" ht="21">
      <c r="A30" s="109" t="s">
        <v>59</v>
      </c>
      <c r="B30" s="109"/>
      <c r="C30" s="109"/>
      <c r="D30" s="109"/>
      <c r="E30" s="109"/>
      <c r="F30" s="109"/>
      <c r="G30" s="110"/>
      <c r="H30" s="110"/>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001"/>
  <sheetViews>
    <sheetView topLeftCell="A8" workbookViewId="0">
      <selection activeCell="O13" sqref="O13"/>
    </sheetView>
  </sheetViews>
  <sheetFormatPr defaultColWidth="14.42578125" defaultRowHeight="15" customHeight="1" outlineLevelCol="1"/>
  <cols>
    <col min="1" max="1" width="12.5703125" customWidth="1"/>
    <col min="2" max="2" width="8.85546875" customWidth="1"/>
    <col min="3" max="3" width="13.28515625" customWidth="1" outlineLevel="1"/>
    <col min="4" max="4" width="18.140625" customWidth="1" outlineLevel="1"/>
    <col min="5" max="5" width="5.140625" customWidth="1" outlineLevel="1"/>
    <col min="6" max="6" width="19.85546875" customWidth="1" outlineLevel="1"/>
    <col min="7" max="7" width="21.42578125" customWidth="1" outlineLevel="1"/>
    <col min="8" max="8" width="12.28515625" customWidth="1" outlineLevel="1"/>
    <col min="9" max="9" width="17.28515625" customWidth="1" outlineLevel="1"/>
    <col min="10" max="10" width="15.85546875" customWidth="1" outlineLevel="1"/>
    <col min="11" max="11" width="24.42578125" customWidth="1"/>
    <col min="12" max="12" width="34.85546875" customWidth="1"/>
    <col min="13" max="13" width="21.85546875" customWidth="1"/>
    <col min="14" max="15" width="17.85546875" customWidth="1"/>
    <col min="16" max="16" width="11.42578125" customWidth="1"/>
    <col min="17" max="17" width="16.85546875" customWidth="1"/>
    <col min="18" max="18" width="25.7109375" customWidth="1"/>
  </cols>
  <sheetData>
    <row r="1" spans="1:18">
      <c r="A1" s="5" t="s">
        <v>0</v>
      </c>
      <c r="B1" s="5" t="s">
        <v>1186</v>
      </c>
      <c r="C1" s="6" t="s">
        <v>1187</v>
      </c>
      <c r="D1" s="6" t="s">
        <v>1188</v>
      </c>
      <c r="E1" s="5" t="s">
        <v>552</v>
      </c>
      <c r="F1" s="5" t="s">
        <v>1189</v>
      </c>
      <c r="G1" s="5" t="s">
        <v>1190</v>
      </c>
      <c r="H1" s="5" t="s">
        <v>1191</v>
      </c>
      <c r="I1" s="19" t="s">
        <v>1354</v>
      </c>
      <c r="J1" s="45" t="s">
        <v>1379</v>
      </c>
      <c r="K1" s="45" t="s">
        <v>1380</v>
      </c>
      <c r="L1" s="108" t="s">
        <v>1381</v>
      </c>
      <c r="M1" s="108" t="s">
        <v>1381</v>
      </c>
      <c r="N1" s="45" t="s">
        <v>1382</v>
      </c>
      <c r="O1" s="45" t="s">
        <v>2</v>
      </c>
      <c r="P1" s="47" t="s">
        <v>1383</v>
      </c>
      <c r="Q1" s="5" t="s">
        <v>1384</v>
      </c>
      <c r="R1" s="47" t="s">
        <v>1385</v>
      </c>
    </row>
    <row r="2" spans="1:18" ht="18" customHeight="1">
      <c r="A2" s="258" t="s">
        <v>1193</v>
      </c>
      <c r="B2" s="7" t="s">
        <v>11</v>
      </c>
      <c r="C2" s="8" t="s">
        <v>1194</v>
      </c>
      <c r="D2" s="8" t="s">
        <v>1195</v>
      </c>
      <c r="E2" s="7">
        <v>2007</v>
      </c>
      <c r="F2" s="7" t="s">
        <v>1196</v>
      </c>
      <c r="G2" s="7" t="s">
        <v>1197</v>
      </c>
      <c r="H2" s="7" t="s">
        <v>1198</v>
      </c>
      <c r="I2" s="43">
        <v>44774</v>
      </c>
      <c r="J2" s="20">
        <v>45292</v>
      </c>
      <c r="K2" s="46">
        <v>45292</v>
      </c>
      <c r="L2" s="46">
        <v>45748</v>
      </c>
      <c r="M2" s="46">
        <v>45992</v>
      </c>
      <c r="N2" s="107"/>
      <c r="O2" s="79" t="s">
        <v>1386</v>
      </c>
      <c r="P2" s="98">
        <v>81170</v>
      </c>
      <c r="Q2" s="102">
        <v>11330</v>
      </c>
      <c r="R2" s="98">
        <f>+Q2+400</f>
        <v>11730</v>
      </c>
    </row>
    <row r="3" spans="1:18">
      <c r="A3" s="259"/>
      <c r="B3" s="7" t="s">
        <v>13</v>
      </c>
      <c r="C3" s="8" t="s">
        <v>1199</v>
      </c>
      <c r="D3" s="8" t="s">
        <v>1200</v>
      </c>
      <c r="E3" s="7">
        <v>1998</v>
      </c>
      <c r="F3" s="7" t="s">
        <v>1201</v>
      </c>
      <c r="G3" s="10" t="s">
        <v>1202</v>
      </c>
      <c r="H3" s="30" t="s">
        <v>1203</v>
      </c>
      <c r="I3" s="43">
        <v>44713</v>
      </c>
      <c r="J3" s="20">
        <v>45047</v>
      </c>
      <c r="K3" s="46" t="s">
        <v>1387</v>
      </c>
      <c r="L3" s="46">
        <v>45671</v>
      </c>
      <c r="M3" s="91"/>
      <c r="N3" s="46">
        <v>46023</v>
      </c>
      <c r="O3" s="79" t="s">
        <v>1388</v>
      </c>
      <c r="P3" s="98">
        <v>68353</v>
      </c>
      <c r="Q3" s="98">
        <v>4317</v>
      </c>
      <c r="R3" s="101">
        <f>+Q3+400</f>
        <v>4717</v>
      </c>
    </row>
    <row r="4" spans="1:18">
      <c r="A4" s="260"/>
      <c r="B4" s="7" t="s">
        <v>15</v>
      </c>
      <c r="C4" s="8" t="s">
        <v>1209</v>
      </c>
      <c r="D4" s="8" t="s">
        <v>1210</v>
      </c>
      <c r="E4" s="7">
        <v>2008</v>
      </c>
      <c r="F4" s="7">
        <v>518526</v>
      </c>
      <c r="G4" s="27" t="s">
        <v>1211</v>
      </c>
      <c r="H4" s="7" t="s">
        <v>1212</v>
      </c>
      <c r="I4" s="94" t="s">
        <v>1355</v>
      </c>
      <c r="J4" s="20">
        <v>45078</v>
      </c>
      <c r="K4" s="78" t="s">
        <v>1387</v>
      </c>
      <c r="L4" s="46">
        <v>45748</v>
      </c>
      <c r="M4" s="91"/>
      <c r="N4" s="202" t="s">
        <v>1389</v>
      </c>
      <c r="O4" s="79" t="s">
        <v>1386</v>
      </c>
      <c r="P4" s="98"/>
      <c r="Q4" s="98"/>
      <c r="R4" s="98"/>
    </row>
    <row r="5" spans="1:18">
      <c r="A5" s="261" t="s">
        <v>1213</v>
      </c>
      <c r="B5" s="7" t="s">
        <v>18</v>
      </c>
      <c r="C5" s="8" t="s">
        <v>1214</v>
      </c>
      <c r="D5" s="8" t="s">
        <v>1215</v>
      </c>
      <c r="E5" s="7">
        <v>2011</v>
      </c>
      <c r="F5" s="7">
        <v>73229790</v>
      </c>
      <c r="G5" s="27" t="s">
        <v>1216</v>
      </c>
      <c r="H5" s="7" t="s">
        <v>1217</v>
      </c>
      <c r="I5" s="95">
        <v>44835</v>
      </c>
      <c r="J5" s="20">
        <v>44835</v>
      </c>
      <c r="K5" s="78" t="s">
        <v>1387</v>
      </c>
      <c r="L5" s="46">
        <v>45671</v>
      </c>
      <c r="M5" s="46">
        <v>45911</v>
      </c>
      <c r="N5" s="107"/>
      <c r="O5" s="79" t="s">
        <v>1388</v>
      </c>
      <c r="P5" s="98">
        <v>60418</v>
      </c>
      <c r="Q5" s="98">
        <v>5698</v>
      </c>
      <c r="R5" s="98">
        <f>+Q5+400</f>
        <v>6098</v>
      </c>
    </row>
    <row r="6" spans="1:18">
      <c r="A6" s="262"/>
      <c r="B6" s="7" t="s">
        <v>20</v>
      </c>
      <c r="C6" s="8" t="s">
        <v>1218</v>
      </c>
      <c r="D6" s="8" t="s">
        <v>1219</v>
      </c>
      <c r="E6" s="7">
        <v>2021</v>
      </c>
      <c r="F6" s="7" t="s">
        <v>1220</v>
      </c>
      <c r="G6" s="27" t="s">
        <v>1221</v>
      </c>
      <c r="H6" s="7" t="s">
        <v>1222</v>
      </c>
      <c r="I6" s="95">
        <v>44835</v>
      </c>
      <c r="J6" s="20">
        <v>45231</v>
      </c>
      <c r="K6" s="46">
        <v>45597</v>
      </c>
      <c r="L6" s="46">
        <v>45962</v>
      </c>
      <c r="M6" s="91"/>
      <c r="N6" s="107"/>
      <c r="O6" s="79" t="s">
        <v>1386</v>
      </c>
      <c r="P6" s="98"/>
      <c r="Q6" s="98"/>
      <c r="R6" s="98"/>
    </row>
    <row r="7" spans="1:18">
      <c r="A7" s="263" t="s">
        <v>1223</v>
      </c>
      <c r="B7" s="7" t="s">
        <v>23</v>
      </c>
      <c r="C7" s="8" t="s">
        <v>1205</v>
      </c>
      <c r="D7" s="8" t="s">
        <v>1224</v>
      </c>
      <c r="E7" s="7">
        <v>2015</v>
      </c>
      <c r="F7" s="7">
        <v>73598550</v>
      </c>
      <c r="G7" s="27" t="s">
        <v>1225</v>
      </c>
      <c r="H7" s="16" t="s">
        <v>1226</v>
      </c>
      <c r="I7" s="95">
        <v>44774</v>
      </c>
      <c r="J7" s="20">
        <v>45017</v>
      </c>
      <c r="K7" s="46">
        <v>45536</v>
      </c>
      <c r="L7" s="106" t="s">
        <v>1390</v>
      </c>
      <c r="M7" s="46">
        <v>45962</v>
      </c>
      <c r="N7" s="107"/>
      <c r="O7" s="79" t="s">
        <v>1388</v>
      </c>
      <c r="P7" s="98">
        <v>100245</v>
      </c>
      <c r="Q7" s="98">
        <v>6694</v>
      </c>
      <c r="R7" s="98">
        <f>+Q7+400</f>
        <v>7094</v>
      </c>
    </row>
    <row r="8" spans="1:18">
      <c r="A8" s="264"/>
      <c r="B8" s="7" t="s">
        <v>24</v>
      </c>
      <c r="C8" s="8" t="s">
        <v>1227</v>
      </c>
      <c r="D8" s="8" t="s">
        <v>1228</v>
      </c>
      <c r="E8" s="7">
        <v>2023</v>
      </c>
      <c r="F8" s="7">
        <v>74884819</v>
      </c>
      <c r="G8" s="27" t="s">
        <v>1229</v>
      </c>
      <c r="H8" s="16" t="s">
        <v>1230</v>
      </c>
      <c r="I8" s="44">
        <v>45486</v>
      </c>
      <c r="J8" s="20">
        <v>45231</v>
      </c>
      <c r="K8" s="78" t="s">
        <v>1391</v>
      </c>
      <c r="L8" s="105">
        <v>45671</v>
      </c>
      <c r="M8" s="46">
        <v>45962</v>
      </c>
      <c r="N8" s="107"/>
      <c r="O8" s="79" t="s">
        <v>1388</v>
      </c>
      <c r="P8" s="98">
        <v>8097</v>
      </c>
      <c r="Q8" s="98">
        <v>642</v>
      </c>
      <c r="R8" s="101">
        <f>+Q8+400</f>
        <v>1042</v>
      </c>
    </row>
    <row r="9" spans="1:18">
      <c r="A9" s="265" t="s">
        <v>298</v>
      </c>
      <c r="B9" s="7" t="s">
        <v>26</v>
      </c>
      <c r="C9" s="8" t="s">
        <v>1205</v>
      </c>
      <c r="D9" s="8" t="s">
        <v>1224</v>
      </c>
      <c r="E9" s="7">
        <v>2017</v>
      </c>
      <c r="F9" s="7">
        <v>74046967</v>
      </c>
      <c r="G9" s="27" t="s">
        <v>1231</v>
      </c>
      <c r="H9" s="7" t="s">
        <v>1232</v>
      </c>
      <c r="I9" s="95">
        <v>44805</v>
      </c>
      <c r="J9" s="20"/>
      <c r="K9" s="46">
        <v>45536</v>
      </c>
      <c r="L9" s="46">
        <v>45962</v>
      </c>
      <c r="M9" s="46">
        <v>45962</v>
      </c>
      <c r="N9" s="107"/>
      <c r="O9" s="79" t="s">
        <v>1388</v>
      </c>
      <c r="P9" s="98">
        <v>45673.4</v>
      </c>
      <c r="Q9" s="98">
        <v>5351.8</v>
      </c>
      <c r="R9" s="101">
        <f>+Q9+400</f>
        <v>5751.8</v>
      </c>
    </row>
    <row r="10" spans="1:18">
      <c r="A10" s="266"/>
      <c r="B10" s="7" t="s">
        <v>27</v>
      </c>
      <c r="C10" s="8" t="s">
        <v>1205</v>
      </c>
      <c r="D10" s="8" t="s">
        <v>1224</v>
      </c>
      <c r="E10" s="7">
        <v>2011</v>
      </c>
      <c r="F10" s="7">
        <v>73267648</v>
      </c>
      <c r="G10" s="27" t="s">
        <v>1233</v>
      </c>
      <c r="H10" s="16" t="s">
        <v>1234</v>
      </c>
      <c r="I10" s="95">
        <v>44713</v>
      </c>
      <c r="J10" s="20">
        <v>45108</v>
      </c>
      <c r="K10" s="78" t="s">
        <v>1387</v>
      </c>
      <c r="L10" s="46">
        <v>45658</v>
      </c>
      <c r="M10" s="46">
        <v>45911</v>
      </c>
      <c r="N10" s="107"/>
      <c r="O10" s="79" t="s">
        <v>1388</v>
      </c>
      <c r="P10" s="98">
        <v>54269</v>
      </c>
      <c r="Q10" s="98">
        <v>5141</v>
      </c>
      <c r="R10" s="101">
        <f t="shared" ref="R9:R14" si="0">+Q10+400</f>
        <v>5541</v>
      </c>
    </row>
    <row r="11" spans="1:18">
      <c r="A11" s="267"/>
      <c r="B11" s="7" t="s">
        <v>28</v>
      </c>
      <c r="C11" s="8" t="s">
        <v>1199</v>
      </c>
      <c r="D11" s="8" t="s">
        <v>1200</v>
      </c>
      <c r="E11" s="7">
        <v>1994</v>
      </c>
      <c r="F11" s="30" t="s">
        <v>1235</v>
      </c>
      <c r="G11" s="27" t="s">
        <v>1236</v>
      </c>
      <c r="H11" s="7" t="s">
        <v>1237</v>
      </c>
      <c r="I11" s="95">
        <v>44607</v>
      </c>
      <c r="J11" s="20">
        <v>44958</v>
      </c>
      <c r="K11" s="78" t="s">
        <v>1387</v>
      </c>
      <c r="L11" s="46">
        <v>45809</v>
      </c>
      <c r="M11" s="91"/>
      <c r="N11" s="107" t="s">
        <v>1392</v>
      </c>
      <c r="O11" s="79" t="s">
        <v>1388</v>
      </c>
      <c r="P11" s="98"/>
      <c r="Q11" s="98"/>
      <c r="R11" s="101">
        <f t="shared" si="0"/>
        <v>400</v>
      </c>
    </row>
    <row r="12" spans="1:18">
      <c r="A12" s="268" t="s">
        <v>1244</v>
      </c>
      <c r="B12" s="7" t="s">
        <v>33</v>
      </c>
      <c r="C12" s="8" t="s">
        <v>1245</v>
      </c>
      <c r="D12" s="8" t="s">
        <v>1351</v>
      </c>
      <c r="E12" s="29">
        <v>2021</v>
      </c>
      <c r="F12" s="28">
        <v>22856025895616</v>
      </c>
      <c r="G12" s="92" t="s">
        <v>1247</v>
      </c>
      <c r="H12" s="7" t="s">
        <v>1248</v>
      </c>
      <c r="I12" s="95">
        <v>44575</v>
      </c>
      <c r="J12" s="20"/>
      <c r="K12" s="46">
        <v>45597</v>
      </c>
      <c r="L12" s="89" t="s">
        <v>1393</v>
      </c>
      <c r="M12" s="91"/>
      <c r="N12" s="46" t="s">
        <v>1394</v>
      </c>
      <c r="O12" s="79" t="s">
        <v>1386</v>
      </c>
      <c r="P12" s="98"/>
      <c r="Q12" s="98"/>
      <c r="R12" s="101">
        <f t="shared" si="0"/>
        <v>400</v>
      </c>
    </row>
    <row r="13" spans="1:18">
      <c r="A13" s="269"/>
      <c r="B13" s="7" t="s">
        <v>34</v>
      </c>
      <c r="C13" s="8" t="s">
        <v>1245</v>
      </c>
      <c r="D13" s="8" t="s">
        <v>1250</v>
      </c>
      <c r="E13" s="29">
        <v>2013</v>
      </c>
      <c r="F13" s="28">
        <v>22834645963468</v>
      </c>
      <c r="G13" s="92" t="s">
        <v>1251</v>
      </c>
      <c r="H13" s="7" t="s">
        <v>1252</v>
      </c>
      <c r="I13" s="95">
        <v>44621</v>
      </c>
      <c r="J13" s="20">
        <v>45200</v>
      </c>
      <c r="K13" s="78" t="s">
        <v>1387</v>
      </c>
      <c r="L13" s="46">
        <v>45717</v>
      </c>
      <c r="M13" s="91"/>
      <c r="N13" s="202" t="s">
        <v>1389</v>
      </c>
      <c r="O13" s="79" t="s">
        <v>1386</v>
      </c>
      <c r="P13" s="98"/>
      <c r="Q13" s="98"/>
      <c r="R13" s="101">
        <f t="shared" si="0"/>
        <v>400</v>
      </c>
    </row>
    <row r="14" spans="1:18">
      <c r="A14" s="270" t="s">
        <v>1259</v>
      </c>
      <c r="B14" s="7" t="s">
        <v>38</v>
      </c>
      <c r="C14" s="8" t="s">
        <v>1209</v>
      </c>
      <c r="D14" s="8" t="s">
        <v>1260</v>
      </c>
      <c r="E14" s="7">
        <v>2015</v>
      </c>
      <c r="F14" s="31">
        <v>1046135</v>
      </c>
      <c r="G14" s="27" t="s">
        <v>1261</v>
      </c>
      <c r="H14" s="7" t="s">
        <v>1262</v>
      </c>
      <c r="I14" s="95">
        <v>44713</v>
      </c>
      <c r="J14" s="20">
        <v>45078</v>
      </c>
      <c r="K14" s="46">
        <v>45627</v>
      </c>
      <c r="L14" s="46">
        <v>45911</v>
      </c>
      <c r="M14" s="91"/>
      <c r="N14" s="107"/>
      <c r="O14" s="79" t="s">
        <v>1386</v>
      </c>
      <c r="P14" s="98">
        <v>30875</v>
      </c>
      <c r="Q14" s="98">
        <v>5511.3</v>
      </c>
      <c r="R14" s="101">
        <f t="shared" si="0"/>
        <v>5911.3</v>
      </c>
    </row>
    <row r="15" spans="1:18" ht="15.75" customHeight="1">
      <c r="A15" s="271"/>
      <c r="B15" s="7" t="s">
        <v>39</v>
      </c>
      <c r="C15" s="8" t="s">
        <v>1209</v>
      </c>
      <c r="D15" s="8" t="s">
        <v>1260</v>
      </c>
      <c r="E15" s="7">
        <v>2019</v>
      </c>
      <c r="F15" s="13">
        <v>1509868</v>
      </c>
      <c r="G15" s="27" t="s">
        <v>1263</v>
      </c>
      <c r="H15" s="16" t="s">
        <v>1264</v>
      </c>
      <c r="I15" s="95">
        <v>44713</v>
      </c>
      <c r="J15" s="20"/>
      <c r="K15" s="46">
        <v>45474</v>
      </c>
      <c r="L15" s="46">
        <v>45962</v>
      </c>
      <c r="M15" s="91"/>
      <c r="N15" s="107"/>
      <c r="O15" s="79" t="s">
        <v>1386</v>
      </c>
      <c r="P15" s="98"/>
      <c r="Q15" s="98" t="s">
        <v>1395</v>
      </c>
      <c r="R15" s="98"/>
    </row>
    <row r="16" spans="1:18" ht="15.75" customHeight="1">
      <c r="A16" s="272"/>
      <c r="B16" s="7" t="s">
        <v>40</v>
      </c>
      <c r="C16" s="14" t="s">
        <v>1265</v>
      </c>
      <c r="D16" s="14" t="s">
        <v>1266</v>
      </c>
      <c r="E16" s="7">
        <v>2015</v>
      </c>
      <c r="F16" s="15" t="s">
        <v>1267</v>
      </c>
      <c r="G16" s="93" t="s">
        <v>1268</v>
      </c>
      <c r="H16" s="7" t="s">
        <v>1269</v>
      </c>
      <c r="I16" s="95">
        <v>44805</v>
      </c>
      <c r="J16" s="20">
        <v>45200</v>
      </c>
      <c r="K16" s="78" t="s">
        <v>1387</v>
      </c>
      <c r="L16" s="46">
        <v>45778</v>
      </c>
      <c r="M16" s="91"/>
      <c r="N16" s="202" t="s">
        <v>1389</v>
      </c>
      <c r="O16" s="79" t="s">
        <v>1388</v>
      </c>
      <c r="P16" s="98"/>
      <c r="Q16" s="98"/>
      <c r="R16" s="98"/>
    </row>
    <row r="17" spans="1:18" ht="15.75" customHeight="1">
      <c r="A17" s="268" t="s">
        <v>1270</v>
      </c>
      <c r="B17" s="7" t="s">
        <v>43</v>
      </c>
      <c r="C17" s="8" t="s">
        <v>1199</v>
      </c>
      <c r="D17" s="8" t="s">
        <v>1271</v>
      </c>
      <c r="E17" s="7">
        <v>1994</v>
      </c>
      <c r="F17" s="30" t="s">
        <v>1272</v>
      </c>
      <c r="G17" s="27" t="s">
        <v>1273</v>
      </c>
      <c r="H17" s="7" t="s">
        <v>1274</v>
      </c>
      <c r="I17" s="95">
        <v>44835</v>
      </c>
      <c r="J17" s="20">
        <v>45047</v>
      </c>
      <c r="K17" s="78" t="s">
        <v>1387</v>
      </c>
      <c r="L17" s="46">
        <v>45911</v>
      </c>
      <c r="M17" s="91"/>
      <c r="N17" s="107"/>
      <c r="O17" s="79" t="s">
        <v>1388</v>
      </c>
      <c r="P17" s="98" t="s">
        <v>1396</v>
      </c>
      <c r="Q17" s="98" t="s">
        <v>1396</v>
      </c>
      <c r="R17" s="98"/>
    </row>
    <row r="18" spans="1:18" ht="15.75" customHeight="1">
      <c r="A18" s="273"/>
      <c r="B18" s="7" t="s">
        <v>44</v>
      </c>
      <c r="C18" s="8" t="s">
        <v>1209</v>
      </c>
      <c r="D18" s="8" t="s">
        <v>1260</v>
      </c>
      <c r="E18" s="29">
        <v>2015</v>
      </c>
      <c r="F18" s="10">
        <v>1235185</v>
      </c>
      <c r="G18" s="27" t="s">
        <v>1275</v>
      </c>
      <c r="H18" s="16" t="s">
        <v>1276</v>
      </c>
      <c r="I18" s="95">
        <v>44713</v>
      </c>
      <c r="J18" s="20">
        <v>45292</v>
      </c>
      <c r="K18" s="46">
        <v>45292</v>
      </c>
      <c r="L18" s="46">
        <v>45911</v>
      </c>
      <c r="M18" s="91"/>
      <c r="N18" s="107"/>
      <c r="O18" s="79" t="s">
        <v>1386</v>
      </c>
      <c r="P18" s="98">
        <v>46898</v>
      </c>
      <c r="Q18" s="98">
        <v>4805</v>
      </c>
      <c r="R18" s="98">
        <f>Q18+400</f>
        <v>5205</v>
      </c>
    </row>
    <row r="19" spans="1:18" ht="15.75" customHeight="1">
      <c r="A19" s="269"/>
      <c r="B19" s="7" t="s">
        <v>45</v>
      </c>
      <c r="C19" s="8" t="s">
        <v>1277</v>
      </c>
      <c r="D19" s="8" t="s">
        <v>1278</v>
      </c>
      <c r="E19" s="29">
        <v>2025</v>
      </c>
      <c r="F19" s="104" t="s">
        <v>1279</v>
      </c>
      <c r="G19" s="92"/>
      <c r="H19" s="16" t="s">
        <v>868</v>
      </c>
      <c r="I19" s="95"/>
      <c r="J19" s="20"/>
      <c r="K19" s="71" t="s">
        <v>1397</v>
      </c>
      <c r="L19" s="89" t="s">
        <v>1393</v>
      </c>
      <c r="M19" s="91"/>
      <c r="N19" s="107"/>
      <c r="O19" s="79" t="s">
        <v>1388</v>
      </c>
      <c r="P19" s="98"/>
      <c r="Q19" s="98"/>
      <c r="R19" s="98"/>
    </row>
    <row r="20" spans="1:18" ht="15.75" customHeight="1">
      <c r="A20" s="90" t="s">
        <v>1282</v>
      </c>
      <c r="B20" s="7" t="s">
        <v>47</v>
      </c>
      <c r="C20" s="8" t="s">
        <v>1194</v>
      </c>
      <c r="D20" s="8" t="s">
        <v>1283</v>
      </c>
      <c r="E20" s="29">
        <v>2004</v>
      </c>
      <c r="F20" s="7" t="s">
        <v>1284</v>
      </c>
      <c r="G20" s="92" t="s">
        <v>1285</v>
      </c>
      <c r="H20" s="7" t="s">
        <v>1286</v>
      </c>
      <c r="I20" s="95">
        <v>44743</v>
      </c>
      <c r="J20" s="20">
        <v>45108</v>
      </c>
      <c r="K20" s="78" t="s">
        <v>1391</v>
      </c>
      <c r="L20" s="46">
        <v>45658</v>
      </c>
      <c r="M20" s="91"/>
      <c r="N20" s="46">
        <v>46023</v>
      </c>
      <c r="O20" s="79" t="s">
        <v>1386</v>
      </c>
      <c r="P20" s="98">
        <v>84780</v>
      </c>
      <c r="Q20" s="98">
        <v>8956</v>
      </c>
      <c r="R20" s="101">
        <f>+Q20+400</f>
        <v>9356</v>
      </c>
    </row>
    <row r="21" spans="1:18" ht="15.75" customHeight="1">
      <c r="A21" s="256" t="s">
        <v>332</v>
      </c>
      <c r="B21" s="7" t="s">
        <v>49</v>
      </c>
      <c r="C21" s="8" t="s">
        <v>1194</v>
      </c>
      <c r="D21" s="8" t="s">
        <v>1349</v>
      </c>
      <c r="E21" s="7">
        <v>1998</v>
      </c>
      <c r="F21" s="7" t="s">
        <v>1288</v>
      </c>
      <c r="G21" s="27" t="s">
        <v>1289</v>
      </c>
      <c r="H21" s="16" t="s">
        <v>1290</v>
      </c>
      <c r="I21" s="95">
        <v>44682</v>
      </c>
      <c r="J21" s="20">
        <v>45047</v>
      </c>
      <c r="K21" s="78" t="s">
        <v>1387</v>
      </c>
      <c r="L21" s="46">
        <v>45671</v>
      </c>
      <c r="M21" s="91"/>
      <c r="N21" s="202" t="s">
        <v>1389</v>
      </c>
      <c r="O21" s="79" t="s">
        <v>1386</v>
      </c>
      <c r="P21" s="98"/>
      <c r="Q21" s="98"/>
      <c r="R21" s="101">
        <f>+Q21+400</f>
        <v>400</v>
      </c>
    </row>
    <row r="22" spans="1:18" ht="15.75" customHeight="1">
      <c r="A22" s="257"/>
      <c r="B22" s="7" t="s">
        <v>50</v>
      </c>
      <c r="C22" s="14" t="s">
        <v>1291</v>
      </c>
      <c r="D22" s="14" t="s">
        <v>1292</v>
      </c>
      <c r="E22" s="7">
        <v>2019</v>
      </c>
      <c r="F22" s="42" t="s">
        <v>1293</v>
      </c>
      <c r="G22" s="93" t="s">
        <v>1294</v>
      </c>
      <c r="H22" s="7" t="s">
        <v>1295</v>
      </c>
      <c r="I22" s="95">
        <v>44682</v>
      </c>
      <c r="J22" s="20">
        <v>45047</v>
      </c>
      <c r="K22" s="46">
        <v>45536</v>
      </c>
      <c r="L22" s="89" t="s">
        <v>1393</v>
      </c>
      <c r="M22" s="91"/>
      <c r="N22" s="46">
        <v>46023</v>
      </c>
      <c r="O22" s="79" t="s">
        <v>1398</v>
      </c>
      <c r="P22" s="98"/>
      <c r="Q22" s="98"/>
      <c r="R22" s="98"/>
    </row>
    <row r="23" spans="1:18" ht="15.75" customHeight="1">
      <c r="A23" s="253" t="s">
        <v>583</v>
      </c>
      <c r="B23" s="7" t="s">
        <v>65</v>
      </c>
      <c r="C23" s="8" t="s">
        <v>1194</v>
      </c>
      <c r="D23" s="8" t="s">
        <v>1300</v>
      </c>
      <c r="E23" s="29">
        <v>1998</v>
      </c>
      <c r="F23" s="7" t="s">
        <v>1301</v>
      </c>
      <c r="G23" s="92" t="s">
        <v>1302</v>
      </c>
      <c r="H23" s="7" t="s">
        <v>1303</v>
      </c>
      <c r="I23" s="95">
        <v>44835</v>
      </c>
      <c r="J23" s="20"/>
      <c r="K23" s="46">
        <v>45323</v>
      </c>
      <c r="L23" s="46">
        <v>45778</v>
      </c>
      <c r="M23" s="91"/>
      <c r="N23" s="46">
        <v>46160</v>
      </c>
      <c r="O23" s="79" t="s">
        <v>1386</v>
      </c>
      <c r="P23" s="98"/>
      <c r="Q23" s="98"/>
      <c r="R23" s="98"/>
    </row>
    <row r="24" spans="1:18" ht="15.75" customHeight="1">
      <c r="A24" s="254"/>
      <c r="B24" s="7" t="s">
        <v>62</v>
      </c>
      <c r="C24" s="8" t="s">
        <v>1194</v>
      </c>
      <c r="D24" s="8" t="s">
        <v>1296</v>
      </c>
      <c r="E24" s="7">
        <v>1998</v>
      </c>
      <c r="F24" s="7" t="s">
        <v>1297</v>
      </c>
      <c r="G24" s="27" t="s">
        <v>1298</v>
      </c>
      <c r="H24" s="7" t="s">
        <v>1299</v>
      </c>
      <c r="I24" s="95">
        <v>44805</v>
      </c>
      <c r="J24" s="20">
        <v>44927</v>
      </c>
      <c r="K24" s="46">
        <v>45292</v>
      </c>
      <c r="L24" s="46">
        <v>45778</v>
      </c>
      <c r="M24" s="91"/>
      <c r="N24" s="46">
        <v>46083</v>
      </c>
      <c r="O24" s="79" t="s">
        <v>1386</v>
      </c>
      <c r="P24" s="98"/>
      <c r="Q24" s="98"/>
      <c r="R24" s="98"/>
    </row>
    <row r="25" spans="1:18" ht="15.75" customHeight="1">
      <c r="A25" s="254"/>
      <c r="B25" s="7" t="s">
        <v>55</v>
      </c>
      <c r="C25" s="8" t="s">
        <v>1238</v>
      </c>
      <c r="D25" s="8" t="s">
        <v>1304</v>
      </c>
      <c r="E25" s="7">
        <v>2015</v>
      </c>
      <c r="F25" s="16" t="s">
        <v>1305</v>
      </c>
      <c r="G25" s="27" t="s">
        <v>1306</v>
      </c>
      <c r="H25" s="16" t="s">
        <v>1307</v>
      </c>
      <c r="I25" s="95">
        <v>44835</v>
      </c>
      <c r="J25" s="20">
        <v>45200</v>
      </c>
      <c r="K25" s="78" t="s">
        <v>1387</v>
      </c>
      <c r="L25" s="89" t="s">
        <v>1393</v>
      </c>
      <c r="M25" s="91"/>
      <c r="N25" s="46">
        <v>45962</v>
      </c>
      <c r="O25" s="79" t="s">
        <v>1386</v>
      </c>
      <c r="P25" s="98"/>
      <c r="Q25" s="98"/>
      <c r="R25" s="98"/>
    </row>
    <row r="26" spans="1:18" ht="15.75" customHeight="1">
      <c r="A26" s="254"/>
      <c r="B26" s="7" t="s">
        <v>52</v>
      </c>
      <c r="C26" s="14" t="s">
        <v>1308</v>
      </c>
      <c r="D26" s="14" t="s">
        <v>1309</v>
      </c>
      <c r="E26" s="7">
        <v>2015</v>
      </c>
      <c r="F26" s="15" t="s">
        <v>1310</v>
      </c>
      <c r="G26" s="93" t="s">
        <v>1311</v>
      </c>
      <c r="H26" s="7" t="s">
        <v>1312</v>
      </c>
      <c r="I26" s="95">
        <v>44866</v>
      </c>
      <c r="J26" s="20"/>
      <c r="K26" s="46">
        <v>45536</v>
      </c>
      <c r="L26" s="46">
        <v>45870</v>
      </c>
      <c r="M26" s="91"/>
      <c r="N26" s="107"/>
      <c r="O26" s="79" t="s">
        <v>1398</v>
      </c>
      <c r="P26" s="98"/>
      <c r="Q26" s="98"/>
      <c r="R26" s="98"/>
    </row>
    <row r="27" spans="1:18" ht="15.75" customHeight="1">
      <c r="A27" s="254"/>
      <c r="B27" s="7" t="s">
        <v>53</v>
      </c>
      <c r="C27" s="14" t="s">
        <v>1291</v>
      </c>
      <c r="D27" s="14" t="s">
        <v>1292</v>
      </c>
      <c r="E27" s="7">
        <v>2019</v>
      </c>
      <c r="F27" s="15" t="s">
        <v>1313</v>
      </c>
      <c r="G27" s="93" t="s">
        <v>1314</v>
      </c>
      <c r="H27" s="7" t="s">
        <v>1315</v>
      </c>
      <c r="I27" s="95">
        <v>44682</v>
      </c>
      <c r="J27" s="20">
        <v>45047</v>
      </c>
      <c r="K27" s="46">
        <v>45536</v>
      </c>
      <c r="L27" s="89" t="s">
        <v>1393</v>
      </c>
      <c r="M27" s="91"/>
      <c r="N27" s="46">
        <v>46023</v>
      </c>
      <c r="O27" s="79" t="s">
        <v>1398</v>
      </c>
      <c r="P27" s="98"/>
      <c r="Q27" s="98"/>
      <c r="R27" s="98"/>
    </row>
    <row r="28" spans="1:18" ht="15.75" customHeight="1">
      <c r="A28" s="254"/>
      <c r="B28" s="7" t="s">
        <v>54</v>
      </c>
      <c r="C28" s="8" t="s">
        <v>1328</v>
      </c>
      <c r="D28" s="8" t="s">
        <v>1329</v>
      </c>
      <c r="E28" s="29">
        <v>2012</v>
      </c>
      <c r="F28" s="7" t="s">
        <v>1330</v>
      </c>
      <c r="G28" s="92" t="s">
        <v>1331</v>
      </c>
      <c r="H28" s="7" t="s">
        <v>1332</v>
      </c>
      <c r="I28" s="94" t="s">
        <v>1355</v>
      </c>
      <c r="J28" s="20"/>
      <c r="K28" s="46">
        <v>45383</v>
      </c>
      <c r="L28" s="89" t="s">
        <v>1393</v>
      </c>
      <c r="M28" s="91"/>
      <c r="N28" s="202" t="s">
        <v>1389</v>
      </c>
      <c r="O28" s="79" t="s">
        <v>1399</v>
      </c>
      <c r="P28" s="98"/>
      <c r="Q28" s="98"/>
      <c r="R28" s="98"/>
    </row>
    <row r="29" spans="1:18" ht="15.75" customHeight="1">
      <c r="A29" s="254"/>
      <c r="B29" s="7" t="s">
        <v>57</v>
      </c>
      <c r="C29" s="14" t="s">
        <v>1218</v>
      </c>
      <c r="D29" s="14" t="s">
        <v>1316</v>
      </c>
      <c r="E29" s="7">
        <v>2017</v>
      </c>
      <c r="F29" s="15" t="s">
        <v>1317</v>
      </c>
      <c r="G29" s="93" t="s">
        <v>1318</v>
      </c>
      <c r="H29" s="7" t="s">
        <v>1319</v>
      </c>
      <c r="I29" s="95">
        <v>44562</v>
      </c>
      <c r="J29" s="20">
        <v>44958</v>
      </c>
      <c r="K29" s="46">
        <v>45536</v>
      </c>
      <c r="L29" s="89" t="s">
        <v>1393</v>
      </c>
      <c r="M29" s="91"/>
      <c r="N29" s="46">
        <v>46023</v>
      </c>
      <c r="O29" s="79" t="s">
        <v>1399</v>
      </c>
      <c r="P29" s="98"/>
      <c r="Q29" s="98"/>
      <c r="R29" s="98"/>
    </row>
    <row r="30" spans="1:18" ht="15.75" customHeight="1">
      <c r="A30" s="254"/>
      <c r="B30" s="7" t="s">
        <v>59</v>
      </c>
      <c r="C30" s="14" t="s">
        <v>1320</v>
      </c>
      <c r="D30" s="14" t="s">
        <v>1321</v>
      </c>
      <c r="E30" s="7">
        <v>2013</v>
      </c>
      <c r="F30" s="15" t="s">
        <v>1322</v>
      </c>
      <c r="G30" s="15" t="s">
        <v>1323</v>
      </c>
      <c r="H30" s="32" t="s">
        <v>1324</v>
      </c>
      <c r="I30" s="43">
        <v>44866</v>
      </c>
      <c r="J30" s="20"/>
      <c r="K30" s="46">
        <v>45536</v>
      </c>
      <c r="L30" s="46">
        <v>45870</v>
      </c>
      <c r="M30" s="91"/>
      <c r="N30" s="107"/>
      <c r="O30" s="79" t="s">
        <v>1399</v>
      </c>
      <c r="P30" s="98"/>
      <c r="Q30" s="98"/>
      <c r="R30" s="98"/>
    </row>
    <row r="31" spans="1:18" ht="15.75" customHeight="1">
      <c r="A31" s="255"/>
      <c r="B31" s="17" t="s">
        <v>61</v>
      </c>
      <c r="C31" s="14" t="s">
        <v>1209</v>
      </c>
      <c r="D31" s="14" t="s">
        <v>1325</v>
      </c>
      <c r="E31" s="7">
        <v>2022</v>
      </c>
      <c r="F31" s="15">
        <v>272496</v>
      </c>
      <c r="G31" s="15" t="s">
        <v>1326</v>
      </c>
      <c r="H31" s="7" t="s">
        <v>1327</v>
      </c>
      <c r="I31" s="43">
        <v>44713</v>
      </c>
      <c r="J31" s="20">
        <v>45078</v>
      </c>
      <c r="K31" s="78" t="s">
        <v>1387</v>
      </c>
      <c r="L31" s="46">
        <v>45778</v>
      </c>
      <c r="M31" s="91"/>
      <c r="N31" s="202" t="s">
        <v>1389</v>
      </c>
      <c r="O31" s="79" t="s">
        <v>1386</v>
      </c>
      <c r="P31" s="98"/>
      <c r="Q31" s="98"/>
      <c r="R31" s="98"/>
    </row>
    <row r="32" spans="1:18" ht="15.75" customHeight="1">
      <c r="C32" s="2"/>
      <c r="D32" s="2"/>
      <c r="E32" s="3"/>
      <c r="F32" s="4"/>
      <c r="G32" s="4"/>
      <c r="H32" s="3"/>
      <c r="I32" s="21"/>
    </row>
    <row r="33" spans="3:14" ht="15.75" customHeight="1">
      <c r="C33" s="2"/>
      <c r="D33" s="2"/>
      <c r="E33" s="3"/>
      <c r="F33" s="4"/>
      <c r="G33" s="4"/>
      <c r="H33" s="3"/>
      <c r="I33" s="21"/>
    </row>
    <row r="34" spans="3:14" ht="15.75" customHeight="1">
      <c r="C34" s="2"/>
      <c r="D34" s="2"/>
      <c r="E34" s="3"/>
      <c r="F34" s="4"/>
      <c r="G34" s="4"/>
      <c r="H34" s="3"/>
      <c r="I34" s="21"/>
      <c r="L34" s="48"/>
      <c r="M34" s="48"/>
      <c r="N34" s="48"/>
    </row>
    <row r="35" spans="3:14" ht="15.75" customHeight="1">
      <c r="C35" s="2"/>
      <c r="D35" s="2"/>
      <c r="E35" s="3"/>
      <c r="F35" s="4"/>
      <c r="G35" s="4"/>
      <c r="H35" s="3"/>
      <c r="I35" s="21"/>
      <c r="L35" s="20"/>
      <c r="M35" s="48"/>
      <c r="N35" s="48"/>
    </row>
    <row r="36" spans="3:14" ht="15.75" customHeight="1">
      <c r="C36" s="2"/>
      <c r="D36" s="2"/>
      <c r="E36" s="3"/>
      <c r="F36" s="4"/>
      <c r="G36" s="4"/>
      <c r="H36" s="3"/>
      <c r="I36" s="21"/>
    </row>
    <row r="37" spans="3:14" ht="15.75" customHeight="1">
      <c r="C37" s="2"/>
      <c r="D37" s="2"/>
      <c r="E37" s="3"/>
      <c r="F37" s="4"/>
      <c r="G37" s="4"/>
      <c r="H37" s="3"/>
      <c r="I37" s="21"/>
    </row>
    <row r="38" spans="3:14" ht="15.75" customHeight="1">
      <c r="C38" s="2"/>
      <c r="D38" s="2"/>
      <c r="E38" s="3"/>
      <c r="F38" s="4"/>
      <c r="G38" s="4"/>
      <c r="H38" s="3"/>
      <c r="I38" s="21"/>
    </row>
    <row r="39" spans="3:14" ht="15.75" customHeight="1">
      <c r="C39" s="2"/>
      <c r="D39" s="2"/>
      <c r="E39" s="3"/>
      <c r="F39" s="4"/>
      <c r="G39" s="4"/>
      <c r="H39" s="3"/>
      <c r="I39" s="21"/>
    </row>
    <row r="40" spans="3:14" ht="15.75" customHeight="1">
      <c r="C40" s="2"/>
      <c r="D40" s="2"/>
      <c r="E40" s="3"/>
      <c r="F40" s="4"/>
      <c r="G40" s="4"/>
      <c r="H40" s="3"/>
      <c r="I40" s="21"/>
    </row>
    <row r="41" spans="3:14" ht="15.75" customHeight="1">
      <c r="C41" s="2"/>
      <c r="D41" s="2"/>
      <c r="E41" s="3"/>
      <c r="F41" s="4"/>
      <c r="G41" s="4"/>
      <c r="H41" s="3"/>
      <c r="I41" s="21"/>
    </row>
    <row r="42" spans="3:14" ht="15.75" customHeight="1">
      <c r="C42" s="2"/>
      <c r="D42" s="2"/>
      <c r="E42" s="3"/>
      <c r="F42" s="4"/>
      <c r="G42" s="4"/>
      <c r="H42" s="3"/>
      <c r="I42" s="21"/>
    </row>
    <row r="43" spans="3:14" ht="15.75" customHeight="1">
      <c r="C43" s="2"/>
      <c r="D43" s="2"/>
      <c r="E43" s="3"/>
      <c r="F43" s="4"/>
      <c r="G43" s="4"/>
      <c r="H43" s="3"/>
      <c r="I43" s="21"/>
    </row>
    <row r="44" spans="3:14" ht="15.75" customHeight="1">
      <c r="C44" s="2"/>
      <c r="D44" s="2"/>
      <c r="E44" s="3"/>
      <c r="F44" s="4"/>
      <c r="G44" s="4"/>
      <c r="H44" s="3"/>
      <c r="I44" s="21"/>
    </row>
    <row r="45" spans="3:14" ht="15.75" customHeight="1">
      <c r="C45" s="2"/>
      <c r="D45" s="2"/>
      <c r="E45" s="3"/>
      <c r="F45" s="4"/>
      <c r="G45" s="4"/>
      <c r="H45" s="3"/>
      <c r="I45" s="21"/>
    </row>
    <row r="46" spans="3:14" ht="15.75" customHeight="1">
      <c r="C46" s="2"/>
      <c r="D46" s="2"/>
      <c r="E46" s="3"/>
      <c r="F46" s="4"/>
      <c r="G46" s="4"/>
      <c r="H46" s="3"/>
      <c r="I46" s="21"/>
    </row>
    <row r="47" spans="3:14" ht="15.75" customHeight="1">
      <c r="C47" s="2"/>
      <c r="D47" s="2"/>
      <c r="E47" s="3"/>
      <c r="F47" s="4"/>
      <c r="G47" s="4"/>
      <c r="H47" s="3"/>
      <c r="I47" s="21"/>
    </row>
    <row r="48" spans="3:14" ht="15.75" customHeight="1">
      <c r="C48" s="2"/>
      <c r="D48" s="2"/>
      <c r="E48" s="3"/>
      <c r="F48" s="4"/>
      <c r="G48" s="4"/>
      <c r="H48" s="3"/>
      <c r="I48" s="21"/>
    </row>
    <row r="49" spans="3:9" ht="15.75" customHeight="1">
      <c r="C49" s="2"/>
      <c r="D49" s="2"/>
      <c r="E49" s="3"/>
      <c r="F49" s="4"/>
      <c r="G49" s="4"/>
      <c r="H49" s="3"/>
      <c r="I49" s="21"/>
    </row>
    <row r="50" spans="3:9" ht="15.75" customHeight="1">
      <c r="C50" s="2"/>
      <c r="D50" s="2"/>
      <c r="E50" s="3"/>
      <c r="F50" s="4"/>
      <c r="G50" s="4"/>
      <c r="H50" s="3"/>
      <c r="I50" s="21"/>
    </row>
    <row r="51" spans="3:9" ht="15.75" customHeight="1">
      <c r="C51" s="2"/>
      <c r="D51" s="2"/>
      <c r="E51" s="3"/>
      <c r="F51" s="4"/>
      <c r="G51" s="4"/>
      <c r="H51" s="3"/>
      <c r="I51" s="21"/>
    </row>
    <row r="52" spans="3:9" ht="15.75" customHeight="1">
      <c r="C52" s="2"/>
      <c r="D52" s="2"/>
      <c r="E52" s="3"/>
      <c r="F52" s="4"/>
      <c r="G52" s="4"/>
      <c r="H52" s="3"/>
      <c r="I52" s="21"/>
    </row>
    <row r="53" spans="3:9" ht="15.75" customHeight="1">
      <c r="C53" s="2"/>
      <c r="D53" s="2"/>
      <c r="E53" s="3"/>
      <c r="F53" s="4"/>
      <c r="G53" s="4"/>
      <c r="H53" s="3"/>
      <c r="I53" s="21"/>
    </row>
    <row r="54" spans="3:9" ht="15.75" customHeight="1">
      <c r="C54" s="2"/>
      <c r="D54" s="2"/>
      <c r="E54" s="3"/>
      <c r="F54" s="4"/>
      <c r="G54" s="4"/>
      <c r="H54" s="3"/>
      <c r="I54" s="21"/>
    </row>
    <row r="55" spans="3:9" ht="15.75" customHeight="1">
      <c r="C55" s="2"/>
      <c r="D55" s="2"/>
      <c r="E55" s="3"/>
      <c r="F55" s="4"/>
      <c r="G55" s="4"/>
      <c r="H55" s="3"/>
      <c r="I55" s="21"/>
    </row>
    <row r="56" spans="3:9" ht="15.75" customHeight="1">
      <c r="C56" s="2"/>
      <c r="D56" s="2"/>
      <c r="E56" s="3"/>
      <c r="F56" s="4"/>
      <c r="G56" s="4"/>
      <c r="H56" s="3"/>
      <c r="I56" s="21"/>
    </row>
    <row r="57" spans="3:9" ht="15.75" customHeight="1">
      <c r="C57" s="2"/>
      <c r="D57" s="2"/>
      <c r="E57" s="3"/>
      <c r="F57" s="4"/>
      <c r="G57" s="4"/>
      <c r="H57" s="3"/>
      <c r="I57" s="21"/>
    </row>
    <row r="58" spans="3:9" ht="15.75" customHeight="1">
      <c r="C58" s="2"/>
      <c r="D58" s="2"/>
      <c r="E58" s="3"/>
      <c r="F58" s="4"/>
      <c r="G58" s="4"/>
      <c r="H58" s="3"/>
      <c r="I58" s="21"/>
    </row>
    <row r="59" spans="3:9" ht="15.75" customHeight="1">
      <c r="C59" s="2"/>
      <c r="D59" s="2"/>
      <c r="E59" s="3"/>
      <c r="F59" s="4"/>
      <c r="G59" s="4"/>
      <c r="H59" s="3"/>
      <c r="I59" s="21"/>
    </row>
    <row r="60" spans="3:9" ht="15.75" customHeight="1">
      <c r="C60" s="2"/>
      <c r="D60" s="2"/>
      <c r="E60" s="3"/>
      <c r="F60" s="4"/>
      <c r="G60" s="4"/>
      <c r="H60" s="3"/>
      <c r="I60" s="21"/>
    </row>
    <row r="61" spans="3:9" ht="15.75" customHeight="1">
      <c r="C61" s="2"/>
      <c r="D61" s="2"/>
      <c r="E61" s="3"/>
      <c r="F61" s="4"/>
      <c r="G61" s="4"/>
      <c r="H61" s="3"/>
      <c r="I61" s="21"/>
    </row>
    <row r="62" spans="3:9" ht="15.75" customHeight="1">
      <c r="C62" s="2"/>
      <c r="D62" s="2"/>
      <c r="E62" s="3"/>
      <c r="F62" s="4"/>
      <c r="G62" s="4"/>
      <c r="H62" s="3"/>
      <c r="I62" s="21"/>
    </row>
    <row r="63" spans="3:9" ht="15.75" customHeight="1">
      <c r="C63" s="2"/>
      <c r="D63" s="2"/>
      <c r="E63" s="3"/>
      <c r="F63" s="4"/>
      <c r="G63" s="4"/>
      <c r="H63" s="3"/>
      <c r="I63" s="21"/>
    </row>
    <row r="64" spans="3:9" ht="15.75" customHeight="1">
      <c r="C64" s="2"/>
      <c r="D64" s="2"/>
      <c r="E64" s="3"/>
      <c r="F64" s="4"/>
      <c r="G64" s="4"/>
      <c r="H64" s="3"/>
      <c r="I64" s="21"/>
    </row>
    <row r="65" spans="3:9" ht="15.75" customHeight="1">
      <c r="C65" s="2"/>
      <c r="D65" s="2"/>
      <c r="E65" s="3"/>
      <c r="F65" s="4"/>
      <c r="G65" s="4"/>
      <c r="H65" s="3"/>
      <c r="I65" s="21"/>
    </row>
    <row r="66" spans="3:9" ht="15.75" customHeight="1">
      <c r="C66" s="2"/>
      <c r="D66" s="2"/>
      <c r="E66" s="3"/>
      <c r="F66" s="4"/>
      <c r="G66" s="4"/>
      <c r="H66" s="3"/>
      <c r="I66" s="21"/>
    </row>
    <row r="67" spans="3:9" ht="15.75" customHeight="1">
      <c r="C67" s="2"/>
      <c r="D67" s="2"/>
      <c r="E67" s="3"/>
      <c r="F67" s="4"/>
      <c r="G67" s="4"/>
      <c r="H67" s="3"/>
      <c r="I67" s="21"/>
    </row>
    <row r="68" spans="3:9" ht="15.75" customHeight="1">
      <c r="C68" s="2"/>
      <c r="D68" s="2"/>
      <c r="E68" s="3"/>
      <c r="F68" s="4"/>
      <c r="G68" s="4"/>
      <c r="H68" s="3"/>
      <c r="I68" s="21"/>
    </row>
    <row r="69" spans="3:9" ht="15.75" customHeight="1">
      <c r="C69" s="2"/>
      <c r="D69" s="2"/>
      <c r="E69" s="3"/>
      <c r="F69" s="4"/>
      <c r="G69" s="4"/>
      <c r="H69" s="3"/>
      <c r="I69" s="21"/>
    </row>
    <row r="70" spans="3:9" ht="15.75" customHeight="1">
      <c r="C70" s="2"/>
      <c r="D70" s="2"/>
      <c r="E70" s="3"/>
      <c r="F70" s="4"/>
      <c r="G70" s="4"/>
      <c r="H70" s="3"/>
      <c r="I70" s="21"/>
    </row>
    <row r="71" spans="3:9" ht="15.75" customHeight="1">
      <c r="C71" s="2"/>
      <c r="D71" s="2"/>
      <c r="E71" s="3"/>
      <c r="F71" s="4"/>
      <c r="G71" s="4"/>
      <c r="H71" s="3"/>
      <c r="I71" s="21"/>
    </row>
    <row r="72" spans="3:9" ht="15.75" customHeight="1">
      <c r="C72" s="2"/>
      <c r="D72" s="2"/>
      <c r="E72" s="3"/>
      <c r="F72" s="4"/>
      <c r="G72" s="4"/>
      <c r="H72" s="3"/>
      <c r="I72" s="21"/>
    </row>
    <row r="73" spans="3:9" ht="15.75" customHeight="1">
      <c r="C73" s="2"/>
      <c r="D73" s="2"/>
      <c r="E73" s="3"/>
      <c r="F73" s="4"/>
      <c r="G73" s="4"/>
      <c r="H73" s="3"/>
      <c r="I73" s="21"/>
    </row>
    <row r="74" spans="3:9" ht="15.75" customHeight="1">
      <c r="C74" s="2"/>
      <c r="D74" s="2"/>
      <c r="E74" s="3"/>
      <c r="F74" s="4"/>
      <c r="G74" s="4"/>
      <c r="H74" s="3"/>
      <c r="I74" s="21"/>
    </row>
    <row r="75" spans="3:9" ht="15.75" customHeight="1">
      <c r="C75" s="2"/>
      <c r="D75" s="2"/>
      <c r="E75" s="3"/>
      <c r="F75" s="4"/>
      <c r="G75" s="4"/>
      <c r="H75" s="3"/>
      <c r="I75" s="21"/>
    </row>
    <row r="76" spans="3:9" ht="15.75" customHeight="1">
      <c r="C76" s="2"/>
      <c r="D76" s="2"/>
      <c r="E76" s="3"/>
      <c r="F76" s="4"/>
      <c r="G76" s="4"/>
      <c r="H76" s="3"/>
      <c r="I76" s="21"/>
    </row>
    <row r="77" spans="3:9" ht="15.75" customHeight="1">
      <c r="C77" s="2"/>
      <c r="D77" s="2"/>
      <c r="E77" s="3"/>
      <c r="F77" s="4"/>
      <c r="G77" s="4"/>
      <c r="H77" s="3"/>
      <c r="I77" s="21"/>
    </row>
    <row r="78" spans="3:9" ht="15.75" customHeight="1">
      <c r="C78" s="2"/>
      <c r="D78" s="2"/>
      <c r="E78" s="3"/>
      <c r="F78" s="4"/>
      <c r="G78" s="4"/>
      <c r="H78" s="3"/>
      <c r="I78" s="21"/>
    </row>
    <row r="79" spans="3:9" ht="15.75" customHeight="1">
      <c r="C79" s="2"/>
      <c r="D79" s="2"/>
      <c r="E79" s="3"/>
      <c r="F79" s="4"/>
      <c r="G79" s="4"/>
      <c r="H79" s="3"/>
      <c r="I79" s="21"/>
    </row>
    <row r="80" spans="3:9" ht="15.75" customHeight="1">
      <c r="C80" s="2"/>
      <c r="D80" s="2"/>
      <c r="E80" s="3"/>
      <c r="F80" s="4"/>
      <c r="G80" s="4"/>
      <c r="H80" s="3"/>
      <c r="I80" s="21"/>
    </row>
    <row r="81" spans="3:9" ht="15.75" customHeight="1">
      <c r="C81" s="2"/>
      <c r="D81" s="2"/>
      <c r="E81" s="3"/>
      <c r="F81" s="4"/>
      <c r="G81" s="4"/>
      <c r="H81" s="3"/>
      <c r="I81" s="21"/>
    </row>
    <row r="82" spans="3:9" ht="15.75" customHeight="1">
      <c r="C82" s="2"/>
      <c r="D82" s="2"/>
      <c r="E82" s="3"/>
      <c r="F82" s="4"/>
      <c r="G82" s="4"/>
      <c r="H82" s="3"/>
      <c r="I82" s="21"/>
    </row>
    <row r="83" spans="3:9" ht="15.75" customHeight="1">
      <c r="C83" s="2"/>
      <c r="D83" s="2"/>
      <c r="E83" s="3"/>
      <c r="F83" s="4"/>
      <c r="G83" s="4"/>
      <c r="H83" s="3"/>
      <c r="I83" s="21"/>
    </row>
    <row r="84" spans="3:9" ht="15.75" customHeight="1">
      <c r="C84" s="2"/>
      <c r="D84" s="2"/>
      <c r="E84" s="3"/>
      <c r="F84" s="4"/>
      <c r="G84" s="4"/>
      <c r="H84" s="3"/>
      <c r="I84" s="21"/>
    </row>
    <row r="85" spans="3:9" ht="15.75" customHeight="1">
      <c r="C85" s="2"/>
      <c r="D85" s="2"/>
      <c r="E85" s="3"/>
      <c r="F85" s="4"/>
      <c r="G85" s="4"/>
      <c r="H85" s="3"/>
      <c r="I85" s="21"/>
    </row>
    <row r="86" spans="3:9" ht="15.75" customHeight="1">
      <c r="C86" s="2"/>
      <c r="D86" s="2"/>
      <c r="E86" s="3"/>
      <c r="F86" s="4"/>
      <c r="G86" s="4"/>
      <c r="H86" s="3"/>
      <c r="I86" s="21"/>
    </row>
    <row r="87" spans="3:9" ht="15.75" customHeight="1">
      <c r="C87" s="2"/>
      <c r="D87" s="2"/>
      <c r="E87" s="3"/>
      <c r="F87" s="4"/>
      <c r="G87" s="4"/>
      <c r="H87" s="3"/>
      <c r="I87" s="21"/>
    </row>
    <row r="88" spans="3:9" ht="15.75" customHeight="1">
      <c r="C88" s="2"/>
      <c r="D88" s="2"/>
      <c r="E88" s="3"/>
      <c r="F88" s="4"/>
      <c r="G88" s="4"/>
      <c r="H88" s="3"/>
      <c r="I88" s="21"/>
    </row>
    <row r="89" spans="3:9" ht="15.75" customHeight="1">
      <c r="C89" s="2"/>
      <c r="D89" s="2"/>
      <c r="E89" s="3"/>
      <c r="F89" s="4"/>
      <c r="G89" s="4"/>
      <c r="H89" s="3"/>
      <c r="I89" s="21"/>
    </row>
    <row r="90" spans="3:9" ht="15.75" customHeight="1">
      <c r="C90" s="2"/>
      <c r="D90" s="2"/>
      <c r="E90" s="3"/>
      <c r="F90" s="4"/>
      <c r="G90" s="4"/>
      <c r="H90" s="3"/>
      <c r="I90" s="21"/>
    </row>
    <row r="91" spans="3:9" ht="15.75" customHeight="1">
      <c r="C91" s="2"/>
      <c r="D91" s="2"/>
      <c r="E91" s="3"/>
      <c r="F91" s="4"/>
      <c r="G91" s="4"/>
      <c r="H91" s="3"/>
      <c r="I91" s="21"/>
    </row>
    <row r="92" spans="3:9" ht="15.75" customHeight="1">
      <c r="C92" s="2"/>
      <c r="D92" s="2"/>
      <c r="E92" s="3"/>
      <c r="F92" s="4"/>
      <c r="G92" s="4"/>
      <c r="H92" s="3"/>
      <c r="I92" s="21"/>
    </row>
    <row r="93" spans="3:9" ht="15.75" customHeight="1">
      <c r="C93" s="2"/>
      <c r="D93" s="2"/>
      <c r="E93" s="3"/>
      <c r="F93" s="4"/>
      <c r="G93" s="4"/>
      <c r="H93" s="3"/>
      <c r="I93" s="21"/>
    </row>
    <row r="94" spans="3:9" ht="15.75" customHeight="1">
      <c r="C94" s="2"/>
      <c r="D94" s="2"/>
      <c r="E94" s="3"/>
      <c r="F94" s="4"/>
      <c r="G94" s="4"/>
      <c r="H94" s="3"/>
      <c r="I94" s="21"/>
    </row>
    <row r="95" spans="3:9" ht="15.75" customHeight="1">
      <c r="C95" s="2"/>
      <c r="D95" s="2"/>
      <c r="E95" s="3"/>
      <c r="F95" s="4"/>
      <c r="G95" s="4"/>
      <c r="H95" s="3"/>
      <c r="I95" s="21"/>
    </row>
    <row r="96" spans="3:9" ht="15.75" customHeight="1">
      <c r="C96" s="2"/>
      <c r="D96" s="2"/>
      <c r="E96" s="3"/>
      <c r="F96" s="4"/>
      <c r="G96" s="4"/>
      <c r="H96" s="3"/>
      <c r="I96" s="21"/>
    </row>
    <row r="97" spans="3:9" ht="15.75" customHeight="1">
      <c r="C97" s="2"/>
      <c r="D97" s="2"/>
      <c r="E97" s="3"/>
      <c r="F97" s="4"/>
      <c r="G97" s="4"/>
      <c r="H97" s="3"/>
      <c r="I97" s="21"/>
    </row>
    <row r="98" spans="3:9" ht="15.75" customHeight="1">
      <c r="C98" s="2"/>
      <c r="D98" s="2"/>
      <c r="E98" s="3"/>
      <c r="F98" s="4"/>
      <c r="G98" s="4"/>
      <c r="H98" s="3"/>
      <c r="I98" s="21"/>
    </row>
    <row r="99" spans="3:9" ht="15.75" customHeight="1">
      <c r="C99" s="2"/>
      <c r="D99" s="2"/>
      <c r="E99" s="3"/>
      <c r="F99" s="4"/>
      <c r="G99" s="4"/>
      <c r="H99" s="3"/>
      <c r="I99" s="21"/>
    </row>
    <row r="100" spans="3:9" ht="15.75" customHeight="1">
      <c r="C100" s="2"/>
      <c r="D100" s="2"/>
      <c r="E100" s="3"/>
      <c r="F100" s="4"/>
      <c r="G100" s="4"/>
      <c r="H100" s="3"/>
      <c r="I100" s="21"/>
    </row>
    <row r="101" spans="3:9" ht="15.75" customHeight="1">
      <c r="C101" s="2"/>
      <c r="D101" s="2"/>
      <c r="E101" s="3"/>
      <c r="F101" s="4"/>
      <c r="G101" s="4"/>
      <c r="H101" s="3"/>
      <c r="I101" s="21"/>
    </row>
    <row r="102" spans="3:9" ht="15.75" customHeight="1">
      <c r="C102" s="2"/>
      <c r="D102" s="2"/>
      <c r="E102" s="3"/>
      <c r="F102" s="4"/>
      <c r="G102" s="4"/>
      <c r="H102" s="3"/>
      <c r="I102" s="21"/>
    </row>
    <row r="103" spans="3:9" ht="15.75" customHeight="1">
      <c r="C103" s="2"/>
      <c r="D103" s="2"/>
      <c r="E103" s="3"/>
      <c r="F103" s="4"/>
      <c r="G103" s="4"/>
      <c r="H103" s="3"/>
      <c r="I103" s="21"/>
    </row>
    <row r="104" spans="3:9" ht="15.75" customHeight="1">
      <c r="C104" s="2"/>
      <c r="D104" s="2"/>
      <c r="E104" s="3"/>
      <c r="F104" s="4"/>
      <c r="G104" s="4"/>
      <c r="H104" s="3"/>
      <c r="I104" s="21"/>
    </row>
    <row r="105" spans="3:9" ht="15.75" customHeight="1">
      <c r="C105" s="2"/>
      <c r="D105" s="2"/>
      <c r="E105" s="3"/>
      <c r="F105" s="4"/>
      <c r="G105" s="4"/>
      <c r="H105" s="3"/>
      <c r="I105" s="21"/>
    </row>
    <row r="106" spans="3:9" ht="15.75" customHeight="1">
      <c r="C106" s="2"/>
      <c r="D106" s="2"/>
      <c r="E106" s="3"/>
      <c r="F106" s="4"/>
      <c r="G106" s="4"/>
      <c r="H106" s="3"/>
      <c r="I106" s="21"/>
    </row>
    <row r="107" spans="3:9" ht="15.75" customHeight="1">
      <c r="C107" s="2"/>
      <c r="D107" s="2"/>
      <c r="E107" s="3"/>
      <c r="F107" s="4"/>
      <c r="G107" s="4"/>
      <c r="H107" s="3"/>
      <c r="I107" s="21"/>
    </row>
    <row r="108" spans="3:9" ht="15.75" customHeight="1">
      <c r="C108" s="2"/>
      <c r="D108" s="2"/>
      <c r="E108" s="3"/>
      <c r="F108" s="4"/>
      <c r="G108" s="4"/>
      <c r="H108" s="3"/>
      <c r="I108" s="21"/>
    </row>
    <row r="109" spans="3:9" ht="15.75" customHeight="1">
      <c r="C109" s="2"/>
      <c r="D109" s="2"/>
      <c r="E109" s="3"/>
      <c r="F109" s="4"/>
      <c r="G109" s="4"/>
      <c r="H109" s="3"/>
      <c r="I109" s="21"/>
    </row>
    <row r="110" spans="3:9" ht="15.75" customHeight="1">
      <c r="C110" s="2"/>
      <c r="D110" s="2"/>
      <c r="E110" s="3"/>
      <c r="F110" s="4"/>
      <c r="G110" s="4"/>
      <c r="H110" s="3"/>
      <c r="I110" s="21"/>
    </row>
    <row r="111" spans="3:9" ht="15.75" customHeight="1">
      <c r="C111" s="2"/>
      <c r="D111" s="2"/>
      <c r="E111" s="3"/>
      <c r="F111" s="4"/>
      <c r="G111" s="4"/>
      <c r="H111" s="3"/>
      <c r="I111" s="21"/>
    </row>
    <row r="112" spans="3:9" ht="15.75" customHeight="1">
      <c r="C112" s="2"/>
      <c r="D112" s="2"/>
      <c r="E112" s="3"/>
      <c r="F112" s="4"/>
      <c r="G112" s="4"/>
      <c r="H112" s="3"/>
      <c r="I112" s="21"/>
    </row>
    <row r="113" spans="3:9" ht="15.75" customHeight="1">
      <c r="C113" s="2"/>
      <c r="D113" s="2"/>
      <c r="E113" s="3"/>
      <c r="F113" s="4"/>
      <c r="G113" s="4"/>
      <c r="H113" s="3"/>
      <c r="I113" s="21"/>
    </row>
    <row r="114" spans="3:9" ht="15.75" customHeight="1">
      <c r="C114" s="2"/>
      <c r="D114" s="2"/>
      <c r="E114" s="3"/>
      <c r="F114" s="4"/>
      <c r="G114" s="4"/>
      <c r="H114" s="3"/>
      <c r="I114" s="21"/>
    </row>
    <row r="115" spans="3:9" ht="15.75" customHeight="1">
      <c r="C115" s="2"/>
      <c r="D115" s="2"/>
      <c r="E115" s="3"/>
      <c r="F115" s="4"/>
      <c r="G115" s="4"/>
      <c r="H115" s="3"/>
      <c r="I115" s="21"/>
    </row>
    <row r="116" spans="3:9" ht="15.75" customHeight="1">
      <c r="C116" s="2"/>
      <c r="D116" s="2"/>
      <c r="E116" s="3"/>
      <c r="F116" s="4"/>
      <c r="G116" s="4"/>
      <c r="H116" s="3"/>
      <c r="I116" s="21"/>
    </row>
    <row r="117" spans="3:9" ht="15.75" customHeight="1">
      <c r="C117" s="2"/>
      <c r="D117" s="2"/>
      <c r="E117" s="3"/>
      <c r="F117" s="4"/>
      <c r="G117" s="4"/>
      <c r="H117" s="3"/>
      <c r="I117" s="21"/>
    </row>
    <row r="118" spans="3:9" ht="15.75" customHeight="1">
      <c r="C118" s="2"/>
      <c r="D118" s="2"/>
      <c r="E118" s="3"/>
      <c r="F118" s="4"/>
      <c r="G118" s="4"/>
      <c r="H118" s="3"/>
      <c r="I118" s="21"/>
    </row>
    <row r="119" spans="3:9" ht="15.75" customHeight="1">
      <c r="C119" s="2"/>
      <c r="D119" s="2"/>
      <c r="E119" s="3"/>
      <c r="F119" s="4"/>
      <c r="G119" s="4"/>
      <c r="H119" s="3"/>
      <c r="I119" s="21"/>
    </row>
    <row r="120" spans="3:9" ht="15.75" customHeight="1">
      <c r="C120" s="2"/>
      <c r="D120" s="2"/>
      <c r="E120" s="3"/>
      <c r="F120" s="4"/>
      <c r="G120" s="4"/>
      <c r="H120" s="3"/>
      <c r="I120" s="21"/>
    </row>
    <row r="121" spans="3:9" ht="15.75" customHeight="1">
      <c r="C121" s="2"/>
      <c r="D121" s="2"/>
      <c r="E121" s="3"/>
      <c r="F121" s="4"/>
      <c r="G121" s="4"/>
      <c r="H121" s="3"/>
      <c r="I121" s="21"/>
    </row>
    <row r="122" spans="3:9" ht="15.75" customHeight="1">
      <c r="C122" s="2"/>
      <c r="D122" s="2"/>
      <c r="E122" s="3"/>
      <c r="F122" s="4"/>
      <c r="G122" s="4"/>
      <c r="H122" s="3"/>
      <c r="I122" s="21"/>
    </row>
    <row r="123" spans="3:9" ht="15.75" customHeight="1">
      <c r="C123" s="2"/>
      <c r="D123" s="2"/>
      <c r="E123" s="3"/>
      <c r="F123" s="4"/>
      <c r="G123" s="4"/>
      <c r="H123" s="3"/>
      <c r="I123" s="21"/>
    </row>
    <row r="124" spans="3:9" ht="15.75" customHeight="1">
      <c r="C124" s="2"/>
      <c r="D124" s="2"/>
      <c r="E124" s="3"/>
      <c r="F124" s="4"/>
      <c r="G124" s="4"/>
      <c r="H124" s="3"/>
      <c r="I124" s="21"/>
    </row>
    <row r="125" spans="3:9" ht="15.75" customHeight="1">
      <c r="C125" s="2"/>
      <c r="D125" s="2"/>
      <c r="E125" s="3"/>
      <c r="F125" s="4"/>
      <c r="G125" s="4"/>
      <c r="H125" s="3"/>
      <c r="I125" s="21"/>
    </row>
    <row r="126" spans="3:9" ht="15.75" customHeight="1">
      <c r="C126" s="2"/>
      <c r="D126" s="2"/>
      <c r="E126" s="3"/>
      <c r="F126" s="4"/>
      <c r="G126" s="4"/>
      <c r="H126" s="3"/>
      <c r="I126" s="21"/>
    </row>
    <row r="127" spans="3:9" ht="15.75" customHeight="1">
      <c r="C127" s="2"/>
      <c r="D127" s="2"/>
      <c r="E127" s="3"/>
      <c r="F127" s="4"/>
      <c r="G127" s="4"/>
      <c r="H127" s="3"/>
      <c r="I127" s="21"/>
    </row>
    <row r="128" spans="3:9" ht="15.75" customHeight="1">
      <c r="C128" s="2"/>
      <c r="D128" s="2"/>
      <c r="E128" s="3"/>
      <c r="F128" s="4"/>
      <c r="G128" s="4"/>
      <c r="H128" s="3"/>
      <c r="I128" s="21"/>
    </row>
    <row r="129" spans="3:9" ht="15.75" customHeight="1">
      <c r="C129" s="2"/>
      <c r="D129" s="2"/>
      <c r="E129" s="3"/>
      <c r="F129" s="4"/>
      <c r="G129" s="4"/>
      <c r="H129" s="3"/>
      <c r="I129" s="21"/>
    </row>
    <row r="130" spans="3:9" ht="15.75" customHeight="1">
      <c r="C130" s="2"/>
      <c r="D130" s="2"/>
      <c r="E130" s="3"/>
      <c r="F130" s="4"/>
      <c r="G130" s="4"/>
      <c r="H130" s="3"/>
      <c r="I130" s="21"/>
    </row>
    <row r="131" spans="3:9" ht="15.75" customHeight="1">
      <c r="C131" s="2"/>
      <c r="D131" s="2"/>
      <c r="E131" s="3"/>
      <c r="F131" s="4"/>
      <c r="G131" s="4"/>
      <c r="H131" s="3"/>
      <c r="I131" s="21"/>
    </row>
    <row r="132" spans="3:9" ht="15.75" customHeight="1">
      <c r="C132" s="2"/>
      <c r="D132" s="2"/>
      <c r="E132" s="3"/>
      <c r="F132" s="4"/>
      <c r="G132" s="4"/>
      <c r="H132" s="3"/>
      <c r="I132" s="21"/>
    </row>
    <row r="133" spans="3:9" ht="15.75" customHeight="1">
      <c r="C133" s="2"/>
      <c r="D133" s="2"/>
      <c r="E133" s="3"/>
      <c r="F133" s="4"/>
      <c r="G133" s="4"/>
      <c r="H133" s="3"/>
      <c r="I133" s="21"/>
    </row>
    <row r="134" spans="3:9" ht="15.75" customHeight="1">
      <c r="C134" s="2"/>
      <c r="D134" s="2"/>
      <c r="E134" s="3"/>
      <c r="F134" s="4"/>
      <c r="G134" s="4"/>
      <c r="H134" s="3"/>
      <c r="I134" s="21"/>
    </row>
    <row r="135" spans="3:9" ht="15.75" customHeight="1">
      <c r="C135" s="2"/>
      <c r="D135" s="2"/>
      <c r="E135" s="3"/>
      <c r="F135" s="4"/>
      <c r="G135" s="4"/>
      <c r="H135" s="3"/>
      <c r="I135" s="21"/>
    </row>
    <row r="136" spans="3:9" ht="15.75" customHeight="1">
      <c r="C136" s="2"/>
      <c r="D136" s="2"/>
      <c r="E136" s="3"/>
      <c r="F136" s="4"/>
      <c r="G136" s="4"/>
      <c r="H136" s="3"/>
      <c r="I136" s="21"/>
    </row>
    <row r="137" spans="3:9" ht="15.75" customHeight="1">
      <c r="C137" s="2"/>
      <c r="D137" s="2"/>
      <c r="E137" s="3"/>
      <c r="F137" s="4"/>
      <c r="G137" s="4"/>
      <c r="H137" s="3"/>
      <c r="I137" s="21"/>
    </row>
    <row r="138" spans="3:9" ht="15.75" customHeight="1">
      <c r="C138" s="2"/>
      <c r="D138" s="2"/>
      <c r="E138" s="3"/>
      <c r="F138" s="4"/>
      <c r="G138" s="4"/>
      <c r="H138" s="3"/>
      <c r="I138" s="21"/>
    </row>
    <row r="139" spans="3:9" ht="15.75" customHeight="1">
      <c r="C139" s="2"/>
      <c r="D139" s="2"/>
      <c r="E139" s="3"/>
      <c r="F139" s="4"/>
      <c r="G139" s="4"/>
      <c r="H139" s="3"/>
      <c r="I139" s="21"/>
    </row>
    <row r="140" spans="3:9" ht="15.75" customHeight="1">
      <c r="C140" s="2"/>
      <c r="D140" s="2"/>
      <c r="E140" s="3"/>
      <c r="F140" s="4"/>
      <c r="G140" s="4"/>
      <c r="H140" s="3"/>
      <c r="I140" s="21"/>
    </row>
    <row r="141" spans="3:9" ht="15.75" customHeight="1">
      <c r="C141" s="2"/>
      <c r="D141" s="2"/>
      <c r="E141" s="3"/>
      <c r="F141" s="4"/>
      <c r="G141" s="4"/>
      <c r="H141" s="3"/>
      <c r="I141" s="21"/>
    </row>
    <row r="142" spans="3:9" ht="15.75" customHeight="1">
      <c r="C142" s="2"/>
      <c r="D142" s="2"/>
      <c r="E142" s="3"/>
      <c r="F142" s="4"/>
      <c r="G142" s="4"/>
      <c r="H142" s="3"/>
      <c r="I142" s="21"/>
    </row>
    <row r="143" spans="3:9" ht="15.75" customHeight="1">
      <c r="C143" s="2"/>
      <c r="D143" s="2"/>
      <c r="E143" s="3"/>
      <c r="F143" s="4"/>
      <c r="G143" s="4"/>
      <c r="H143" s="3"/>
      <c r="I143" s="21"/>
    </row>
    <row r="144" spans="3:9" ht="15.75" customHeight="1">
      <c r="C144" s="2"/>
      <c r="D144" s="2"/>
      <c r="E144" s="3"/>
      <c r="F144" s="4"/>
      <c r="G144" s="4"/>
      <c r="H144" s="3"/>
      <c r="I144" s="21"/>
    </row>
    <row r="145" spans="3:9" ht="15.75" customHeight="1">
      <c r="C145" s="2"/>
      <c r="D145" s="2"/>
      <c r="E145" s="3"/>
      <c r="F145" s="4"/>
      <c r="G145" s="4"/>
      <c r="H145" s="3"/>
      <c r="I145" s="21"/>
    </row>
    <row r="146" spans="3:9" ht="15.75" customHeight="1">
      <c r="C146" s="2"/>
      <c r="D146" s="2"/>
      <c r="E146" s="3"/>
      <c r="F146" s="4"/>
      <c r="G146" s="4"/>
      <c r="H146" s="3"/>
      <c r="I146" s="21"/>
    </row>
    <row r="147" spans="3:9" ht="15.75" customHeight="1">
      <c r="C147" s="2"/>
      <c r="D147" s="2"/>
      <c r="E147" s="3"/>
      <c r="F147" s="4"/>
      <c r="G147" s="4"/>
      <c r="H147" s="3"/>
      <c r="I147" s="21"/>
    </row>
    <row r="148" spans="3:9" ht="15.75" customHeight="1">
      <c r="C148" s="2"/>
      <c r="D148" s="2"/>
      <c r="E148" s="3"/>
      <c r="F148" s="4"/>
      <c r="G148" s="4"/>
      <c r="H148" s="3"/>
      <c r="I148" s="21"/>
    </row>
    <row r="149" spans="3:9" ht="15.75" customHeight="1">
      <c r="C149" s="2"/>
      <c r="D149" s="2"/>
      <c r="E149" s="3"/>
      <c r="F149" s="4"/>
      <c r="G149" s="4"/>
      <c r="H149" s="3"/>
      <c r="I149" s="21"/>
    </row>
    <row r="150" spans="3:9" ht="15.75" customHeight="1">
      <c r="C150" s="2"/>
      <c r="D150" s="2"/>
      <c r="E150" s="3"/>
      <c r="F150" s="4"/>
      <c r="G150" s="4"/>
      <c r="H150" s="3"/>
      <c r="I150" s="21"/>
    </row>
    <row r="151" spans="3:9" ht="15.75" customHeight="1">
      <c r="C151" s="2"/>
      <c r="D151" s="2"/>
      <c r="E151" s="3"/>
      <c r="F151" s="4"/>
      <c r="G151" s="4"/>
      <c r="H151" s="3"/>
      <c r="I151" s="21"/>
    </row>
    <row r="152" spans="3:9" ht="15.75" customHeight="1">
      <c r="C152" s="2"/>
      <c r="D152" s="2"/>
      <c r="E152" s="3"/>
      <c r="F152" s="4"/>
      <c r="G152" s="4"/>
      <c r="H152" s="3"/>
      <c r="I152" s="21"/>
    </row>
    <row r="153" spans="3:9" ht="15.75" customHeight="1">
      <c r="C153" s="2"/>
      <c r="D153" s="2"/>
      <c r="E153" s="3"/>
      <c r="F153" s="4"/>
      <c r="G153" s="4"/>
      <c r="H153" s="3"/>
      <c r="I153" s="21"/>
    </row>
    <row r="154" spans="3:9" ht="15.75" customHeight="1">
      <c r="C154" s="2"/>
      <c r="D154" s="2"/>
      <c r="E154" s="3"/>
      <c r="F154" s="4"/>
      <c r="G154" s="4"/>
      <c r="H154" s="3"/>
      <c r="I154" s="21"/>
    </row>
    <row r="155" spans="3:9" ht="15.75" customHeight="1">
      <c r="C155" s="2"/>
      <c r="D155" s="2"/>
      <c r="E155" s="3"/>
      <c r="F155" s="4"/>
      <c r="G155" s="4"/>
      <c r="H155" s="3"/>
      <c r="I155" s="21"/>
    </row>
    <row r="156" spans="3:9" ht="15.75" customHeight="1">
      <c r="C156" s="2"/>
      <c r="D156" s="2"/>
      <c r="E156" s="3"/>
      <c r="F156" s="4"/>
      <c r="G156" s="4"/>
      <c r="H156" s="3"/>
      <c r="I156" s="21"/>
    </row>
    <row r="157" spans="3:9" ht="15.75" customHeight="1">
      <c r="C157" s="2"/>
      <c r="D157" s="2"/>
      <c r="E157" s="3"/>
      <c r="F157" s="4"/>
      <c r="G157" s="4"/>
      <c r="H157" s="3"/>
      <c r="I157" s="21"/>
    </row>
    <row r="158" spans="3:9" ht="15.75" customHeight="1">
      <c r="C158" s="2"/>
      <c r="D158" s="2"/>
      <c r="E158" s="3"/>
      <c r="F158" s="4"/>
      <c r="G158" s="4"/>
      <c r="H158" s="3"/>
      <c r="I158" s="21"/>
    </row>
    <row r="159" spans="3:9" ht="15.75" customHeight="1">
      <c r="C159" s="2"/>
      <c r="D159" s="2"/>
      <c r="E159" s="3"/>
      <c r="F159" s="4"/>
      <c r="G159" s="4"/>
      <c r="H159" s="3"/>
      <c r="I159" s="21"/>
    </row>
    <row r="160" spans="3:9" ht="15.75" customHeight="1">
      <c r="C160" s="2"/>
      <c r="D160" s="2"/>
      <c r="E160" s="3"/>
      <c r="F160" s="4"/>
      <c r="G160" s="4"/>
      <c r="H160" s="3"/>
      <c r="I160" s="21"/>
    </row>
    <row r="161" spans="3:9" ht="15.75" customHeight="1">
      <c r="C161" s="2"/>
      <c r="D161" s="2"/>
      <c r="E161" s="3"/>
      <c r="F161" s="4"/>
      <c r="G161" s="4"/>
      <c r="H161" s="3"/>
      <c r="I161" s="21"/>
    </row>
    <row r="162" spans="3:9" ht="15.75" customHeight="1">
      <c r="C162" s="2"/>
      <c r="D162" s="2"/>
      <c r="E162" s="3"/>
      <c r="F162" s="4"/>
      <c r="G162" s="4"/>
      <c r="H162" s="3"/>
      <c r="I162" s="21"/>
    </row>
    <row r="163" spans="3:9" ht="15.75" customHeight="1">
      <c r="C163" s="2"/>
      <c r="D163" s="2"/>
      <c r="E163" s="3"/>
      <c r="F163" s="4"/>
      <c r="G163" s="4"/>
      <c r="H163" s="3"/>
      <c r="I163" s="21"/>
    </row>
    <row r="164" spans="3:9" ht="15.75" customHeight="1">
      <c r="C164" s="2"/>
      <c r="D164" s="2"/>
      <c r="E164" s="3"/>
      <c r="F164" s="4"/>
      <c r="G164" s="4"/>
      <c r="H164" s="3"/>
      <c r="I164" s="21"/>
    </row>
    <row r="165" spans="3:9" ht="15.75" customHeight="1">
      <c r="C165" s="2"/>
      <c r="D165" s="2"/>
      <c r="E165" s="3"/>
      <c r="F165" s="4"/>
      <c r="G165" s="4"/>
      <c r="H165" s="3"/>
      <c r="I165" s="21"/>
    </row>
    <row r="166" spans="3:9" ht="15.75" customHeight="1">
      <c r="C166" s="2"/>
      <c r="D166" s="2"/>
      <c r="E166" s="3"/>
      <c r="F166" s="4"/>
      <c r="G166" s="4"/>
      <c r="H166" s="3"/>
      <c r="I166" s="21"/>
    </row>
    <row r="167" spans="3:9" ht="15.75" customHeight="1">
      <c r="C167" s="2"/>
      <c r="D167" s="2"/>
      <c r="E167" s="3"/>
      <c r="F167" s="4"/>
      <c r="G167" s="4"/>
      <c r="H167" s="3"/>
      <c r="I167" s="21"/>
    </row>
    <row r="168" spans="3:9" ht="15.75" customHeight="1">
      <c r="C168" s="2"/>
      <c r="D168" s="2"/>
      <c r="E168" s="3"/>
      <c r="F168" s="4"/>
      <c r="G168" s="4"/>
      <c r="H168" s="3"/>
      <c r="I168" s="21"/>
    </row>
    <row r="169" spans="3:9" ht="15.75" customHeight="1">
      <c r="C169" s="2"/>
      <c r="D169" s="2"/>
      <c r="E169" s="3"/>
      <c r="F169" s="4"/>
      <c r="G169" s="4"/>
      <c r="H169" s="3"/>
      <c r="I169" s="21"/>
    </row>
    <row r="170" spans="3:9" ht="15.75" customHeight="1">
      <c r="C170" s="2"/>
      <c r="D170" s="2"/>
      <c r="E170" s="3"/>
      <c r="F170" s="4"/>
      <c r="G170" s="4"/>
      <c r="H170" s="3"/>
      <c r="I170" s="21"/>
    </row>
    <row r="171" spans="3:9" ht="15.75" customHeight="1">
      <c r="C171" s="2"/>
      <c r="D171" s="2"/>
      <c r="E171" s="3"/>
      <c r="F171" s="4"/>
      <c r="G171" s="4"/>
      <c r="H171" s="3"/>
      <c r="I171" s="21"/>
    </row>
    <row r="172" spans="3:9" ht="15.75" customHeight="1">
      <c r="C172" s="2"/>
      <c r="D172" s="2"/>
      <c r="E172" s="3"/>
      <c r="F172" s="4"/>
      <c r="G172" s="4"/>
      <c r="H172" s="3"/>
      <c r="I172" s="21"/>
    </row>
    <row r="173" spans="3:9" ht="15.75" customHeight="1">
      <c r="C173" s="2"/>
      <c r="D173" s="2"/>
      <c r="E173" s="3"/>
      <c r="F173" s="4"/>
      <c r="G173" s="4"/>
      <c r="H173" s="3"/>
      <c r="I173" s="21"/>
    </row>
    <row r="174" spans="3:9" ht="15.75" customHeight="1">
      <c r="C174" s="2"/>
      <c r="D174" s="2"/>
      <c r="E174" s="3"/>
      <c r="F174" s="4"/>
      <c r="G174" s="4"/>
      <c r="H174" s="3"/>
      <c r="I174" s="21"/>
    </row>
    <row r="175" spans="3:9" ht="15.75" customHeight="1">
      <c r="C175" s="2"/>
      <c r="D175" s="2"/>
      <c r="E175" s="3"/>
      <c r="F175" s="4"/>
      <c r="G175" s="4"/>
      <c r="H175" s="3"/>
      <c r="I175" s="21"/>
    </row>
    <row r="176" spans="3:9" ht="15.75" customHeight="1">
      <c r="C176" s="2"/>
      <c r="D176" s="2"/>
      <c r="E176" s="3"/>
      <c r="F176" s="4"/>
      <c r="G176" s="4"/>
      <c r="H176" s="3"/>
      <c r="I176" s="21"/>
    </row>
    <row r="177" spans="3:9" ht="15.75" customHeight="1">
      <c r="C177" s="2"/>
      <c r="D177" s="2"/>
      <c r="E177" s="3"/>
      <c r="F177" s="4"/>
      <c r="G177" s="4"/>
      <c r="H177" s="3"/>
      <c r="I177" s="21"/>
    </row>
    <row r="178" spans="3:9" ht="15.75" customHeight="1">
      <c r="C178" s="2"/>
      <c r="D178" s="2"/>
      <c r="E178" s="3"/>
      <c r="F178" s="4"/>
      <c r="G178" s="4"/>
      <c r="H178" s="3"/>
      <c r="I178" s="21"/>
    </row>
    <row r="179" spans="3:9" ht="15.75" customHeight="1">
      <c r="C179" s="2"/>
      <c r="D179" s="2"/>
      <c r="E179" s="3"/>
      <c r="F179" s="4"/>
      <c r="G179" s="4"/>
      <c r="H179" s="3"/>
      <c r="I179" s="21"/>
    </row>
    <row r="180" spans="3:9" ht="15.75" customHeight="1">
      <c r="C180" s="2"/>
      <c r="D180" s="2"/>
      <c r="E180" s="3"/>
      <c r="F180" s="4"/>
      <c r="G180" s="4"/>
      <c r="H180" s="3"/>
      <c r="I180" s="21"/>
    </row>
    <row r="181" spans="3:9" ht="15.75" customHeight="1">
      <c r="C181" s="2"/>
      <c r="D181" s="2"/>
      <c r="E181" s="3"/>
      <c r="F181" s="4"/>
      <c r="G181" s="4"/>
      <c r="H181" s="3"/>
      <c r="I181" s="21"/>
    </row>
    <row r="182" spans="3:9" ht="15.75" customHeight="1">
      <c r="C182" s="2"/>
      <c r="D182" s="2"/>
      <c r="E182" s="3"/>
      <c r="F182" s="4"/>
      <c r="G182" s="4"/>
      <c r="H182" s="3"/>
      <c r="I182" s="21"/>
    </row>
    <row r="183" spans="3:9" ht="15.75" customHeight="1">
      <c r="C183" s="2"/>
      <c r="D183" s="2"/>
      <c r="E183" s="3"/>
      <c r="F183" s="4"/>
      <c r="G183" s="4"/>
      <c r="H183" s="3"/>
      <c r="I183" s="21"/>
    </row>
    <row r="184" spans="3:9" ht="15.75" customHeight="1">
      <c r="C184" s="2"/>
      <c r="D184" s="2"/>
      <c r="E184" s="3"/>
      <c r="F184" s="4"/>
      <c r="G184" s="4"/>
      <c r="H184" s="3"/>
      <c r="I184" s="21"/>
    </row>
    <row r="185" spans="3:9" ht="15.75" customHeight="1">
      <c r="C185" s="2"/>
      <c r="D185" s="2"/>
      <c r="E185" s="3"/>
      <c r="F185" s="4"/>
      <c r="G185" s="4"/>
      <c r="H185" s="3"/>
      <c r="I185" s="21"/>
    </row>
    <row r="186" spans="3:9" ht="15.75" customHeight="1">
      <c r="C186" s="2"/>
      <c r="D186" s="2"/>
      <c r="E186" s="3"/>
      <c r="F186" s="4"/>
      <c r="G186" s="4"/>
      <c r="H186" s="3"/>
      <c r="I186" s="21"/>
    </row>
    <row r="187" spans="3:9" ht="15.75" customHeight="1">
      <c r="C187" s="2"/>
      <c r="D187" s="2"/>
      <c r="E187" s="3"/>
      <c r="F187" s="4"/>
      <c r="G187" s="4"/>
      <c r="H187" s="3"/>
      <c r="I187" s="21"/>
    </row>
    <row r="188" spans="3:9" ht="15.75" customHeight="1">
      <c r="C188" s="2"/>
      <c r="D188" s="2"/>
      <c r="E188" s="3"/>
      <c r="F188" s="4"/>
      <c r="G188" s="4"/>
      <c r="H188" s="3"/>
      <c r="I188" s="21"/>
    </row>
    <row r="189" spans="3:9" ht="15.75" customHeight="1">
      <c r="C189" s="2"/>
      <c r="D189" s="2"/>
      <c r="E189" s="3"/>
      <c r="F189" s="4"/>
      <c r="G189" s="4"/>
      <c r="H189" s="3"/>
      <c r="I189" s="21"/>
    </row>
    <row r="190" spans="3:9" ht="15.75" customHeight="1">
      <c r="C190" s="2"/>
      <c r="D190" s="2"/>
      <c r="E190" s="3"/>
      <c r="F190" s="4"/>
      <c r="G190" s="4"/>
      <c r="H190" s="3"/>
      <c r="I190" s="21"/>
    </row>
    <row r="191" spans="3:9" ht="15.75" customHeight="1">
      <c r="C191" s="2"/>
      <c r="D191" s="2"/>
      <c r="E191" s="3"/>
      <c r="F191" s="4"/>
      <c r="G191" s="4"/>
      <c r="H191" s="3"/>
      <c r="I191" s="21"/>
    </row>
    <row r="192" spans="3:9" ht="15.75" customHeight="1">
      <c r="C192" s="2"/>
      <c r="D192" s="2"/>
      <c r="E192" s="3"/>
      <c r="F192" s="4"/>
      <c r="G192" s="4"/>
      <c r="H192" s="3"/>
      <c r="I192" s="21"/>
    </row>
    <row r="193" spans="3:9" ht="15.75" customHeight="1">
      <c r="C193" s="2"/>
      <c r="D193" s="2"/>
      <c r="E193" s="3"/>
      <c r="F193" s="4"/>
      <c r="G193" s="4"/>
      <c r="H193" s="3"/>
      <c r="I193" s="21"/>
    </row>
    <row r="194" spans="3:9" ht="15.75" customHeight="1">
      <c r="C194" s="2"/>
      <c r="D194" s="2"/>
      <c r="E194" s="3"/>
      <c r="F194" s="4"/>
      <c r="G194" s="4"/>
      <c r="H194" s="3"/>
      <c r="I194" s="21"/>
    </row>
    <row r="195" spans="3:9" ht="15.75" customHeight="1">
      <c r="C195" s="2"/>
      <c r="D195" s="2"/>
      <c r="E195" s="3"/>
      <c r="F195" s="4"/>
      <c r="G195" s="4"/>
      <c r="H195" s="3"/>
      <c r="I195" s="21"/>
    </row>
    <row r="196" spans="3:9" ht="15.75" customHeight="1">
      <c r="C196" s="2"/>
      <c r="D196" s="2"/>
      <c r="E196" s="3"/>
      <c r="F196" s="4"/>
      <c r="G196" s="4"/>
      <c r="H196" s="3"/>
      <c r="I196" s="21"/>
    </row>
    <row r="197" spans="3:9" ht="15.75" customHeight="1">
      <c r="C197" s="2"/>
      <c r="D197" s="2"/>
      <c r="E197" s="3"/>
      <c r="F197" s="4"/>
      <c r="G197" s="4"/>
      <c r="H197" s="3"/>
      <c r="I197" s="21"/>
    </row>
    <row r="198" spans="3:9" ht="15.75" customHeight="1">
      <c r="C198" s="2"/>
      <c r="D198" s="2"/>
      <c r="E198" s="3"/>
      <c r="F198" s="4"/>
      <c r="G198" s="4"/>
      <c r="H198" s="3"/>
      <c r="I198" s="21"/>
    </row>
    <row r="199" spans="3:9" ht="15.75" customHeight="1">
      <c r="C199" s="2"/>
      <c r="D199" s="2"/>
      <c r="E199" s="3"/>
      <c r="F199" s="4"/>
      <c r="G199" s="4"/>
      <c r="H199" s="3"/>
      <c r="I199" s="21"/>
    </row>
    <row r="200" spans="3:9" ht="15.75" customHeight="1">
      <c r="C200" s="2"/>
      <c r="D200" s="2"/>
      <c r="E200" s="3"/>
      <c r="F200" s="4"/>
      <c r="G200" s="4"/>
      <c r="H200" s="3"/>
      <c r="I200" s="21"/>
    </row>
    <row r="201" spans="3:9" ht="15.75" customHeight="1">
      <c r="C201" s="2"/>
      <c r="D201" s="2"/>
      <c r="E201" s="3"/>
      <c r="F201" s="4"/>
      <c r="G201" s="4"/>
      <c r="H201" s="3"/>
      <c r="I201" s="21"/>
    </row>
    <row r="202" spans="3:9" ht="15.75" customHeight="1">
      <c r="C202" s="2"/>
      <c r="D202" s="2"/>
      <c r="E202" s="3"/>
      <c r="F202" s="4"/>
      <c r="G202" s="4"/>
      <c r="H202" s="3"/>
      <c r="I202" s="21"/>
    </row>
    <row r="203" spans="3:9" ht="15.75" customHeight="1">
      <c r="C203" s="2"/>
      <c r="D203" s="2"/>
      <c r="E203" s="3"/>
      <c r="F203" s="4"/>
      <c r="G203" s="4"/>
      <c r="H203" s="3"/>
      <c r="I203" s="21"/>
    </row>
    <row r="204" spans="3:9" ht="15.75" customHeight="1">
      <c r="C204" s="2"/>
      <c r="D204" s="2"/>
      <c r="E204" s="3"/>
      <c r="F204" s="4"/>
      <c r="G204" s="4"/>
      <c r="H204" s="3"/>
      <c r="I204" s="21"/>
    </row>
    <row r="205" spans="3:9" ht="15.75" customHeight="1">
      <c r="C205" s="2"/>
      <c r="D205" s="2"/>
      <c r="E205" s="3"/>
      <c r="F205" s="4"/>
      <c r="G205" s="4"/>
      <c r="H205" s="3"/>
      <c r="I205" s="21"/>
    </row>
    <row r="206" spans="3:9" ht="15.75" customHeight="1">
      <c r="C206" s="2"/>
      <c r="D206" s="2"/>
      <c r="E206" s="3"/>
      <c r="F206" s="4"/>
      <c r="G206" s="4"/>
      <c r="H206" s="3"/>
      <c r="I206" s="21"/>
    </row>
    <row r="207" spans="3:9" ht="15.75" customHeight="1">
      <c r="C207" s="2"/>
      <c r="D207" s="2"/>
      <c r="E207" s="3"/>
      <c r="F207" s="4"/>
      <c r="G207" s="4"/>
      <c r="H207" s="3"/>
      <c r="I207" s="21"/>
    </row>
    <row r="208" spans="3:9" ht="15.75" customHeight="1">
      <c r="C208" s="2"/>
      <c r="D208" s="2"/>
      <c r="E208" s="3"/>
      <c r="F208" s="4"/>
      <c r="G208" s="4"/>
      <c r="H208" s="3"/>
      <c r="I208" s="21"/>
    </row>
    <row r="209" spans="3:9" ht="15.75" customHeight="1">
      <c r="C209" s="2"/>
      <c r="D209" s="2"/>
      <c r="E209" s="3"/>
      <c r="F209" s="4"/>
      <c r="G209" s="4"/>
      <c r="H209" s="3"/>
      <c r="I209" s="21"/>
    </row>
    <row r="210" spans="3:9" ht="15.75" customHeight="1">
      <c r="C210" s="2"/>
      <c r="D210" s="2"/>
      <c r="E210" s="3"/>
      <c r="F210" s="4"/>
      <c r="G210" s="4"/>
      <c r="H210" s="3"/>
      <c r="I210" s="21"/>
    </row>
    <row r="211" spans="3:9" ht="15.75" customHeight="1">
      <c r="C211" s="2"/>
      <c r="D211" s="2"/>
      <c r="E211" s="3"/>
      <c r="F211" s="4"/>
      <c r="G211" s="4"/>
      <c r="H211" s="3"/>
      <c r="I211" s="21"/>
    </row>
    <row r="212" spans="3:9" ht="15.75" customHeight="1">
      <c r="C212" s="2"/>
      <c r="D212" s="2"/>
      <c r="E212" s="3"/>
      <c r="F212" s="4"/>
      <c r="G212" s="4"/>
      <c r="H212" s="3"/>
      <c r="I212" s="21"/>
    </row>
    <row r="213" spans="3:9" ht="15.75" customHeight="1">
      <c r="C213" s="2"/>
      <c r="D213" s="2"/>
      <c r="E213" s="3"/>
      <c r="F213" s="4"/>
      <c r="G213" s="4"/>
      <c r="H213" s="3"/>
      <c r="I213" s="21"/>
    </row>
    <row r="214" spans="3:9" ht="15.75" customHeight="1">
      <c r="C214" s="2"/>
      <c r="D214" s="2"/>
      <c r="E214" s="3"/>
      <c r="F214" s="4"/>
      <c r="G214" s="4"/>
      <c r="H214" s="3"/>
      <c r="I214" s="21"/>
    </row>
    <row r="215" spans="3:9" ht="15.75" customHeight="1">
      <c r="C215" s="2"/>
      <c r="D215" s="2"/>
      <c r="E215" s="3"/>
      <c r="F215" s="4"/>
      <c r="G215" s="4"/>
      <c r="H215" s="3"/>
      <c r="I215" s="21"/>
    </row>
    <row r="216" spans="3:9" ht="15.75" customHeight="1">
      <c r="C216" s="2"/>
      <c r="D216" s="2"/>
      <c r="E216" s="3"/>
      <c r="F216" s="4"/>
      <c r="G216" s="4"/>
      <c r="H216" s="3"/>
      <c r="I216" s="21"/>
    </row>
    <row r="217" spans="3:9" ht="15.75" customHeight="1">
      <c r="C217" s="2"/>
      <c r="D217" s="2"/>
      <c r="E217" s="3"/>
      <c r="F217" s="4"/>
      <c r="G217" s="4"/>
      <c r="H217" s="3"/>
      <c r="I217" s="21"/>
    </row>
    <row r="218" spans="3:9" ht="15.75" customHeight="1">
      <c r="C218" s="2"/>
      <c r="D218" s="2"/>
      <c r="E218" s="3"/>
      <c r="F218" s="4"/>
      <c r="G218" s="4"/>
      <c r="H218" s="3"/>
      <c r="I218" s="21"/>
    </row>
    <row r="219" spans="3:9" ht="15.75" customHeight="1">
      <c r="C219" s="2"/>
      <c r="D219" s="2"/>
      <c r="E219" s="3"/>
      <c r="F219" s="4"/>
      <c r="G219" s="4"/>
      <c r="H219" s="3"/>
      <c r="I219" s="21"/>
    </row>
    <row r="220" spans="3:9" ht="15.75" customHeight="1">
      <c r="C220" s="2"/>
      <c r="D220" s="2"/>
      <c r="E220" s="3"/>
      <c r="F220" s="4"/>
      <c r="G220" s="4"/>
      <c r="H220" s="3"/>
      <c r="I220" s="21"/>
    </row>
    <row r="221" spans="3:9" ht="15.75" customHeight="1">
      <c r="C221" s="2"/>
      <c r="D221" s="2"/>
      <c r="E221" s="3"/>
      <c r="F221" s="4"/>
      <c r="G221" s="4"/>
      <c r="H221" s="3"/>
      <c r="I221" s="21"/>
    </row>
    <row r="222" spans="3:9" ht="15.75" customHeight="1">
      <c r="C222" s="2"/>
      <c r="D222" s="2"/>
      <c r="E222" s="3"/>
      <c r="F222" s="4"/>
      <c r="G222" s="4"/>
      <c r="H222" s="3"/>
      <c r="I222" s="21"/>
    </row>
    <row r="223" spans="3:9" ht="15.75" customHeight="1">
      <c r="C223" s="2"/>
      <c r="D223" s="2"/>
      <c r="E223" s="3"/>
      <c r="F223" s="4"/>
      <c r="G223" s="4"/>
      <c r="H223" s="3"/>
      <c r="I223" s="21"/>
    </row>
    <row r="224" spans="3:9" ht="15.75" customHeight="1">
      <c r="C224" s="2"/>
      <c r="D224" s="2"/>
      <c r="E224" s="3"/>
      <c r="F224" s="4"/>
      <c r="G224" s="4"/>
      <c r="H224" s="3"/>
      <c r="I224" s="21"/>
    </row>
    <row r="225" spans="3:9" ht="15.75" customHeight="1">
      <c r="C225" s="2"/>
      <c r="D225" s="2"/>
      <c r="E225" s="3"/>
      <c r="F225" s="4"/>
      <c r="G225" s="4"/>
      <c r="H225" s="3"/>
      <c r="I225" s="21"/>
    </row>
    <row r="226" spans="3:9" ht="15.75" customHeight="1">
      <c r="C226" s="2"/>
      <c r="D226" s="2"/>
      <c r="E226" s="3"/>
      <c r="F226" s="4"/>
      <c r="G226" s="4"/>
      <c r="H226" s="3"/>
      <c r="I226" s="21"/>
    </row>
    <row r="227" spans="3:9" ht="15.75" customHeight="1">
      <c r="C227" s="2"/>
      <c r="D227" s="2"/>
      <c r="E227" s="3"/>
      <c r="F227" s="4"/>
      <c r="G227" s="4"/>
      <c r="H227" s="3"/>
      <c r="I227" s="21"/>
    </row>
    <row r="228" spans="3:9" ht="15.75" customHeight="1">
      <c r="C228" s="2"/>
      <c r="D228" s="2"/>
      <c r="E228" s="3"/>
      <c r="F228" s="4"/>
      <c r="G228" s="4"/>
      <c r="H228" s="3"/>
      <c r="I228" s="21"/>
    </row>
    <row r="229" spans="3:9" ht="15.75" customHeight="1">
      <c r="C229" s="2"/>
      <c r="D229" s="2"/>
      <c r="E229" s="3"/>
      <c r="F229" s="4"/>
      <c r="G229" s="4"/>
      <c r="H229" s="3"/>
      <c r="I229" s="21"/>
    </row>
    <row r="230" spans="3:9" ht="15.75" customHeight="1">
      <c r="C230" s="2"/>
      <c r="D230" s="2"/>
      <c r="E230" s="3"/>
      <c r="F230" s="4"/>
      <c r="G230" s="4"/>
      <c r="H230" s="3"/>
      <c r="I230" s="21"/>
    </row>
    <row r="231" spans="3:9" ht="15.75" customHeight="1">
      <c r="C231" s="2"/>
      <c r="D231" s="2"/>
      <c r="E231" s="3"/>
      <c r="F231" s="4"/>
      <c r="G231" s="4"/>
      <c r="H231" s="3"/>
      <c r="I231" s="21"/>
    </row>
    <row r="232" spans="3:9" ht="15.75" customHeight="1">
      <c r="C232" s="2"/>
      <c r="D232" s="2"/>
      <c r="E232" s="3"/>
      <c r="F232" s="4"/>
      <c r="G232" s="4"/>
      <c r="H232" s="3"/>
      <c r="I232" s="21"/>
    </row>
    <row r="233" spans="3:9" ht="15.75" customHeight="1">
      <c r="C233" s="2"/>
      <c r="D233" s="2"/>
      <c r="E233" s="3"/>
      <c r="F233" s="4"/>
      <c r="G233" s="4"/>
      <c r="H233" s="3"/>
      <c r="I233" s="21"/>
    </row>
    <row r="234" spans="3:9" ht="15.75" customHeight="1">
      <c r="C234" s="2"/>
      <c r="D234" s="2"/>
      <c r="E234" s="3"/>
      <c r="F234" s="4"/>
      <c r="G234" s="4"/>
      <c r="H234" s="3"/>
      <c r="I234" s="21"/>
    </row>
    <row r="235" spans="3:9" ht="15.75" customHeight="1">
      <c r="C235" s="2"/>
      <c r="D235" s="2"/>
      <c r="E235" s="3"/>
      <c r="F235" s="4"/>
      <c r="G235" s="4"/>
      <c r="H235" s="3"/>
      <c r="I235" s="21"/>
    </row>
    <row r="236" spans="3:9" ht="15.75" customHeight="1">
      <c r="C236" s="2"/>
      <c r="D236" s="2"/>
      <c r="E236" s="3"/>
      <c r="F236" s="4"/>
      <c r="G236" s="4"/>
      <c r="H236" s="3"/>
      <c r="I236" s="21"/>
    </row>
    <row r="237" spans="3:9" ht="15.75" customHeight="1">
      <c r="C237" s="2"/>
      <c r="D237" s="2"/>
      <c r="E237" s="3"/>
      <c r="F237" s="4"/>
      <c r="G237" s="4"/>
      <c r="H237" s="3"/>
      <c r="I237" s="21"/>
    </row>
    <row r="238" spans="3:9" ht="15.75" customHeight="1">
      <c r="C238" s="2"/>
      <c r="D238" s="2"/>
      <c r="E238" s="3"/>
      <c r="F238" s="4"/>
      <c r="G238" s="4"/>
      <c r="H238" s="3"/>
      <c r="I238" s="21"/>
    </row>
    <row r="239" spans="3:9" ht="15.75" customHeight="1">
      <c r="C239" s="2"/>
      <c r="D239" s="2"/>
      <c r="E239" s="3"/>
      <c r="F239" s="4"/>
      <c r="G239" s="4"/>
      <c r="H239" s="3"/>
      <c r="I239" s="21"/>
    </row>
    <row r="240" spans="3:9" ht="15.75" customHeight="1">
      <c r="C240" s="2"/>
      <c r="D240" s="2"/>
      <c r="E240" s="3"/>
      <c r="F240" s="4"/>
      <c r="G240" s="4"/>
      <c r="H240" s="3"/>
      <c r="I240" s="21"/>
    </row>
    <row r="241" spans="3:9" ht="15.75" customHeight="1">
      <c r="C241" s="2"/>
      <c r="D241" s="2"/>
      <c r="E241" s="3"/>
      <c r="F241" s="4"/>
      <c r="G241" s="4"/>
      <c r="H241" s="3"/>
      <c r="I241" s="21"/>
    </row>
    <row r="242" spans="3:9" ht="15.75" customHeight="1">
      <c r="C242" s="2"/>
      <c r="D242" s="2"/>
      <c r="E242" s="3"/>
      <c r="F242" s="4"/>
      <c r="G242" s="4"/>
      <c r="H242" s="3"/>
      <c r="I242" s="21"/>
    </row>
    <row r="243" spans="3:9" ht="15.75" customHeight="1">
      <c r="C243" s="2"/>
      <c r="D243" s="2"/>
      <c r="E243" s="3"/>
      <c r="F243" s="4"/>
      <c r="G243" s="4"/>
      <c r="H243" s="3"/>
      <c r="I243" s="21"/>
    </row>
    <row r="244" spans="3:9" ht="15.75" customHeight="1">
      <c r="C244" s="2"/>
      <c r="D244" s="2"/>
      <c r="E244" s="3"/>
      <c r="F244" s="4"/>
      <c r="G244" s="4"/>
      <c r="H244" s="3"/>
      <c r="I244" s="21"/>
    </row>
    <row r="245" spans="3:9" ht="15.75" customHeight="1">
      <c r="C245" s="2"/>
      <c r="D245" s="2"/>
      <c r="E245" s="3"/>
      <c r="F245" s="4"/>
      <c r="G245" s="4"/>
      <c r="H245" s="3"/>
      <c r="I245" s="21"/>
    </row>
    <row r="246" spans="3:9" ht="15.75" customHeight="1">
      <c r="C246" s="2"/>
      <c r="D246" s="2"/>
      <c r="E246" s="3"/>
      <c r="F246" s="4"/>
      <c r="G246" s="4"/>
      <c r="H246" s="3"/>
      <c r="I246" s="21"/>
    </row>
    <row r="247" spans="3:9" ht="15.75" customHeight="1">
      <c r="C247" s="2"/>
      <c r="D247" s="2"/>
      <c r="E247" s="3"/>
      <c r="F247" s="4"/>
      <c r="G247" s="4"/>
      <c r="H247" s="3"/>
      <c r="I247" s="21"/>
    </row>
    <row r="248" spans="3:9" ht="15.75" customHeight="1">
      <c r="C248" s="2"/>
      <c r="D248" s="2"/>
      <c r="E248" s="3"/>
      <c r="F248" s="4"/>
      <c r="G248" s="4"/>
      <c r="H248" s="3"/>
      <c r="I248" s="21"/>
    </row>
    <row r="249" spans="3:9" ht="15.75" customHeight="1">
      <c r="C249" s="2"/>
      <c r="D249" s="2"/>
      <c r="E249" s="3"/>
      <c r="F249" s="4"/>
      <c r="G249" s="4"/>
      <c r="H249" s="3"/>
      <c r="I249" s="21"/>
    </row>
    <row r="250" spans="3:9" ht="15.75" customHeight="1">
      <c r="C250" s="2"/>
      <c r="D250" s="2"/>
      <c r="E250" s="3"/>
      <c r="F250" s="4"/>
      <c r="G250" s="4"/>
      <c r="H250" s="3"/>
      <c r="I250" s="21"/>
    </row>
    <row r="251" spans="3:9" ht="15.75" customHeight="1">
      <c r="C251" s="2"/>
      <c r="D251" s="2"/>
      <c r="E251" s="3"/>
      <c r="F251" s="4"/>
      <c r="G251" s="4"/>
      <c r="H251" s="3"/>
      <c r="I251" s="21"/>
    </row>
    <row r="252" spans="3:9" ht="15.75" customHeight="1">
      <c r="C252" s="2"/>
      <c r="D252" s="2"/>
      <c r="E252" s="3"/>
      <c r="F252" s="4"/>
      <c r="G252" s="4"/>
      <c r="H252" s="3"/>
      <c r="I252" s="21"/>
    </row>
    <row r="253" spans="3:9" ht="15.75" customHeight="1">
      <c r="C253" s="2"/>
      <c r="D253" s="2"/>
      <c r="E253" s="3"/>
      <c r="F253" s="4"/>
      <c r="G253" s="4"/>
      <c r="H253" s="3"/>
      <c r="I253" s="21"/>
    </row>
    <row r="254" spans="3:9" ht="15.75" customHeight="1">
      <c r="C254" s="2"/>
      <c r="D254" s="2"/>
      <c r="E254" s="3"/>
      <c r="F254" s="4"/>
      <c r="G254" s="4"/>
      <c r="H254" s="3"/>
      <c r="I254" s="21"/>
    </row>
    <row r="255" spans="3:9" ht="15.75" customHeight="1">
      <c r="C255" s="2"/>
      <c r="D255" s="2"/>
      <c r="E255" s="3"/>
      <c r="F255" s="4"/>
      <c r="G255" s="4"/>
      <c r="H255" s="3"/>
      <c r="I255" s="21"/>
    </row>
    <row r="256" spans="3:9" ht="15.75" customHeight="1">
      <c r="C256" s="2"/>
      <c r="D256" s="2"/>
      <c r="E256" s="3"/>
      <c r="F256" s="4"/>
      <c r="G256" s="4"/>
      <c r="H256" s="3"/>
      <c r="I256" s="21"/>
    </row>
    <row r="257" spans="3:9" ht="15.75" customHeight="1">
      <c r="C257" s="2"/>
      <c r="D257" s="2"/>
      <c r="E257" s="3"/>
      <c r="F257" s="4"/>
      <c r="G257" s="4"/>
      <c r="H257" s="3"/>
      <c r="I257" s="21"/>
    </row>
    <row r="258" spans="3:9" ht="15.75" customHeight="1">
      <c r="C258" s="2"/>
      <c r="D258" s="2"/>
      <c r="E258" s="3"/>
      <c r="F258" s="4"/>
      <c r="G258" s="4"/>
      <c r="H258" s="3"/>
      <c r="I258" s="21"/>
    </row>
    <row r="259" spans="3:9" ht="15.75" customHeight="1">
      <c r="C259" s="2"/>
      <c r="D259" s="2"/>
      <c r="E259" s="3"/>
      <c r="F259" s="4"/>
      <c r="G259" s="4"/>
      <c r="H259" s="3"/>
      <c r="I259" s="21"/>
    </row>
    <row r="260" spans="3:9" ht="15.75" customHeight="1">
      <c r="C260" s="2"/>
      <c r="D260" s="2"/>
      <c r="E260" s="3"/>
      <c r="F260" s="4"/>
      <c r="G260" s="4"/>
      <c r="H260" s="3"/>
      <c r="I260" s="21"/>
    </row>
    <row r="261" spans="3:9" ht="15.75" customHeight="1">
      <c r="C261" s="2"/>
      <c r="D261" s="2"/>
      <c r="E261" s="3"/>
      <c r="F261" s="4"/>
      <c r="G261" s="4"/>
      <c r="H261" s="3"/>
      <c r="I261" s="21"/>
    </row>
    <row r="262" spans="3:9" ht="15.75" customHeight="1">
      <c r="C262" s="2"/>
      <c r="D262" s="2"/>
      <c r="E262" s="3"/>
      <c r="F262" s="4"/>
      <c r="G262" s="4"/>
      <c r="H262" s="3"/>
      <c r="I262" s="21"/>
    </row>
    <row r="263" spans="3:9" ht="15.75" customHeight="1">
      <c r="C263" s="2"/>
      <c r="D263" s="2"/>
      <c r="E263" s="3"/>
      <c r="F263" s="4"/>
      <c r="G263" s="4"/>
      <c r="H263" s="3"/>
      <c r="I263" s="21"/>
    </row>
    <row r="264" spans="3:9" ht="15.75" customHeight="1">
      <c r="C264" s="2"/>
      <c r="D264" s="2"/>
      <c r="E264" s="3"/>
      <c r="F264" s="4"/>
      <c r="G264" s="4"/>
      <c r="H264" s="3"/>
      <c r="I264" s="21"/>
    </row>
    <row r="265" spans="3:9" ht="15.75" customHeight="1">
      <c r="C265" s="2"/>
      <c r="D265" s="2"/>
      <c r="E265" s="3"/>
      <c r="F265" s="4"/>
      <c r="G265" s="4"/>
      <c r="H265" s="3"/>
      <c r="I265" s="21"/>
    </row>
    <row r="266" spans="3:9" ht="15.75" customHeight="1">
      <c r="C266" s="2"/>
      <c r="D266" s="2"/>
      <c r="E266" s="3"/>
      <c r="F266" s="4"/>
      <c r="G266" s="4"/>
      <c r="H266" s="3"/>
      <c r="I266" s="21"/>
    </row>
    <row r="267" spans="3:9" ht="15.75" customHeight="1">
      <c r="C267" s="2"/>
      <c r="D267" s="2"/>
      <c r="E267" s="3"/>
      <c r="F267" s="4"/>
      <c r="G267" s="4"/>
      <c r="H267" s="3"/>
      <c r="I267" s="21"/>
    </row>
    <row r="268" spans="3:9" ht="15.75" customHeight="1">
      <c r="C268" s="2"/>
      <c r="D268" s="2"/>
      <c r="E268" s="3"/>
      <c r="F268" s="4"/>
      <c r="G268" s="4"/>
      <c r="H268" s="3"/>
      <c r="I268" s="21"/>
    </row>
    <row r="269" spans="3:9" ht="15.75" customHeight="1">
      <c r="C269" s="2"/>
      <c r="D269" s="2"/>
      <c r="E269" s="3"/>
      <c r="F269" s="4"/>
      <c r="G269" s="4"/>
      <c r="H269" s="3"/>
      <c r="I269" s="21"/>
    </row>
    <row r="270" spans="3:9" ht="15.75" customHeight="1">
      <c r="C270" s="2"/>
      <c r="D270" s="2"/>
      <c r="E270" s="3"/>
      <c r="F270" s="4"/>
      <c r="G270" s="4"/>
      <c r="H270" s="3"/>
      <c r="I270" s="21"/>
    </row>
    <row r="271" spans="3:9" ht="15.75" customHeight="1">
      <c r="C271" s="2"/>
      <c r="D271" s="2"/>
      <c r="E271" s="3"/>
      <c r="F271" s="4"/>
      <c r="G271" s="4"/>
      <c r="H271" s="3"/>
      <c r="I271" s="21"/>
    </row>
    <row r="272" spans="3:9" ht="15.75" customHeight="1">
      <c r="C272" s="2"/>
      <c r="D272" s="2"/>
      <c r="E272" s="3"/>
      <c r="F272" s="4"/>
      <c r="G272" s="4"/>
      <c r="H272" s="3"/>
      <c r="I272" s="21"/>
    </row>
    <row r="273" spans="3:9" ht="15.75" customHeight="1">
      <c r="C273" s="2"/>
      <c r="D273" s="2"/>
      <c r="E273" s="3"/>
      <c r="F273" s="4"/>
      <c r="G273" s="4"/>
      <c r="H273" s="3"/>
      <c r="I273" s="21"/>
    </row>
    <row r="274" spans="3:9" ht="15.75" customHeight="1">
      <c r="C274" s="2"/>
      <c r="D274" s="2"/>
      <c r="E274" s="3"/>
      <c r="F274" s="4"/>
      <c r="G274" s="4"/>
      <c r="H274" s="3"/>
      <c r="I274" s="21"/>
    </row>
    <row r="275" spans="3:9" ht="15.75" customHeight="1">
      <c r="C275" s="2"/>
      <c r="D275" s="2"/>
      <c r="E275" s="3"/>
      <c r="F275" s="4"/>
      <c r="G275" s="4"/>
      <c r="H275" s="3"/>
      <c r="I275" s="21"/>
    </row>
    <row r="276" spans="3:9" ht="15.75" customHeight="1">
      <c r="C276" s="2"/>
      <c r="D276" s="2"/>
      <c r="E276" s="3"/>
      <c r="F276" s="4"/>
      <c r="G276" s="4"/>
      <c r="H276" s="3"/>
      <c r="I276" s="21"/>
    </row>
    <row r="277" spans="3:9" ht="15.75" customHeight="1">
      <c r="C277" s="2"/>
      <c r="D277" s="2"/>
      <c r="E277" s="3"/>
      <c r="F277" s="4"/>
      <c r="G277" s="4"/>
      <c r="H277" s="3"/>
      <c r="I277" s="21"/>
    </row>
    <row r="278" spans="3:9" ht="15.75" customHeight="1">
      <c r="C278" s="2"/>
      <c r="D278" s="2"/>
      <c r="E278" s="3"/>
      <c r="F278" s="4"/>
      <c r="G278" s="4"/>
      <c r="H278" s="3"/>
      <c r="I278" s="21"/>
    </row>
    <row r="279" spans="3:9" ht="15.75" customHeight="1">
      <c r="C279" s="2"/>
      <c r="D279" s="2"/>
      <c r="E279" s="3"/>
      <c r="F279" s="4"/>
      <c r="G279" s="4"/>
      <c r="H279" s="3"/>
      <c r="I279" s="21"/>
    </row>
    <row r="280" spans="3:9" ht="15.75" customHeight="1">
      <c r="C280" s="2"/>
      <c r="D280" s="2"/>
      <c r="E280" s="3"/>
      <c r="F280" s="4"/>
      <c r="G280" s="4"/>
      <c r="H280" s="3"/>
      <c r="I280" s="21"/>
    </row>
    <row r="281" spans="3:9" ht="15.75" customHeight="1">
      <c r="C281" s="2"/>
      <c r="D281" s="2"/>
      <c r="E281" s="3"/>
      <c r="F281" s="4"/>
      <c r="G281" s="4"/>
      <c r="H281" s="3"/>
      <c r="I281" s="21"/>
    </row>
    <row r="282" spans="3:9" ht="15.75" customHeight="1">
      <c r="C282" s="2"/>
      <c r="D282" s="2"/>
      <c r="E282" s="3"/>
      <c r="F282" s="4"/>
      <c r="G282" s="4"/>
      <c r="H282" s="3"/>
      <c r="I282" s="21"/>
    </row>
    <row r="283" spans="3:9" ht="15.75" customHeight="1">
      <c r="C283" s="2"/>
      <c r="D283" s="2"/>
      <c r="E283" s="3"/>
      <c r="F283" s="4"/>
      <c r="G283" s="4"/>
      <c r="H283" s="3"/>
      <c r="I283" s="21"/>
    </row>
    <row r="284" spans="3:9" ht="15.75" customHeight="1">
      <c r="C284" s="2"/>
      <c r="D284" s="2"/>
      <c r="E284" s="3"/>
      <c r="F284" s="4"/>
      <c r="G284" s="4"/>
      <c r="H284" s="3"/>
      <c r="I284" s="21"/>
    </row>
    <row r="285" spans="3:9" ht="15.75" customHeight="1">
      <c r="C285" s="2"/>
      <c r="D285" s="2"/>
      <c r="E285" s="3"/>
      <c r="F285" s="4"/>
      <c r="G285" s="4"/>
      <c r="H285" s="3"/>
      <c r="I285" s="21"/>
    </row>
    <row r="286" spans="3:9" ht="15.75" customHeight="1">
      <c r="C286" s="2"/>
      <c r="D286" s="2"/>
      <c r="E286" s="3"/>
      <c r="F286" s="4"/>
      <c r="G286" s="4"/>
      <c r="H286" s="3"/>
      <c r="I286" s="21"/>
    </row>
    <row r="287" spans="3:9" ht="15.75" customHeight="1">
      <c r="C287" s="2"/>
      <c r="D287" s="2"/>
      <c r="E287" s="3"/>
      <c r="F287" s="4"/>
      <c r="G287" s="4"/>
      <c r="H287" s="3"/>
      <c r="I287" s="21"/>
    </row>
    <row r="288" spans="3:9" ht="15.75" customHeight="1">
      <c r="C288" s="2"/>
      <c r="D288" s="2"/>
      <c r="E288" s="3"/>
      <c r="F288" s="4"/>
      <c r="G288" s="4"/>
      <c r="H288" s="3"/>
      <c r="I288" s="21"/>
    </row>
    <row r="289" spans="3:9" ht="15.75" customHeight="1">
      <c r="C289" s="2"/>
      <c r="D289" s="2"/>
      <c r="E289" s="3"/>
      <c r="F289" s="4"/>
      <c r="G289" s="4"/>
      <c r="H289" s="3"/>
      <c r="I289" s="21"/>
    </row>
    <row r="290" spans="3:9" ht="15.75" customHeight="1">
      <c r="C290" s="2"/>
      <c r="D290" s="2"/>
      <c r="E290" s="3"/>
      <c r="F290" s="4"/>
      <c r="G290" s="4"/>
      <c r="H290" s="3"/>
      <c r="I290" s="21"/>
    </row>
    <row r="291" spans="3:9" ht="15.75" customHeight="1">
      <c r="C291" s="2"/>
      <c r="D291" s="2"/>
      <c r="E291" s="3"/>
      <c r="F291" s="4"/>
      <c r="G291" s="4"/>
      <c r="H291" s="3"/>
      <c r="I291" s="21"/>
    </row>
    <row r="292" spans="3:9" ht="15.75" customHeight="1">
      <c r="C292" s="2"/>
      <c r="D292" s="2"/>
      <c r="E292" s="3"/>
      <c r="F292" s="4"/>
      <c r="G292" s="4"/>
      <c r="H292" s="3"/>
      <c r="I292" s="21"/>
    </row>
    <row r="293" spans="3:9" ht="15.75" customHeight="1">
      <c r="C293" s="2"/>
      <c r="D293" s="2"/>
      <c r="E293" s="3"/>
      <c r="F293" s="4"/>
      <c r="G293" s="4"/>
      <c r="H293" s="3"/>
      <c r="I293" s="21"/>
    </row>
    <row r="294" spans="3:9" ht="15.75" customHeight="1">
      <c r="C294" s="2"/>
      <c r="D294" s="2"/>
      <c r="E294" s="3"/>
      <c r="F294" s="4"/>
      <c r="G294" s="4"/>
      <c r="H294" s="3"/>
      <c r="I294" s="21"/>
    </row>
    <row r="295" spans="3:9" ht="15.75" customHeight="1">
      <c r="C295" s="2"/>
      <c r="D295" s="2"/>
      <c r="E295" s="3"/>
      <c r="F295" s="4"/>
      <c r="G295" s="4"/>
      <c r="H295" s="3"/>
      <c r="I295" s="21"/>
    </row>
    <row r="296" spans="3:9" ht="15.75" customHeight="1">
      <c r="C296" s="2"/>
      <c r="D296" s="2"/>
      <c r="E296" s="3"/>
      <c r="F296" s="4"/>
      <c r="G296" s="4"/>
      <c r="H296" s="3"/>
      <c r="I296" s="21"/>
    </row>
    <row r="297" spans="3:9" ht="15.75" customHeight="1">
      <c r="C297" s="2"/>
      <c r="D297" s="2"/>
      <c r="E297" s="3"/>
      <c r="F297" s="4"/>
      <c r="G297" s="4"/>
      <c r="H297" s="3"/>
      <c r="I297" s="21"/>
    </row>
    <row r="298" spans="3:9" ht="15.75" customHeight="1">
      <c r="C298" s="2"/>
      <c r="D298" s="2"/>
      <c r="E298" s="3"/>
      <c r="F298" s="4"/>
      <c r="G298" s="4"/>
      <c r="H298" s="3"/>
      <c r="I298" s="21"/>
    </row>
    <row r="299" spans="3:9" ht="15.75" customHeight="1">
      <c r="C299" s="2"/>
      <c r="D299" s="2"/>
      <c r="E299" s="3"/>
      <c r="F299" s="4"/>
      <c r="G299" s="4"/>
      <c r="H299" s="3"/>
      <c r="I299" s="21"/>
    </row>
    <row r="300" spans="3:9" ht="15.75" customHeight="1">
      <c r="C300" s="2"/>
      <c r="D300" s="2"/>
      <c r="E300" s="3"/>
      <c r="F300" s="4"/>
      <c r="G300" s="4"/>
      <c r="H300" s="3"/>
      <c r="I300" s="21"/>
    </row>
    <row r="301" spans="3:9" ht="15.75" customHeight="1">
      <c r="C301" s="2"/>
      <c r="D301" s="2"/>
      <c r="E301" s="3"/>
      <c r="F301" s="4"/>
      <c r="G301" s="4"/>
      <c r="H301" s="3"/>
      <c r="I301" s="21"/>
    </row>
    <row r="302" spans="3:9" ht="15.75" customHeight="1">
      <c r="C302" s="2"/>
      <c r="D302" s="2"/>
      <c r="E302" s="3"/>
      <c r="F302" s="4"/>
      <c r="G302" s="4"/>
      <c r="H302" s="3"/>
      <c r="I302" s="21"/>
    </row>
    <row r="303" spans="3:9" ht="15.75" customHeight="1">
      <c r="C303" s="2"/>
      <c r="D303" s="2"/>
      <c r="E303" s="3"/>
      <c r="F303" s="4"/>
      <c r="G303" s="4"/>
      <c r="H303" s="3"/>
      <c r="I303" s="21"/>
    </row>
    <row r="304" spans="3:9" ht="15.75" customHeight="1">
      <c r="C304" s="2"/>
      <c r="D304" s="2"/>
      <c r="E304" s="3"/>
      <c r="F304" s="4"/>
      <c r="G304" s="4"/>
      <c r="H304" s="3"/>
      <c r="I304" s="21"/>
    </row>
    <row r="305" spans="3:9" ht="15.75" customHeight="1">
      <c r="C305" s="2"/>
      <c r="D305" s="2"/>
      <c r="E305" s="3"/>
      <c r="F305" s="4"/>
      <c r="G305" s="4"/>
      <c r="H305" s="3"/>
      <c r="I305" s="21"/>
    </row>
    <row r="306" spans="3:9" ht="15.75" customHeight="1">
      <c r="C306" s="2"/>
      <c r="D306" s="2"/>
      <c r="E306" s="3"/>
      <c r="F306" s="4"/>
      <c r="G306" s="4"/>
      <c r="H306" s="3"/>
      <c r="I306" s="21"/>
    </row>
    <row r="307" spans="3:9" ht="15.75" customHeight="1">
      <c r="C307" s="2"/>
      <c r="D307" s="2"/>
      <c r="E307" s="3"/>
      <c r="F307" s="4"/>
      <c r="G307" s="4"/>
      <c r="H307" s="3"/>
      <c r="I307" s="21"/>
    </row>
    <row r="308" spans="3:9" ht="15.75" customHeight="1">
      <c r="C308" s="2"/>
      <c r="D308" s="2"/>
      <c r="E308" s="3"/>
      <c r="F308" s="4"/>
      <c r="G308" s="4"/>
      <c r="H308" s="3"/>
      <c r="I308" s="21"/>
    </row>
    <row r="309" spans="3:9" ht="15.75" customHeight="1">
      <c r="C309" s="2"/>
      <c r="D309" s="2"/>
      <c r="E309" s="3"/>
      <c r="F309" s="4"/>
      <c r="G309" s="4"/>
      <c r="H309" s="3"/>
      <c r="I309" s="21"/>
    </row>
    <row r="310" spans="3:9" ht="15.75" customHeight="1">
      <c r="C310" s="2"/>
      <c r="D310" s="2"/>
      <c r="E310" s="3"/>
      <c r="F310" s="4"/>
      <c r="G310" s="4"/>
      <c r="H310" s="3"/>
      <c r="I310" s="21"/>
    </row>
    <row r="311" spans="3:9" ht="15.75" customHeight="1">
      <c r="C311" s="2"/>
      <c r="D311" s="2"/>
      <c r="E311" s="3"/>
      <c r="F311" s="4"/>
      <c r="G311" s="4"/>
      <c r="H311" s="3"/>
      <c r="I311" s="21"/>
    </row>
    <row r="312" spans="3:9" ht="15.75" customHeight="1">
      <c r="C312" s="2"/>
      <c r="D312" s="2"/>
      <c r="E312" s="3"/>
      <c r="F312" s="4"/>
      <c r="G312" s="4"/>
      <c r="H312" s="3"/>
      <c r="I312" s="21"/>
    </row>
    <row r="313" spans="3:9" ht="15.75" customHeight="1">
      <c r="C313" s="2"/>
      <c r="D313" s="2"/>
      <c r="E313" s="3"/>
      <c r="F313" s="4"/>
      <c r="G313" s="4"/>
      <c r="H313" s="3"/>
      <c r="I313" s="21"/>
    </row>
    <row r="314" spans="3:9" ht="15.75" customHeight="1">
      <c r="C314" s="2"/>
      <c r="D314" s="2"/>
      <c r="E314" s="3"/>
      <c r="F314" s="4"/>
      <c r="G314" s="4"/>
      <c r="H314" s="3"/>
      <c r="I314" s="21"/>
    </row>
    <row r="315" spans="3:9" ht="15.75" customHeight="1">
      <c r="C315" s="2"/>
      <c r="D315" s="2"/>
      <c r="E315" s="3"/>
      <c r="F315" s="4"/>
      <c r="G315" s="4"/>
      <c r="H315" s="3"/>
      <c r="I315" s="21"/>
    </row>
    <row r="316" spans="3:9" ht="15.75" customHeight="1">
      <c r="C316" s="2"/>
      <c r="D316" s="2"/>
      <c r="E316" s="3"/>
      <c r="F316" s="4"/>
      <c r="G316" s="4"/>
      <c r="H316" s="3"/>
      <c r="I316" s="21"/>
    </row>
    <row r="317" spans="3:9" ht="15.75" customHeight="1">
      <c r="C317" s="2"/>
      <c r="D317" s="2"/>
      <c r="E317" s="3"/>
      <c r="F317" s="4"/>
      <c r="G317" s="4"/>
      <c r="H317" s="3"/>
      <c r="I317" s="21"/>
    </row>
    <row r="318" spans="3:9" ht="15.75" customHeight="1">
      <c r="C318" s="2"/>
      <c r="D318" s="2"/>
      <c r="E318" s="3"/>
      <c r="F318" s="4"/>
      <c r="G318" s="4"/>
      <c r="H318" s="3"/>
      <c r="I318" s="21"/>
    </row>
    <row r="319" spans="3:9" ht="15.75" customHeight="1">
      <c r="C319" s="2"/>
      <c r="D319" s="2"/>
      <c r="E319" s="3"/>
      <c r="F319" s="4"/>
      <c r="G319" s="4"/>
      <c r="H319" s="3"/>
      <c r="I319" s="21"/>
    </row>
    <row r="320" spans="3:9" ht="15.75" customHeight="1">
      <c r="C320" s="2"/>
      <c r="D320" s="2"/>
      <c r="E320" s="3"/>
      <c r="F320" s="4"/>
      <c r="G320" s="4"/>
      <c r="H320" s="3"/>
      <c r="I320" s="21"/>
    </row>
    <row r="321" spans="3:9" ht="15.75" customHeight="1">
      <c r="C321" s="2"/>
      <c r="D321" s="2"/>
      <c r="E321" s="3"/>
      <c r="F321" s="4"/>
      <c r="G321" s="4"/>
      <c r="H321" s="3"/>
      <c r="I321" s="21"/>
    </row>
    <row r="322" spans="3:9" ht="15.75" customHeight="1">
      <c r="C322" s="2"/>
      <c r="D322" s="2"/>
      <c r="E322" s="3"/>
      <c r="F322" s="4"/>
      <c r="G322" s="4"/>
      <c r="H322" s="3"/>
      <c r="I322" s="21"/>
    </row>
    <row r="323" spans="3:9" ht="15.75" customHeight="1">
      <c r="C323" s="2"/>
      <c r="D323" s="2"/>
      <c r="E323" s="3"/>
      <c r="F323" s="4"/>
      <c r="G323" s="4"/>
      <c r="H323" s="3"/>
      <c r="I323" s="21"/>
    </row>
    <row r="324" spans="3:9" ht="15.75" customHeight="1">
      <c r="C324" s="2"/>
      <c r="D324" s="2"/>
      <c r="E324" s="3"/>
      <c r="F324" s="4"/>
      <c r="G324" s="4"/>
      <c r="H324" s="3"/>
      <c r="I324" s="21"/>
    </row>
    <row r="325" spans="3:9" ht="15.75" customHeight="1">
      <c r="C325" s="2"/>
      <c r="D325" s="2"/>
      <c r="E325" s="3"/>
      <c r="F325" s="4"/>
      <c r="G325" s="4"/>
      <c r="H325" s="3"/>
      <c r="I325" s="21"/>
    </row>
    <row r="326" spans="3:9" ht="15.75" customHeight="1">
      <c r="C326" s="2"/>
      <c r="D326" s="2"/>
      <c r="E326" s="3"/>
      <c r="F326" s="4"/>
      <c r="G326" s="4"/>
      <c r="H326" s="3"/>
      <c r="I326" s="21"/>
    </row>
    <row r="327" spans="3:9" ht="15.75" customHeight="1">
      <c r="C327" s="2"/>
      <c r="D327" s="2"/>
      <c r="E327" s="3"/>
      <c r="F327" s="4"/>
      <c r="G327" s="4"/>
      <c r="H327" s="3"/>
      <c r="I327" s="21"/>
    </row>
    <row r="328" spans="3:9" ht="15.75" customHeight="1">
      <c r="C328" s="2"/>
      <c r="D328" s="2"/>
      <c r="E328" s="3"/>
      <c r="F328" s="4"/>
      <c r="G328" s="4"/>
      <c r="H328" s="3"/>
      <c r="I328" s="21"/>
    </row>
    <row r="329" spans="3:9" ht="15.75" customHeight="1">
      <c r="C329" s="2"/>
      <c r="D329" s="2"/>
      <c r="E329" s="3"/>
      <c r="F329" s="4"/>
      <c r="G329" s="4"/>
      <c r="H329" s="3"/>
      <c r="I329" s="21"/>
    </row>
    <row r="330" spans="3:9" ht="15.75" customHeight="1">
      <c r="C330" s="2"/>
      <c r="D330" s="2"/>
      <c r="E330" s="3"/>
      <c r="F330" s="4"/>
      <c r="G330" s="4"/>
      <c r="H330" s="3"/>
      <c r="I330" s="21"/>
    </row>
    <row r="331" spans="3:9" ht="15.75" customHeight="1">
      <c r="C331" s="2"/>
      <c r="D331" s="2"/>
      <c r="E331" s="3"/>
      <c r="F331" s="4"/>
      <c r="G331" s="4"/>
      <c r="H331" s="3"/>
      <c r="I331" s="21"/>
    </row>
    <row r="332" spans="3:9" ht="15.75" customHeight="1">
      <c r="C332" s="2"/>
      <c r="D332" s="2"/>
      <c r="E332" s="3"/>
      <c r="F332" s="4"/>
      <c r="G332" s="4"/>
      <c r="H332" s="3"/>
      <c r="I332" s="21"/>
    </row>
    <row r="333" spans="3:9" ht="15.75" customHeight="1">
      <c r="C333" s="2"/>
      <c r="D333" s="2"/>
      <c r="E333" s="3"/>
      <c r="F333" s="4"/>
      <c r="G333" s="4"/>
      <c r="H333" s="3"/>
      <c r="I333" s="21"/>
    </row>
    <row r="334" spans="3:9" ht="15.75" customHeight="1">
      <c r="C334" s="2"/>
      <c r="D334" s="2"/>
      <c r="E334" s="3"/>
      <c r="F334" s="4"/>
      <c r="G334" s="4"/>
      <c r="H334" s="3"/>
      <c r="I334" s="21"/>
    </row>
    <row r="335" spans="3:9" ht="15.75" customHeight="1">
      <c r="C335" s="2"/>
      <c r="D335" s="2"/>
      <c r="E335" s="3"/>
      <c r="F335" s="4"/>
      <c r="G335" s="4"/>
      <c r="H335" s="3"/>
      <c r="I335" s="21"/>
    </row>
    <row r="336" spans="3:9" ht="15.75" customHeight="1">
      <c r="C336" s="2"/>
      <c r="D336" s="2"/>
      <c r="E336" s="3"/>
      <c r="F336" s="4"/>
      <c r="G336" s="4"/>
      <c r="H336" s="3"/>
      <c r="I336" s="21"/>
    </row>
    <row r="337" spans="3:9" ht="15.75" customHeight="1">
      <c r="C337" s="2"/>
      <c r="D337" s="2"/>
      <c r="E337" s="3"/>
      <c r="F337" s="4"/>
      <c r="G337" s="4"/>
      <c r="H337" s="3"/>
      <c r="I337" s="21"/>
    </row>
    <row r="338" spans="3:9" ht="15.75" customHeight="1">
      <c r="C338" s="2"/>
      <c r="D338" s="2"/>
      <c r="E338" s="3"/>
      <c r="F338" s="4"/>
      <c r="G338" s="4"/>
      <c r="H338" s="3"/>
      <c r="I338" s="21"/>
    </row>
    <row r="339" spans="3:9" ht="15.75" customHeight="1">
      <c r="C339" s="2"/>
      <c r="D339" s="2"/>
      <c r="E339" s="3"/>
      <c r="F339" s="4"/>
      <c r="G339" s="4"/>
      <c r="H339" s="3"/>
      <c r="I339" s="21"/>
    </row>
    <row r="340" spans="3:9" ht="15.75" customHeight="1">
      <c r="C340" s="2"/>
      <c r="D340" s="2"/>
      <c r="E340" s="3"/>
      <c r="F340" s="4"/>
      <c r="G340" s="4"/>
      <c r="H340" s="3"/>
      <c r="I340" s="21"/>
    </row>
    <row r="341" spans="3:9" ht="15.75" customHeight="1">
      <c r="C341" s="2"/>
      <c r="D341" s="2"/>
      <c r="E341" s="3"/>
      <c r="F341" s="4"/>
      <c r="G341" s="4"/>
      <c r="H341" s="3"/>
      <c r="I341" s="21"/>
    </row>
    <row r="342" spans="3:9" ht="15.75" customHeight="1">
      <c r="C342" s="2"/>
      <c r="D342" s="2"/>
      <c r="E342" s="3"/>
      <c r="F342" s="4"/>
      <c r="G342" s="4"/>
      <c r="H342" s="3"/>
      <c r="I342" s="21"/>
    </row>
    <row r="343" spans="3:9" ht="15.75" customHeight="1">
      <c r="C343" s="2"/>
      <c r="D343" s="2"/>
      <c r="E343" s="3"/>
      <c r="F343" s="4"/>
      <c r="G343" s="4"/>
      <c r="H343" s="3"/>
      <c r="I343" s="21"/>
    </row>
    <row r="344" spans="3:9" ht="15.75" customHeight="1">
      <c r="C344" s="2"/>
      <c r="D344" s="2"/>
      <c r="E344" s="3"/>
      <c r="F344" s="4"/>
      <c r="G344" s="4"/>
      <c r="H344" s="3"/>
      <c r="I344" s="21"/>
    </row>
    <row r="345" spans="3:9" ht="15.75" customHeight="1">
      <c r="C345" s="2"/>
      <c r="D345" s="2"/>
      <c r="E345" s="3"/>
      <c r="F345" s="4"/>
      <c r="G345" s="4"/>
      <c r="H345" s="3"/>
      <c r="I345" s="21"/>
    </row>
    <row r="346" spans="3:9" ht="15.75" customHeight="1">
      <c r="C346" s="2"/>
      <c r="D346" s="2"/>
      <c r="E346" s="3"/>
      <c r="F346" s="4"/>
      <c r="G346" s="4"/>
      <c r="H346" s="3"/>
      <c r="I346" s="21"/>
    </row>
    <row r="347" spans="3:9" ht="15.75" customHeight="1">
      <c r="C347" s="2"/>
      <c r="D347" s="2"/>
      <c r="E347" s="3"/>
      <c r="F347" s="4"/>
      <c r="G347" s="4"/>
      <c r="H347" s="3"/>
      <c r="I347" s="21"/>
    </row>
    <row r="348" spans="3:9" ht="15.75" customHeight="1">
      <c r="C348" s="2"/>
      <c r="D348" s="2"/>
      <c r="E348" s="3"/>
      <c r="F348" s="4"/>
      <c r="G348" s="4"/>
      <c r="H348" s="3"/>
      <c r="I348" s="21"/>
    </row>
    <row r="349" spans="3:9" ht="15.75" customHeight="1">
      <c r="C349" s="2"/>
      <c r="D349" s="2"/>
      <c r="E349" s="3"/>
      <c r="F349" s="4"/>
      <c r="G349" s="4"/>
      <c r="H349" s="3"/>
      <c r="I349" s="21"/>
    </row>
    <row r="350" spans="3:9" ht="15.75" customHeight="1">
      <c r="C350" s="2"/>
      <c r="D350" s="2"/>
      <c r="E350" s="3"/>
      <c r="F350" s="4"/>
      <c r="G350" s="4"/>
      <c r="H350" s="3"/>
      <c r="I350" s="21"/>
    </row>
    <row r="351" spans="3:9" ht="15.75" customHeight="1">
      <c r="C351" s="2"/>
      <c r="D351" s="2"/>
      <c r="E351" s="3"/>
      <c r="F351" s="4"/>
      <c r="G351" s="4"/>
      <c r="H351" s="3"/>
      <c r="I351" s="21"/>
    </row>
    <row r="352" spans="3:9" ht="15.75" customHeight="1">
      <c r="C352" s="2"/>
      <c r="D352" s="2"/>
      <c r="E352" s="3"/>
      <c r="F352" s="4"/>
      <c r="G352" s="4"/>
      <c r="H352" s="3"/>
      <c r="I352" s="21"/>
    </row>
    <row r="353" spans="3:9" ht="15.75" customHeight="1">
      <c r="C353" s="2"/>
      <c r="D353" s="2"/>
      <c r="E353" s="3"/>
      <c r="F353" s="4"/>
      <c r="G353" s="4"/>
      <c r="H353" s="3"/>
      <c r="I353" s="21"/>
    </row>
    <row r="354" spans="3:9" ht="15.75" customHeight="1">
      <c r="C354" s="2"/>
      <c r="D354" s="2"/>
      <c r="E354" s="3"/>
      <c r="F354" s="4"/>
      <c r="G354" s="4"/>
      <c r="H354" s="3"/>
      <c r="I354" s="21"/>
    </row>
    <row r="355" spans="3:9" ht="15.75" customHeight="1">
      <c r="C355" s="2"/>
      <c r="D355" s="2"/>
      <c r="E355" s="3"/>
      <c r="F355" s="4"/>
      <c r="G355" s="4"/>
      <c r="H355" s="3"/>
      <c r="I355" s="21"/>
    </row>
    <row r="356" spans="3:9" ht="15.75" customHeight="1">
      <c r="C356" s="2"/>
      <c r="D356" s="2"/>
      <c r="E356" s="3"/>
      <c r="F356" s="4"/>
      <c r="G356" s="4"/>
      <c r="H356" s="3"/>
      <c r="I356" s="21"/>
    </row>
    <row r="357" spans="3:9" ht="15.75" customHeight="1">
      <c r="C357" s="2"/>
      <c r="D357" s="2"/>
      <c r="E357" s="3"/>
      <c r="F357" s="4"/>
      <c r="G357" s="4"/>
      <c r="H357" s="3"/>
      <c r="I357" s="21"/>
    </row>
    <row r="358" spans="3:9" ht="15.75" customHeight="1">
      <c r="C358" s="2"/>
      <c r="D358" s="2"/>
      <c r="E358" s="3"/>
      <c r="F358" s="4"/>
      <c r="G358" s="4"/>
      <c r="H358" s="3"/>
      <c r="I358" s="21"/>
    </row>
    <row r="359" spans="3:9" ht="15.75" customHeight="1">
      <c r="C359" s="2"/>
      <c r="D359" s="2"/>
      <c r="E359" s="3"/>
      <c r="F359" s="4"/>
      <c r="G359" s="4"/>
      <c r="H359" s="3"/>
      <c r="I359" s="21"/>
    </row>
    <row r="360" spans="3:9" ht="15.75" customHeight="1">
      <c r="C360" s="2"/>
      <c r="D360" s="2"/>
      <c r="E360" s="3"/>
      <c r="F360" s="4"/>
      <c r="G360" s="4"/>
      <c r="H360" s="3"/>
      <c r="I360" s="21"/>
    </row>
    <row r="361" spans="3:9" ht="15.75" customHeight="1">
      <c r="C361" s="2"/>
      <c r="D361" s="2"/>
      <c r="E361" s="3"/>
      <c r="F361" s="4"/>
      <c r="G361" s="4"/>
      <c r="H361" s="3"/>
      <c r="I361" s="21"/>
    </row>
    <row r="362" spans="3:9" ht="15.75" customHeight="1">
      <c r="C362" s="2"/>
      <c r="D362" s="2"/>
      <c r="E362" s="3"/>
      <c r="F362" s="4"/>
      <c r="G362" s="4"/>
      <c r="H362" s="3"/>
      <c r="I362" s="21"/>
    </row>
    <row r="363" spans="3:9" ht="15.75" customHeight="1">
      <c r="C363" s="2"/>
      <c r="D363" s="2"/>
      <c r="E363" s="3"/>
      <c r="F363" s="4"/>
      <c r="G363" s="4"/>
      <c r="H363" s="3"/>
      <c r="I363" s="21"/>
    </row>
    <row r="364" spans="3:9" ht="15.75" customHeight="1">
      <c r="C364" s="2"/>
      <c r="D364" s="2"/>
      <c r="E364" s="3"/>
      <c r="F364" s="4"/>
      <c r="G364" s="4"/>
      <c r="H364" s="3"/>
      <c r="I364" s="21"/>
    </row>
    <row r="365" spans="3:9" ht="15.75" customHeight="1">
      <c r="C365" s="2"/>
      <c r="D365" s="2"/>
      <c r="E365" s="3"/>
      <c r="F365" s="4"/>
      <c r="G365" s="4"/>
      <c r="H365" s="3"/>
      <c r="I365" s="21"/>
    </row>
    <row r="366" spans="3:9" ht="15.75" customHeight="1">
      <c r="C366" s="2"/>
      <c r="D366" s="2"/>
      <c r="E366" s="3"/>
      <c r="F366" s="4"/>
      <c r="G366" s="4"/>
      <c r="H366" s="3"/>
      <c r="I366" s="21"/>
    </row>
    <row r="367" spans="3:9" ht="15.75" customHeight="1">
      <c r="C367" s="2"/>
      <c r="D367" s="2"/>
      <c r="E367" s="3"/>
      <c r="F367" s="4"/>
      <c r="G367" s="4"/>
      <c r="H367" s="3"/>
      <c r="I367" s="21"/>
    </row>
    <row r="368" spans="3:9" ht="15.75" customHeight="1">
      <c r="C368" s="2"/>
      <c r="D368" s="2"/>
      <c r="E368" s="3"/>
      <c r="F368" s="4"/>
      <c r="G368" s="4"/>
      <c r="H368" s="3"/>
      <c r="I368" s="21"/>
    </row>
    <row r="369" spans="3:9" ht="15.75" customHeight="1">
      <c r="C369" s="2"/>
      <c r="D369" s="2"/>
      <c r="E369" s="3"/>
      <c r="F369" s="4"/>
      <c r="G369" s="4"/>
      <c r="H369" s="3"/>
      <c r="I369" s="21"/>
    </row>
    <row r="370" spans="3:9" ht="15.75" customHeight="1">
      <c r="C370" s="2"/>
      <c r="D370" s="2"/>
      <c r="E370" s="3"/>
      <c r="F370" s="4"/>
      <c r="G370" s="4"/>
      <c r="H370" s="3"/>
      <c r="I370" s="21"/>
    </row>
    <row r="371" spans="3:9" ht="15.75" customHeight="1">
      <c r="C371" s="2"/>
      <c r="D371" s="2"/>
      <c r="E371" s="3"/>
      <c r="F371" s="4"/>
      <c r="G371" s="4"/>
      <c r="H371" s="3"/>
      <c r="I371" s="21"/>
    </row>
    <row r="372" spans="3:9" ht="15.75" customHeight="1">
      <c r="C372" s="2"/>
      <c r="D372" s="2"/>
      <c r="E372" s="3"/>
      <c r="F372" s="4"/>
      <c r="G372" s="4"/>
      <c r="H372" s="3"/>
      <c r="I372" s="21"/>
    </row>
    <row r="373" spans="3:9" ht="15.75" customHeight="1">
      <c r="C373" s="2"/>
      <c r="D373" s="2"/>
      <c r="E373" s="3"/>
      <c r="F373" s="4"/>
      <c r="G373" s="4"/>
      <c r="H373" s="3"/>
      <c r="I373" s="21"/>
    </row>
    <row r="374" spans="3:9" ht="15.75" customHeight="1">
      <c r="C374" s="2"/>
      <c r="D374" s="2"/>
      <c r="E374" s="3"/>
      <c r="F374" s="4"/>
      <c r="G374" s="4"/>
      <c r="H374" s="3"/>
      <c r="I374" s="21"/>
    </row>
    <row r="375" spans="3:9" ht="15.75" customHeight="1">
      <c r="C375" s="2"/>
      <c r="D375" s="2"/>
      <c r="E375" s="3"/>
      <c r="F375" s="4"/>
      <c r="G375" s="4"/>
      <c r="H375" s="3"/>
      <c r="I375" s="21"/>
    </row>
    <row r="376" spans="3:9" ht="15.75" customHeight="1">
      <c r="C376" s="2"/>
      <c r="D376" s="2"/>
      <c r="E376" s="3"/>
      <c r="F376" s="4"/>
      <c r="G376" s="4"/>
      <c r="H376" s="3"/>
      <c r="I376" s="21"/>
    </row>
    <row r="377" spans="3:9" ht="15.75" customHeight="1">
      <c r="C377" s="2"/>
      <c r="D377" s="2"/>
      <c r="E377" s="3"/>
      <c r="F377" s="4"/>
      <c r="G377" s="4"/>
      <c r="H377" s="3"/>
      <c r="I377" s="21"/>
    </row>
    <row r="378" spans="3:9" ht="15.75" customHeight="1">
      <c r="C378" s="2"/>
      <c r="D378" s="2"/>
      <c r="E378" s="3"/>
      <c r="F378" s="4"/>
      <c r="G378" s="4"/>
      <c r="H378" s="3"/>
      <c r="I378" s="21"/>
    </row>
    <row r="379" spans="3:9" ht="15.75" customHeight="1">
      <c r="C379" s="2"/>
      <c r="D379" s="2"/>
      <c r="E379" s="3"/>
      <c r="F379" s="4"/>
      <c r="G379" s="4"/>
      <c r="H379" s="3"/>
      <c r="I379" s="21"/>
    </row>
    <row r="380" spans="3:9" ht="15.75" customHeight="1">
      <c r="C380" s="2"/>
      <c r="D380" s="2"/>
      <c r="E380" s="3"/>
      <c r="F380" s="4"/>
      <c r="G380" s="4"/>
      <c r="H380" s="3"/>
      <c r="I380" s="21"/>
    </row>
    <row r="381" spans="3:9" ht="15.75" customHeight="1">
      <c r="C381" s="2"/>
      <c r="D381" s="2"/>
      <c r="E381" s="3"/>
      <c r="F381" s="4"/>
      <c r="G381" s="4"/>
      <c r="H381" s="3"/>
      <c r="I381" s="21"/>
    </row>
    <row r="382" spans="3:9" ht="15.75" customHeight="1">
      <c r="C382" s="2"/>
      <c r="D382" s="2"/>
      <c r="E382" s="3"/>
      <c r="F382" s="4"/>
      <c r="G382" s="4"/>
      <c r="H382" s="3"/>
      <c r="I382" s="21"/>
    </row>
    <row r="383" spans="3:9" ht="15.75" customHeight="1">
      <c r="C383" s="2"/>
      <c r="D383" s="2"/>
      <c r="E383" s="3"/>
      <c r="F383" s="4"/>
      <c r="G383" s="4"/>
      <c r="H383" s="3"/>
      <c r="I383" s="21"/>
    </row>
    <row r="384" spans="3:9" ht="15.75" customHeight="1">
      <c r="C384" s="2"/>
      <c r="D384" s="2"/>
      <c r="E384" s="3"/>
      <c r="F384" s="4"/>
      <c r="G384" s="4"/>
      <c r="H384" s="3"/>
      <c r="I384" s="21"/>
    </row>
    <row r="385" spans="3:9" ht="15.75" customHeight="1">
      <c r="C385" s="2"/>
      <c r="D385" s="2"/>
      <c r="E385" s="3"/>
      <c r="F385" s="4"/>
      <c r="G385" s="4"/>
      <c r="H385" s="3"/>
      <c r="I385" s="21"/>
    </row>
    <row r="386" spans="3:9" ht="15.75" customHeight="1">
      <c r="C386" s="2"/>
      <c r="D386" s="2"/>
      <c r="E386" s="3"/>
      <c r="F386" s="4"/>
      <c r="G386" s="4"/>
      <c r="H386" s="3"/>
      <c r="I386" s="21"/>
    </row>
    <row r="387" spans="3:9" ht="15.75" customHeight="1">
      <c r="C387" s="2"/>
      <c r="D387" s="2"/>
      <c r="E387" s="3"/>
      <c r="F387" s="4"/>
      <c r="G387" s="4"/>
      <c r="H387" s="3"/>
      <c r="I387" s="21"/>
    </row>
    <row r="388" spans="3:9" ht="15.75" customHeight="1">
      <c r="C388" s="2"/>
      <c r="D388" s="2"/>
      <c r="E388" s="3"/>
      <c r="F388" s="4"/>
      <c r="G388" s="4"/>
      <c r="H388" s="3"/>
      <c r="I388" s="21"/>
    </row>
    <row r="389" spans="3:9" ht="15.75" customHeight="1">
      <c r="C389" s="2"/>
      <c r="D389" s="2"/>
      <c r="E389" s="3"/>
      <c r="F389" s="4"/>
      <c r="G389" s="4"/>
      <c r="H389" s="3"/>
      <c r="I389" s="21"/>
    </row>
    <row r="390" spans="3:9" ht="15.75" customHeight="1">
      <c r="C390" s="2"/>
      <c r="D390" s="2"/>
      <c r="E390" s="3"/>
      <c r="F390" s="4"/>
      <c r="G390" s="4"/>
      <c r="H390" s="3"/>
      <c r="I390" s="21"/>
    </row>
    <row r="391" spans="3:9" ht="15.75" customHeight="1">
      <c r="C391" s="2"/>
      <c r="D391" s="2"/>
      <c r="E391" s="3"/>
      <c r="F391" s="4"/>
      <c r="G391" s="4"/>
      <c r="H391" s="3"/>
      <c r="I391" s="21"/>
    </row>
    <row r="392" spans="3:9" ht="15.75" customHeight="1">
      <c r="C392" s="2"/>
      <c r="D392" s="2"/>
      <c r="E392" s="3"/>
      <c r="F392" s="4"/>
      <c r="G392" s="4"/>
      <c r="H392" s="3"/>
      <c r="I392" s="21"/>
    </row>
    <row r="393" spans="3:9" ht="15.75" customHeight="1">
      <c r="C393" s="2"/>
      <c r="D393" s="2"/>
      <c r="E393" s="3"/>
      <c r="F393" s="4"/>
      <c r="G393" s="4"/>
      <c r="H393" s="3"/>
      <c r="I393" s="21"/>
    </row>
    <row r="394" spans="3:9" ht="15.75" customHeight="1">
      <c r="C394" s="2"/>
      <c r="D394" s="2"/>
      <c r="E394" s="3"/>
      <c r="F394" s="4"/>
      <c r="G394" s="4"/>
      <c r="H394" s="3"/>
      <c r="I394" s="21"/>
    </row>
    <row r="395" spans="3:9" ht="15.75" customHeight="1">
      <c r="C395" s="2"/>
      <c r="D395" s="2"/>
      <c r="E395" s="3"/>
      <c r="F395" s="4"/>
      <c r="G395" s="4"/>
      <c r="H395" s="3"/>
      <c r="I395" s="21"/>
    </row>
    <row r="396" spans="3:9" ht="15.75" customHeight="1">
      <c r="C396" s="2"/>
      <c r="D396" s="2"/>
      <c r="E396" s="3"/>
      <c r="F396" s="4"/>
      <c r="G396" s="4"/>
      <c r="H396" s="3"/>
      <c r="I396" s="21"/>
    </row>
    <row r="397" spans="3:9" ht="15.75" customHeight="1">
      <c r="C397" s="2"/>
      <c r="D397" s="2"/>
      <c r="E397" s="3"/>
      <c r="F397" s="4"/>
      <c r="G397" s="4"/>
      <c r="H397" s="3"/>
      <c r="I397" s="21"/>
    </row>
    <row r="398" spans="3:9" ht="15.75" customHeight="1">
      <c r="C398" s="2"/>
      <c r="D398" s="2"/>
      <c r="E398" s="3"/>
      <c r="F398" s="4"/>
      <c r="G398" s="4"/>
      <c r="H398" s="3"/>
      <c r="I398" s="21"/>
    </row>
    <row r="399" spans="3:9" ht="15.75" customHeight="1">
      <c r="C399" s="2"/>
      <c r="D399" s="2"/>
      <c r="E399" s="3"/>
      <c r="F399" s="4"/>
      <c r="G399" s="4"/>
      <c r="H399" s="3"/>
      <c r="I399" s="21"/>
    </row>
    <row r="400" spans="3:9" ht="15.75" customHeight="1">
      <c r="C400" s="2"/>
      <c r="D400" s="2"/>
      <c r="E400" s="3"/>
      <c r="F400" s="4"/>
      <c r="G400" s="4"/>
      <c r="H400" s="3"/>
      <c r="I400" s="21"/>
    </row>
    <row r="401" spans="3:9" ht="15.75" customHeight="1">
      <c r="C401" s="2"/>
      <c r="D401" s="2"/>
      <c r="E401" s="3"/>
      <c r="F401" s="4"/>
      <c r="G401" s="4"/>
      <c r="H401" s="3"/>
      <c r="I401" s="21"/>
    </row>
    <row r="402" spans="3:9" ht="15.75" customHeight="1">
      <c r="C402" s="2"/>
      <c r="D402" s="2"/>
      <c r="E402" s="3"/>
      <c r="F402" s="4"/>
      <c r="G402" s="4"/>
      <c r="H402" s="3"/>
      <c r="I402" s="21"/>
    </row>
    <row r="403" spans="3:9" ht="15.75" customHeight="1">
      <c r="C403" s="2"/>
      <c r="D403" s="2"/>
      <c r="E403" s="3"/>
      <c r="F403" s="4"/>
      <c r="G403" s="4"/>
      <c r="H403" s="3"/>
      <c r="I403" s="21"/>
    </row>
    <row r="404" spans="3:9" ht="15.75" customHeight="1">
      <c r="C404" s="2"/>
      <c r="D404" s="2"/>
      <c r="E404" s="3"/>
      <c r="F404" s="4"/>
      <c r="G404" s="4"/>
      <c r="H404" s="3"/>
      <c r="I404" s="21"/>
    </row>
    <row r="405" spans="3:9" ht="15.75" customHeight="1">
      <c r="C405" s="2"/>
      <c r="D405" s="2"/>
      <c r="E405" s="3"/>
      <c r="F405" s="4"/>
      <c r="G405" s="4"/>
      <c r="H405" s="3"/>
      <c r="I405" s="21"/>
    </row>
    <row r="406" spans="3:9" ht="15.75" customHeight="1">
      <c r="C406" s="2"/>
      <c r="D406" s="2"/>
      <c r="E406" s="3"/>
      <c r="F406" s="4"/>
      <c r="G406" s="4"/>
      <c r="H406" s="3"/>
      <c r="I406" s="21"/>
    </row>
    <row r="407" spans="3:9" ht="15.75" customHeight="1">
      <c r="C407" s="2"/>
      <c r="D407" s="2"/>
      <c r="E407" s="3"/>
      <c r="F407" s="4"/>
      <c r="G407" s="4"/>
      <c r="H407" s="3"/>
      <c r="I407" s="21"/>
    </row>
    <row r="408" spans="3:9" ht="15.75" customHeight="1">
      <c r="C408" s="2"/>
      <c r="D408" s="2"/>
      <c r="E408" s="3"/>
      <c r="F408" s="4"/>
      <c r="G408" s="4"/>
      <c r="H408" s="3"/>
      <c r="I408" s="21"/>
    </row>
    <row r="409" spans="3:9" ht="15.75" customHeight="1">
      <c r="C409" s="2"/>
      <c r="D409" s="2"/>
      <c r="E409" s="3"/>
      <c r="F409" s="4"/>
      <c r="G409" s="4"/>
      <c r="H409" s="3"/>
      <c r="I409" s="21"/>
    </row>
    <row r="410" spans="3:9" ht="15.75" customHeight="1">
      <c r="C410" s="2"/>
      <c r="D410" s="2"/>
      <c r="E410" s="3"/>
      <c r="F410" s="4"/>
      <c r="G410" s="4"/>
      <c r="H410" s="3"/>
      <c r="I410" s="21"/>
    </row>
    <row r="411" spans="3:9" ht="15.75" customHeight="1">
      <c r="C411" s="2"/>
      <c r="D411" s="2"/>
      <c r="E411" s="3"/>
      <c r="F411" s="4"/>
      <c r="G411" s="4"/>
      <c r="H411" s="3"/>
      <c r="I411" s="21"/>
    </row>
    <row r="412" spans="3:9" ht="15.75" customHeight="1">
      <c r="C412" s="2"/>
      <c r="D412" s="2"/>
      <c r="E412" s="3"/>
      <c r="F412" s="4"/>
      <c r="G412" s="4"/>
      <c r="H412" s="3"/>
      <c r="I412" s="21"/>
    </row>
    <row r="413" spans="3:9" ht="15.75" customHeight="1">
      <c r="C413" s="2"/>
      <c r="D413" s="2"/>
      <c r="E413" s="3"/>
      <c r="F413" s="4"/>
      <c r="G413" s="4"/>
      <c r="H413" s="3"/>
      <c r="I413" s="21"/>
    </row>
    <row r="414" spans="3:9" ht="15.75" customHeight="1">
      <c r="C414" s="2"/>
      <c r="D414" s="2"/>
      <c r="E414" s="3"/>
      <c r="F414" s="4"/>
      <c r="G414" s="4"/>
      <c r="H414" s="3"/>
      <c r="I414" s="21"/>
    </row>
    <row r="415" spans="3:9" ht="15.75" customHeight="1">
      <c r="C415" s="2"/>
      <c r="D415" s="2"/>
      <c r="E415" s="3"/>
      <c r="F415" s="4"/>
      <c r="G415" s="4"/>
      <c r="H415" s="3"/>
      <c r="I415" s="21"/>
    </row>
    <row r="416" spans="3:9" ht="15.75" customHeight="1">
      <c r="C416" s="2"/>
      <c r="D416" s="2"/>
      <c r="E416" s="3"/>
      <c r="F416" s="4"/>
      <c r="G416" s="4"/>
      <c r="H416" s="3"/>
      <c r="I416" s="21"/>
    </row>
    <row r="417" spans="3:9" ht="15.75" customHeight="1">
      <c r="C417" s="2"/>
      <c r="D417" s="2"/>
      <c r="E417" s="3"/>
      <c r="F417" s="4"/>
      <c r="G417" s="4"/>
      <c r="H417" s="3"/>
      <c r="I417" s="21"/>
    </row>
    <row r="418" spans="3:9" ht="15.75" customHeight="1">
      <c r="C418" s="2"/>
      <c r="D418" s="2"/>
      <c r="E418" s="3"/>
      <c r="F418" s="4"/>
      <c r="G418" s="4"/>
      <c r="H418" s="3"/>
      <c r="I418" s="21"/>
    </row>
    <row r="419" spans="3:9" ht="15.75" customHeight="1">
      <c r="C419" s="2"/>
      <c r="D419" s="2"/>
      <c r="E419" s="3"/>
      <c r="F419" s="4"/>
      <c r="G419" s="4"/>
      <c r="H419" s="3"/>
      <c r="I419" s="21"/>
    </row>
    <row r="420" spans="3:9" ht="15.75" customHeight="1">
      <c r="C420" s="2"/>
      <c r="D420" s="2"/>
      <c r="E420" s="3"/>
      <c r="F420" s="4"/>
      <c r="G420" s="4"/>
      <c r="H420" s="3"/>
      <c r="I420" s="21"/>
    </row>
    <row r="421" spans="3:9" ht="15.75" customHeight="1">
      <c r="C421" s="2"/>
      <c r="D421" s="2"/>
      <c r="E421" s="3"/>
      <c r="F421" s="4"/>
      <c r="G421" s="4"/>
      <c r="H421" s="3"/>
      <c r="I421" s="21"/>
    </row>
    <row r="422" spans="3:9" ht="15.75" customHeight="1">
      <c r="C422" s="2"/>
      <c r="D422" s="2"/>
      <c r="E422" s="3"/>
      <c r="F422" s="4"/>
      <c r="G422" s="4"/>
      <c r="H422" s="3"/>
      <c r="I422" s="21"/>
    </row>
    <row r="423" spans="3:9" ht="15.75" customHeight="1">
      <c r="C423" s="2"/>
      <c r="D423" s="2"/>
      <c r="E423" s="3"/>
      <c r="F423" s="4"/>
      <c r="G423" s="4"/>
      <c r="H423" s="3"/>
      <c r="I423" s="21"/>
    </row>
    <row r="424" spans="3:9" ht="15.75" customHeight="1">
      <c r="C424" s="2"/>
      <c r="D424" s="2"/>
      <c r="E424" s="3"/>
      <c r="F424" s="4"/>
      <c r="G424" s="4"/>
      <c r="H424" s="3"/>
      <c r="I424" s="21"/>
    </row>
    <row r="425" spans="3:9" ht="15.75" customHeight="1">
      <c r="C425" s="2"/>
      <c r="D425" s="2"/>
      <c r="E425" s="3"/>
      <c r="F425" s="4"/>
      <c r="G425" s="4"/>
      <c r="H425" s="3"/>
      <c r="I425" s="21"/>
    </row>
    <row r="426" spans="3:9" ht="15.75" customHeight="1">
      <c r="C426" s="2"/>
      <c r="D426" s="2"/>
      <c r="E426" s="3"/>
      <c r="F426" s="4"/>
      <c r="G426" s="4"/>
      <c r="H426" s="3"/>
      <c r="I426" s="21"/>
    </row>
    <row r="427" spans="3:9" ht="15.75" customHeight="1">
      <c r="C427" s="2"/>
      <c r="D427" s="2"/>
      <c r="E427" s="3"/>
      <c r="F427" s="4"/>
      <c r="G427" s="4"/>
      <c r="H427" s="3"/>
      <c r="I427" s="21"/>
    </row>
    <row r="428" spans="3:9" ht="15.75" customHeight="1">
      <c r="C428" s="2"/>
      <c r="D428" s="2"/>
      <c r="E428" s="3"/>
      <c r="F428" s="4"/>
      <c r="G428" s="4"/>
      <c r="H428" s="3"/>
      <c r="I428" s="21"/>
    </row>
    <row r="429" spans="3:9" ht="15.75" customHeight="1">
      <c r="C429" s="2"/>
      <c r="D429" s="2"/>
      <c r="E429" s="3"/>
      <c r="F429" s="4"/>
      <c r="G429" s="4"/>
      <c r="H429" s="3"/>
      <c r="I429" s="21"/>
    </row>
    <row r="430" spans="3:9" ht="15.75" customHeight="1">
      <c r="C430" s="2"/>
      <c r="D430" s="2"/>
      <c r="E430" s="3"/>
      <c r="F430" s="4"/>
      <c r="G430" s="4"/>
      <c r="H430" s="3"/>
      <c r="I430" s="21"/>
    </row>
    <row r="431" spans="3:9" ht="15.75" customHeight="1">
      <c r="C431" s="2"/>
      <c r="D431" s="2"/>
      <c r="E431" s="3"/>
      <c r="F431" s="4"/>
      <c r="G431" s="4"/>
      <c r="H431" s="3"/>
      <c r="I431" s="21"/>
    </row>
    <row r="432" spans="3:9" ht="15.75" customHeight="1">
      <c r="C432" s="2"/>
      <c r="D432" s="2"/>
      <c r="E432" s="3"/>
      <c r="F432" s="4"/>
      <c r="G432" s="4"/>
      <c r="H432" s="3"/>
      <c r="I432" s="21"/>
    </row>
    <row r="433" spans="3:9" ht="15.75" customHeight="1">
      <c r="C433" s="2"/>
      <c r="D433" s="2"/>
      <c r="E433" s="3"/>
      <c r="F433" s="4"/>
      <c r="G433" s="4"/>
      <c r="H433" s="3"/>
      <c r="I433" s="21"/>
    </row>
    <row r="434" spans="3:9" ht="15.75" customHeight="1">
      <c r="C434" s="2"/>
      <c r="D434" s="2"/>
      <c r="E434" s="3"/>
      <c r="F434" s="4"/>
      <c r="G434" s="4"/>
      <c r="H434" s="3"/>
      <c r="I434" s="21"/>
    </row>
    <row r="435" spans="3:9" ht="15.75" customHeight="1">
      <c r="C435" s="2"/>
      <c r="D435" s="2"/>
      <c r="E435" s="3"/>
      <c r="F435" s="4"/>
      <c r="G435" s="4"/>
      <c r="H435" s="3"/>
      <c r="I435" s="21"/>
    </row>
    <row r="436" spans="3:9" ht="15.75" customHeight="1">
      <c r="C436" s="2"/>
      <c r="D436" s="2"/>
      <c r="E436" s="3"/>
      <c r="F436" s="4"/>
      <c r="G436" s="4"/>
      <c r="H436" s="3"/>
      <c r="I436" s="21"/>
    </row>
    <row r="437" spans="3:9" ht="15.75" customHeight="1">
      <c r="C437" s="2"/>
      <c r="D437" s="2"/>
      <c r="E437" s="3"/>
      <c r="F437" s="4"/>
      <c r="G437" s="4"/>
      <c r="H437" s="3"/>
      <c r="I437" s="21"/>
    </row>
    <row r="438" spans="3:9" ht="15.75" customHeight="1">
      <c r="C438" s="2"/>
      <c r="D438" s="2"/>
      <c r="E438" s="3"/>
      <c r="F438" s="4"/>
      <c r="G438" s="4"/>
      <c r="H438" s="3"/>
      <c r="I438" s="21"/>
    </row>
    <row r="439" spans="3:9" ht="15.75" customHeight="1">
      <c r="C439" s="2"/>
      <c r="D439" s="2"/>
      <c r="E439" s="3"/>
      <c r="F439" s="4"/>
      <c r="G439" s="4"/>
      <c r="H439" s="3"/>
      <c r="I439" s="21"/>
    </row>
    <row r="440" spans="3:9" ht="15.75" customHeight="1">
      <c r="C440" s="2"/>
      <c r="D440" s="2"/>
      <c r="E440" s="3"/>
      <c r="F440" s="4"/>
      <c r="G440" s="4"/>
      <c r="H440" s="3"/>
      <c r="I440" s="21"/>
    </row>
    <row r="441" spans="3:9" ht="15.75" customHeight="1">
      <c r="C441" s="2"/>
      <c r="D441" s="2"/>
      <c r="E441" s="3"/>
      <c r="F441" s="4"/>
      <c r="G441" s="4"/>
      <c r="H441" s="3"/>
      <c r="I441" s="21"/>
    </row>
    <row r="442" spans="3:9" ht="15.75" customHeight="1">
      <c r="C442" s="2"/>
      <c r="D442" s="2"/>
      <c r="E442" s="3"/>
      <c r="F442" s="4"/>
      <c r="G442" s="4"/>
      <c r="H442" s="3"/>
      <c r="I442" s="21"/>
    </row>
    <row r="443" spans="3:9" ht="15.75" customHeight="1">
      <c r="C443" s="2"/>
      <c r="D443" s="2"/>
      <c r="E443" s="3"/>
      <c r="F443" s="4"/>
      <c r="G443" s="4"/>
      <c r="H443" s="3"/>
      <c r="I443" s="21"/>
    </row>
    <row r="444" spans="3:9" ht="15.75" customHeight="1">
      <c r="C444" s="2"/>
      <c r="D444" s="2"/>
      <c r="E444" s="3"/>
      <c r="F444" s="4"/>
      <c r="G444" s="4"/>
      <c r="H444" s="3"/>
      <c r="I444" s="21"/>
    </row>
    <row r="445" spans="3:9" ht="15.75" customHeight="1">
      <c r="C445" s="2"/>
      <c r="D445" s="2"/>
      <c r="E445" s="3"/>
      <c r="F445" s="4"/>
      <c r="G445" s="4"/>
      <c r="H445" s="3"/>
      <c r="I445" s="21"/>
    </row>
    <row r="446" spans="3:9" ht="15.75" customHeight="1">
      <c r="C446" s="2"/>
      <c r="D446" s="2"/>
      <c r="E446" s="3"/>
      <c r="F446" s="4"/>
      <c r="G446" s="4"/>
      <c r="H446" s="3"/>
      <c r="I446" s="21"/>
    </row>
    <row r="447" spans="3:9" ht="15.75" customHeight="1">
      <c r="C447" s="2"/>
      <c r="D447" s="2"/>
      <c r="E447" s="3"/>
      <c r="F447" s="4"/>
      <c r="G447" s="4"/>
      <c r="H447" s="3"/>
      <c r="I447" s="21"/>
    </row>
    <row r="448" spans="3:9" ht="15.75" customHeight="1">
      <c r="C448" s="2"/>
      <c r="D448" s="2"/>
      <c r="E448" s="3"/>
      <c r="F448" s="4"/>
      <c r="G448" s="4"/>
      <c r="H448" s="3"/>
      <c r="I448" s="21"/>
    </row>
    <row r="449" spans="3:9" ht="15.75" customHeight="1">
      <c r="C449" s="2"/>
      <c r="D449" s="2"/>
      <c r="E449" s="3"/>
      <c r="F449" s="4"/>
      <c r="G449" s="4"/>
      <c r="H449" s="3"/>
      <c r="I449" s="21"/>
    </row>
    <row r="450" spans="3:9" ht="15.75" customHeight="1">
      <c r="C450" s="2"/>
      <c r="D450" s="2"/>
      <c r="E450" s="3"/>
      <c r="F450" s="4"/>
      <c r="G450" s="4"/>
      <c r="H450" s="3"/>
      <c r="I450" s="21"/>
    </row>
    <row r="451" spans="3:9" ht="15.75" customHeight="1">
      <c r="C451" s="2"/>
      <c r="D451" s="2"/>
      <c r="E451" s="3"/>
      <c r="F451" s="4"/>
      <c r="G451" s="4"/>
      <c r="H451" s="3"/>
      <c r="I451" s="21"/>
    </row>
    <row r="452" spans="3:9" ht="15.75" customHeight="1">
      <c r="C452" s="2"/>
      <c r="D452" s="2"/>
      <c r="E452" s="3"/>
      <c r="F452" s="4"/>
      <c r="G452" s="4"/>
      <c r="H452" s="3"/>
      <c r="I452" s="21"/>
    </row>
    <row r="453" spans="3:9" ht="15.75" customHeight="1">
      <c r="C453" s="2"/>
      <c r="D453" s="2"/>
      <c r="E453" s="3"/>
      <c r="F453" s="4"/>
      <c r="G453" s="4"/>
      <c r="H453" s="3"/>
      <c r="I453" s="21"/>
    </row>
    <row r="454" spans="3:9" ht="15.75" customHeight="1">
      <c r="C454" s="2"/>
      <c r="D454" s="2"/>
      <c r="E454" s="3"/>
      <c r="F454" s="4"/>
      <c r="G454" s="4"/>
      <c r="H454" s="3"/>
      <c r="I454" s="21"/>
    </row>
    <row r="455" spans="3:9" ht="15.75" customHeight="1">
      <c r="C455" s="2"/>
      <c r="D455" s="2"/>
      <c r="E455" s="3"/>
      <c r="F455" s="4"/>
      <c r="G455" s="4"/>
      <c r="H455" s="3"/>
      <c r="I455" s="21"/>
    </row>
    <row r="456" spans="3:9" ht="15.75" customHeight="1">
      <c r="C456" s="2"/>
      <c r="D456" s="2"/>
      <c r="E456" s="3"/>
      <c r="F456" s="4"/>
      <c r="G456" s="4"/>
      <c r="H456" s="3"/>
      <c r="I456" s="21"/>
    </row>
    <row r="457" spans="3:9" ht="15.75" customHeight="1">
      <c r="C457" s="2"/>
      <c r="D457" s="2"/>
      <c r="E457" s="3"/>
      <c r="F457" s="4"/>
      <c r="G457" s="4"/>
      <c r="H457" s="3"/>
      <c r="I457" s="21"/>
    </row>
    <row r="458" spans="3:9" ht="15.75" customHeight="1">
      <c r="C458" s="2"/>
      <c r="D458" s="2"/>
      <c r="E458" s="3"/>
      <c r="F458" s="4"/>
      <c r="G458" s="4"/>
      <c r="H458" s="3"/>
      <c r="I458" s="21"/>
    </row>
    <row r="459" spans="3:9" ht="15.75" customHeight="1">
      <c r="C459" s="2"/>
      <c r="D459" s="2"/>
      <c r="E459" s="3"/>
      <c r="F459" s="4"/>
      <c r="G459" s="4"/>
      <c r="H459" s="3"/>
      <c r="I459" s="21"/>
    </row>
    <row r="460" spans="3:9" ht="15.75" customHeight="1">
      <c r="C460" s="2"/>
      <c r="D460" s="2"/>
      <c r="E460" s="3"/>
      <c r="F460" s="4"/>
      <c r="G460" s="4"/>
      <c r="H460" s="3"/>
      <c r="I460" s="21"/>
    </row>
    <row r="461" spans="3:9" ht="15.75" customHeight="1">
      <c r="C461" s="2"/>
      <c r="D461" s="2"/>
      <c r="E461" s="3"/>
      <c r="F461" s="4"/>
      <c r="G461" s="4"/>
      <c r="H461" s="3"/>
      <c r="I461" s="21"/>
    </row>
    <row r="462" spans="3:9" ht="15.75" customHeight="1">
      <c r="C462" s="2"/>
      <c r="D462" s="2"/>
      <c r="E462" s="3"/>
      <c r="F462" s="4"/>
      <c r="G462" s="4"/>
      <c r="H462" s="3"/>
      <c r="I462" s="21"/>
    </row>
    <row r="463" spans="3:9" ht="15.75" customHeight="1">
      <c r="C463" s="2"/>
      <c r="D463" s="2"/>
      <c r="E463" s="3"/>
      <c r="F463" s="4"/>
      <c r="G463" s="4"/>
      <c r="H463" s="3"/>
      <c r="I463" s="21"/>
    </row>
    <row r="464" spans="3:9" ht="15.75" customHeight="1">
      <c r="C464" s="2"/>
      <c r="D464" s="2"/>
      <c r="E464" s="3"/>
      <c r="F464" s="4"/>
      <c r="G464" s="4"/>
      <c r="H464" s="3"/>
      <c r="I464" s="21"/>
    </row>
    <row r="465" spans="3:9" ht="15.75" customHeight="1">
      <c r="C465" s="2"/>
      <c r="D465" s="2"/>
      <c r="E465" s="3"/>
      <c r="F465" s="4"/>
      <c r="G465" s="4"/>
      <c r="H465" s="3"/>
      <c r="I465" s="21"/>
    </row>
    <row r="466" spans="3:9" ht="15.75" customHeight="1">
      <c r="C466" s="2"/>
      <c r="D466" s="2"/>
      <c r="E466" s="3"/>
      <c r="F466" s="4"/>
      <c r="G466" s="4"/>
      <c r="H466" s="3"/>
      <c r="I466" s="21"/>
    </row>
    <row r="467" spans="3:9" ht="15.75" customHeight="1">
      <c r="C467" s="2"/>
      <c r="D467" s="2"/>
      <c r="E467" s="3"/>
      <c r="F467" s="4"/>
      <c r="G467" s="4"/>
      <c r="H467" s="3"/>
      <c r="I467" s="21"/>
    </row>
    <row r="468" spans="3:9" ht="15.75" customHeight="1">
      <c r="C468" s="2"/>
      <c r="D468" s="2"/>
      <c r="E468" s="3"/>
      <c r="F468" s="4"/>
      <c r="G468" s="4"/>
      <c r="H468" s="3"/>
      <c r="I468" s="21"/>
    </row>
    <row r="469" spans="3:9" ht="15.75" customHeight="1">
      <c r="C469" s="2"/>
      <c r="D469" s="2"/>
      <c r="E469" s="3"/>
      <c r="F469" s="4"/>
      <c r="G469" s="4"/>
      <c r="H469" s="3"/>
      <c r="I469" s="21"/>
    </row>
    <row r="470" spans="3:9" ht="15.75" customHeight="1">
      <c r="C470" s="2"/>
      <c r="D470" s="2"/>
      <c r="E470" s="3"/>
      <c r="F470" s="4"/>
      <c r="G470" s="4"/>
      <c r="H470" s="3"/>
      <c r="I470" s="21"/>
    </row>
    <row r="471" spans="3:9" ht="15.75" customHeight="1">
      <c r="C471" s="2"/>
      <c r="D471" s="2"/>
      <c r="E471" s="3"/>
      <c r="F471" s="4"/>
      <c r="G471" s="4"/>
      <c r="H471" s="3"/>
      <c r="I471" s="21"/>
    </row>
    <row r="472" spans="3:9" ht="15.75" customHeight="1">
      <c r="C472" s="2"/>
      <c r="D472" s="2"/>
      <c r="E472" s="3"/>
      <c r="F472" s="4"/>
      <c r="G472" s="4"/>
      <c r="H472" s="3"/>
      <c r="I472" s="21"/>
    </row>
    <row r="473" spans="3:9" ht="15.75" customHeight="1">
      <c r="C473" s="2"/>
      <c r="D473" s="2"/>
      <c r="E473" s="3"/>
      <c r="F473" s="4"/>
      <c r="G473" s="4"/>
      <c r="H473" s="3"/>
      <c r="I473" s="21"/>
    </row>
    <row r="474" spans="3:9" ht="15.75" customHeight="1">
      <c r="C474" s="2"/>
      <c r="D474" s="2"/>
      <c r="E474" s="3"/>
      <c r="F474" s="4"/>
      <c r="G474" s="4"/>
      <c r="H474" s="3"/>
      <c r="I474" s="21"/>
    </row>
    <row r="475" spans="3:9" ht="15.75" customHeight="1">
      <c r="C475" s="2"/>
      <c r="D475" s="2"/>
      <c r="E475" s="3"/>
      <c r="F475" s="4"/>
      <c r="G475" s="4"/>
      <c r="H475" s="3"/>
      <c r="I475" s="21"/>
    </row>
    <row r="476" spans="3:9" ht="15.75" customHeight="1">
      <c r="C476" s="2"/>
      <c r="D476" s="2"/>
      <c r="E476" s="3"/>
      <c r="F476" s="4"/>
      <c r="G476" s="4"/>
      <c r="H476" s="3"/>
      <c r="I476" s="21"/>
    </row>
    <row r="477" spans="3:9" ht="15.75" customHeight="1">
      <c r="C477" s="2"/>
      <c r="D477" s="2"/>
      <c r="E477" s="3"/>
      <c r="F477" s="4"/>
      <c r="G477" s="4"/>
      <c r="H477" s="3"/>
      <c r="I477" s="21"/>
    </row>
    <row r="478" spans="3:9" ht="15.75" customHeight="1">
      <c r="C478" s="2"/>
      <c r="D478" s="2"/>
      <c r="E478" s="3"/>
      <c r="F478" s="4"/>
      <c r="G478" s="4"/>
      <c r="H478" s="3"/>
      <c r="I478" s="21"/>
    </row>
    <row r="479" spans="3:9" ht="15.75" customHeight="1">
      <c r="C479" s="2"/>
      <c r="D479" s="2"/>
      <c r="E479" s="3"/>
      <c r="F479" s="4"/>
      <c r="G479" s="4"/>
      <c r="H479" s="3"/>
      <c r="I479" s="21"/>
    </row>
    <row r="480" spans="3:9" ht="15.75" customHeight="1">
      <c r="C480" s="2"/>
      <c r="D480" s="2"/>
      <c r="E480" s="3"/>
      <c r="F480" s="4"/>
      <c r="G480" s="4"/>
      <c r="H480" s="3"/>
      <c r="I480" s="21"/>
    </row>
    <row r="481" spans="3:9" ht="15.75" customHeight="1">
      <c r="C481" s="2"/>
      <c r="D481" s="2"/>
      <c r="E481" s="3"/>
      <c r="F481" s="4"/>
      <c r="G481" s="4"/>
      <c r="H481" s="3"/>
      <c r="I481" s="21"/>
    </row>
    <row r="482" spans="3:9" ht="15.75" customHeight="1">
      <c r="C482" s="2"/>
      <c r="D482" s="2"/>
      <c r="E482" s="3"/>
      <c r="F482" s="4"/>
      <c r="G482" s="4"/>
      <c r="H482" s="3"/>
      <c r="I482" s="21"/>
    </row>
    <row r="483" spans="3:9" ht="15.75" customHeight="1">
      <c r="C483" s="2"/>
      <c r="D483" s="2"/>
      <c r="E483" s="3"/>
      <c r="F483" s="4"/>
      <c r="G483" s="4"/>
      <c r="H483" s="3"/>
      <c r="I483" s="21"/>
    </row>
    <row r="484" spans="3:9" ht="15.75" customHeight="1">
      <c r="C484" s="2"/>
      <c r="D484" s="2"/>
      <c r="E484" s="3"/>
      <c r="F484" s="4"/>
      <c r="G484" s="4"/>
      <c r="H484" s="3"/>
      <c r="I484" s="21"/>
    </row>
    <row r="485" spans="3:9" ht="15.75" customHeight="1">
      <c r="C485" s="2"/>
      <c r="D485" s="2"/>
      <c r="E485" s="3"/>
      <c r="F485" s="4"/>
      <c r="G485" s="4"/>
      <c r="H485" s="3"/>
      <c r="I485" s="21"/>
    </row>
    <row r="486" spans="3:9" ht="15.75" customHeight="1">
      <c r="C486" s="2"/>
      <c r="D486" s="2"/>
      <c r="E486" s="3"/>
      <c r="F486" s="4"/>
      <c r="G486" s="4"/>
      <c r="H486" s="3"/>
      <c r="I486" s="21"/>
    </row>
    <row r="487" spans="3:9" ht="15.75" customHeight="1">
      <c r="C487" s="2"/>
      <c r="D487" s="2"/>
      <c r="E487" s="3"/>
      <c r="F487" s="4"/>
      <c r="G487" s="4"/>
      <c r="H487" s="3"/>
      <c r="I487" s="21"/>
    </row>
    <row r="488" spans="3:9" ht="15.75" customHeight="1">
      <c r="C488" s="2"/>
      <c r="D488" s="2"/>
      <c r="E488" s="3"/>
      <c r="F488" s="4"/>
      <c r="G488" s="4"/>
      <c r="H488" s="3"/>
      <c r="I488" s="21"/>
    </row>
    <row r="489" spans="3:9" ht="15.75" customHeight="1">
      <c r="C489" s="2"/>
      <c r="D489" s="2"/>
      <c r="E489" s="3"/>
      <c r="F489" s="4"/>
      <c r="G489" s="4"/>
      <c r="H489" s="3"/>
      <c r="I489" s="21"/>
    </row>
    <row r="490" spans="3:9" ht="15.75" customHeight="1">
      <c r="C490" s="2"/>
      <c r="D490" s="2"/>
      <c r="E490" s="3"/>
      <c r="F490" s="4"/>
      <c r="G490" s="4"/>
      <c r="H490" s="3"/>
      <c r="I490" s="21"/>
    </row>
    <row r="491" spans="3:9" ht="15.75" customHeight="1">
      <c r="C491" s="2"/>
      <c r="D491" s="2"/>
      <c r="E491" s="3"/>
      <c r="F491" s="4"/>
      <c r="G491" s="4"/>
      <c r="H491" s="3"/>
      <c r="I491" s="21"/>
    </row>
    <row r="492" spans="3:9" ht="15.75" customHeight="1">
      <c r="C492" s="2"/>
      <c r="D492" s="2"/>
      <c r="E492" s="3"/>
      <c r="F492" s="4"/>
      <c r="G492" s="4"/>
      <c r="H492" s="3"/>
      <c r="I492" s="21"/>
    </row>
    <row r="493" spans="3:9" ht="15.75" customHeight="1">
      <c r="C493" s="2"/>
      <c r="D493" s="2"/>
      <c r="E493" s="3"/>
      <c r="F493" s="4"/>
      <c r="G493" s="4"/>
      <c r="H493" s="3"/>
      <c r="I493" s="21"/>
    </row>
    <row r="494" spans="3:9" ht="15.75" customHeight="1">
      <c r="C494" s="2"/>
      <c r="D494" s="2"/>
      <c r="E494" s="3"/>
      <c r="F494" s="4"/>
      <c r="G494" s="4"/>
      <c r="H494" s="3"/>
      <c r="I494" s="21"/>
    </row>
    <row r="495" spans="3:9" ht="15.75" customHeight="1">
      <c r="C495" s="2"/>
      <c r="D495" s="2"/>
      <c r="E495" s="3"/>
      <c r="F495" s="4"/>
      <c r="G495" s="4"/>
      <c r="H495" s="3"/>
      <c r="I495" s="21"/>
    </row>
    <row r="496" spans="3:9" ht="15.75" customHeight="1">
      <c r="C496" s="2"/>
      <c r="D496" s="2"/>
      <c r="E496" s="3"/>
      <c r="F496" s="4"/>
      <c r="G496" s="4"/>
      <c r="H496" s="3"/>
      <c r="I496" s="21"/>
    </row>
    <row r="497" spans="3:9" ht="15.75" customHeight="1">
      <c r="C497" s="2"/>
      <c r="D497" s="2"/>
      <c r="E497" s="3"/>
      <c r="F497" s="4"/>
      <c r="G497" s="4"/>
      <c r="H497" s="3"/>
      <c r="I497" s="21"/>
    </row>
    <row r="498" spans="3:9" ht="15.75" customHeight="1">
      <c r="C498" s="2"/>
      <c r="D498" s="2"/>
      <c r="E498" s="3"/>
      <c r="F498" s="4"/>
      <c r="G498" s="4"/>
      <c r="H498" s="3"/>
      <c r="I498" s="21"/>
    </row>
    <row r="499" spans="3:9" ht="15.75" customHeight="1">
      <c r="C499" s="2"/>
      <c r="D499" s="2"/>
      <c r="E499" s="3"/>
      <c r="F499" s="4"/>
      <c r="G499" s="4"/>
      <c r="H499" s="3"/>
      <c r="I499" s="21"/>
    </row>
    <row r="500" spans="3:9" ht="15.75" customHeight="1">
      <c r="C500" s="2"/>
      <c r="D500" s="2"/>
      <c r="E500" s="3"/>
      <c r="F500" s="4"/>
      <c r="G500" s="4"/>
      <c r="H500" s="3"/>
      <c r="I500" s="21"/>
    </row>
    <row r="501" spans="3:9" ht="15.75" customHeight="1">
      <c r="C501" s="2"/>
      <c r="D501" s="2"/>
      <c r="E501" s="3"/>
      <c r="F501" s="4"/>
      <c r="G501" s="4"/>
      <c r="H501" s="3"/>
      <c r="I501" s="21"/>
    </row>
    <row r="502" spans="3:9" ht="15.75" customHeight="1">
      <c r="C502" s="2"/>
      <c r="D502" s="2"/>
      <c r="E502" s="3"/>
      <c r="F502" s="4"/>
      <c r="G502" s="4"/>
      <c r="H502" s="3"/>
      <c r="I502" s="21"/>
    </row>
    <row r="503" spans="3:9" ht="15.75" customHeight="1">
      <c r="C503" s="2"/>
      <c r="D503" s="2"/>
      <c r="E503" s="3"/>
      <c r="F503" s="4"/>
      <c r="G503" s="4"/>
      <c r="H503" s="3"/>
      <c r="I503" s="21"/>
    </row>
    <row r="504" spans="3:9" ht="15.75" customHeight="1">
      <c r="C504" s="2"/>
      <c r="D504" s="2"/>
      <c r="E504" s="3"/>
      <c r="F504" s="4"/>
      <c r="G504" s="4"/>
      <c r="H504" s="3"/>
      <c r="I504" s="21"/>
    </row>
    <row r="505" spans="3:9" ht="15.75" customHeight="1">
      <c r="C505" s="2"/>
      <c r="D505" s="2"/>
      <c r="E505" s="3"/>
      <c r="F505" s="4"/>
      <c r="G505" s="4"/>
      <c r="H505" s="3"/>
      <c r="I505" s="21"/>
    </row>
    <row r="506" spans="3:9" ht="15.75" customHeight="1">
      <c r="C506" s="2"/>
      <c r="D506" s="2"/>
      <c r="E506" s="3"/>
      <c r="F506" s="4"/>
      <c r="G506" s="4"/>
      <c r="H506" s="3"/>
      <c r="I506" s="21"/>
    </row>
    <row r="507" spans="3:9" ht="15.75" customHeight="1">
      <c r="C507" s="2"/>
      <c r="D507" s="2"/>
      <c r="E507" s="3"/>
      <c r="F507" s="4"/>
      <c r="G507" s="4"/>
      <c r="H507" s="3"/>
      <c r="I507" s="21"/>
    </row>
    <row r="508" spans="3:9" ht="15.75" customHeight="1">
      <c r="C508" s="2"/>
      <c r="D508" s="2"/>
      <c r="E508" s="3"/>
      <c r="F508" s="4"/>
      <c r="G508" s="4"/>
      <c r="H508" s="3"/>
      <c r="I508" s="21"/>
    </row>
    <row r="509" spans="3:9" ht="15.75" customHeight="1">
      <c r="C509" s="2"/>
      <c r="D509" s="2"/>
      <c r="E509" s="3"/>
      <c r="F509" s="4"/>
      <c r="G509" s="4"/>
      <c r="H509" s="3"/>
      <c r="I509" s="21"/>
    </row>
    <row r="510" spans="3:9" ht="15.75" customHeight="1">
      <c r="C510" s="2"/>
      <c r="D510" s="2"/>
      <c r="E510" s="3"/>
      <c r="F510" s="4"/>
      <c r="G510" s="4"/>
      <c r="H510" s="3"/>
      <c r="I510" s="21"/>
    </row>
    <row r="511" spans="3:9" ht="15.75" customHeight="1">
      <c r="C511" s="2"/>
      <c r="D511" s="2"/>
      <c r="E511" s="3"/>
      <c r="F511" s="4"/>
      <c r="G511" s="4"/>
      <c r="H511" s="3"/>
      <c r="I511" s="21"/>
    </row>
    <row r="512" spans="3:9" ht="15.75" customHeight="1">
      <c r="C512" s="2"/>
      <c r="D512" s="2"/>
      <c r="E512" s="3"/>
      <c r="F512" s="4"/>
      <c r="G512" s="4"/>
      <c r="H512" s="3"/>
      <c r="I512" s="21"/>
    </row>
    <row r="513" spans="3:9" ht="15.75" customHeight="1">
      <c r="C513" s="2"/>
      <c r="D513" s="2"/>
      <c r="E513" s="3"/>
      <c r="F513" s="4"/>
      <c r="G513" s="4"/>
      <c r="H513" s="3"/>
      <c r="I513" s="21"/>
    </row>
    <row r="514" spans="3:9" ht="15.75" customHeight="1">
      <c r="C514" s="2"/>
      <c r="D514" s="2"/>
      <c r="E514" s="3"/>
      <c r="F514" s="4"/>
      <c r="G514" s="4"/>
      <c r="H514" s="3"/>
      <c r="I514" s="21"/>
    </row>
    <row r="515" spans="3:9" ht="15.75" customHeight="1">
      <c r="C515" s="2"/>
      <c r="D515" s="2"/>
      <c r="E515" s="3"/>
      <c r="F515" s="4"/>
      <c r="G515" s="4"/>
      <c r="H515" s="3"/>
      <c r="I515" s="21"/>
    </row>
    <row r="516" spans="3:9" ht="15.75" customHeight="1">
      <c r="C516" s="2"/>
      <c r="D516" s="2"/>
      <c r="E516" s="3"/>
      <c r="F516" s="4"/>
      <c r="G516" s="4"/>
      <c r="H516" s="3"/>
      <c r="I516" s="21"/>
    </row>
    <row r="517" spans="3:9" ht="15.75" customHeight="1">
      <c r="C517" s="2"/>
      <c r="D517" s="2"/>
      <c r="E517" s="3"/>
      <c r="F517" s="4"/>
      <c r="G517" s="4"/>
      <c r="H517" s="3"/>
      <c r="I517" s="21"/>
    </row>
    <row r="518" spans="3:9" ht="15.75" customHeight="1">
      <c r="C518" s="2"/>
      <c r="D518" s="2"/>
      <c r="E518" s="3"/>
      <c r="F518" s="4"/>
      <c r="G518" s="4"/>
      <c r="H518" s="3"/>
      <c r="I518" s="21"/>
    </row>
    <row r="519" spans="3:9" ht="15.75" customHeight="1">
      <c r="C519" s="2"/>
      <c r="D519" s="2"/>
      <c r="E519" s="3"/>
      <c r="F519" s="4"/>
      <c r="G519" s="4"/>
      <c r="H519" s="3"/>
      <c r="I519" s="21"/>
    </row>
    <row r="520" spans="3:9" ht="15.75" customHeight="1">
      <c r="C520" s="2"/>
      <c r="D520" s="2"/>
      <c r="E520" s="3"/>
      <c r="F520" s="4"/>
      <c r="G520" s="4"/>
      <c r="H520" s="3"/>
      <c r="I520" s="21"/>
    </row>
    <row r="521" spans="3:9" ht="15.75" customHeight="1">
      <c r="C521" s="2"/>
      <c r="D521" s="2"/>
      <c r="E521" s="3"/>
      <c r="F521" s="4"/>
      <c r="G521" s="4"/>
      <c r="H521" s="3"/>
      <c r="I521" s="21"/>
    </row>
    <row r="522" spans="3:9" ht="15.75" customHeight="1">
      <c r="C522" s="2"/>
      <c r="D522" s="2"/>
      <c r="E522" s="3"/>
      <c r="F522" s="4"/>
      <c r="G522" s="4"/>
      <c r="H522" s="3"/>
      <c r="I522" s="21"/>
    </row>
    <row r="523" spans="3:9" ht="15.75" customHeight="1">
      <c r="C523" s="2"/>
      <c r="D523" s="2"/>
      <c r="E523" s="3"/>
      <c r="F523" s="4"/>
      <c r="G523" s="4"/>
      <c r="H523" s="3"/>
      <c r="I523" s="21"/>
    </row>
    <row r="524" spans="3:9" ht="15.75" customHeight="1">
      <c r="C524" s="2"/>
      <c r="D524" s="2"/>
      <c r="E524" s="3"/>
      <c r="F524" s="4"/>
      <c r="G524" s="4"/>
      <c r="H524" s="3"/>
      <c r="I524" s="21"/>
    </row>
    <row r="525" spans="3:9" ht="15.75" customHeight="1">
      <c r="C525" s="2"/>
      <c r="D525" s="2"/>
      <c r="E525" s="3"/>
      <c r="F525" s="4"/>
      <c r="G525" s="4"/>
      <c r="H525" s="3"/>
      <c r="I525" s="21"/>
    </row>
    <row r="526" spans="3:9" ht="15.75" customHeight="1">
      <c r="C526" s="2"/>
      <c r="D526" s="2"/>
      <c r="E526" s="3"/>
      <c r="F526" s="4"/>
      <c r="G526" s="4"/>
      <c r="H526" s="3"/>
      <c r="I526" s="21"/>
    </row>
    <row r="527" spans="3:9" ht="15.75" customHeight="1">
      <c r="C527" s="2"/>
      <c r="D527" s="2"/>
      <c r="E527" s="3"/>
      <c r="F527" s="4"/>
      <c r="G527" s="4"/>
      <c r="H527" s="3"/>
      <c r="I527" s="21"/>
    </row>
    <row r="528" spans="3:9" ht="15.75" customHeight="1">
      <c r="C528" s="2"/>
      <c r="D528" s="2"/>
      <c r="E528" s="3"/>
      <c r="F528" s="4"/>
      <c r="G528" s="4"/>
      <c r="H528" s="3"/>
      <c r="I528" s="21"/>
    </row>
    <row r="529" spans="3:9" ht="15.75" customHeight="1">
      <c r="C529" s="2"/>
      <c r="D529" s="2"/>
      <c r="E529" s="3"/>
      <c r="F529" s="4"/>
      <c r="G529" s="4"/>
      <c r="H529" s="3"/>
      <c r="I529" s="21"/>
    </row>
    <row r="530" spans="3:9" ht="15.75" customHeight="1">
      <c r="C530" s="2"/>
      <c r="D530" s="2"/>
      <c r="E530" s="3"/>
      <c r="F530" s="4"/>
      <c r="G530" s="4"/>
      <c r="H530" s="3"/>
      <c r="I530" s="21"/>
    </row>
    <row r="531" spans="3:9" ht="15.75" customHeight="1">
      <c r="C531" s="2"/>
      <c r="D531" s="2"/>
      <c r="E531" s="3"/>
      <c r="F531" s="4"/>
      <c r="G531" s="4"/>
      <c r="H531" s="3"/>
      <c r="I531" s="21"/>
    </row>
    <row r="532" spans="3:9" ht="15.75" customHeight="1">
      <c r="C532" s="2"/>
      <c r="D532" s="2"/>
      <c r="E532" s="3"/>
      <c r="F532" s="4"/>
      <c r="G532" s="4"/>
      <c r="H532" s="3"/>
      <c r="I532" s="21"/>
    </row>
    <row r="533" spans="3:9" ht="15.75" customHeight="1">
      <c r="C533" s="2"/>
      <c r="D533" s="2"/>
      <c r="E533" s="3"/>
      <c r="F533" s="4"/>
      <c r="G533" s="4"/>
      <c r="H533" s="3"/>
      <c r="I533" s="21"/>
    </row>
    <row r="534" spans="3:9" ht="15.75" customHeight="1">
      <c r="C534" s="2"/>
      <c r="D534" s="2"/>
      <c r="E534" s="3"/>
      <c r="F534" s="4"/>
      <c r="G534" s="4"/>
      <c r="H534" s="3"/>
      <c r="I534" s="21"/>
    </row>
    <row r="535" spans="3:9" ht="15.75" customHeight="1">
      <c r="C535" s="2"/>
      <c r="D535" s="2"/>
      <c r="E535" s="3"/>
      <c r="F535" s="4"/>
      <c r="G535" s="4"/>
      <c r="H535" s="3"/>
      <c r="I535" s="21"/>
    </row>
    <row r="536" spans="3:9" ht="15.75" customHeight="1">
      <c r="C536" s="2"/>
      <c r="D536" s="2"/>
      <c r="E536" s="3"/>
      <c r="F536" s="4"/>
      <c r="G536" s="4"/>
      <c r="H536" s="3"/>
      <c r="I536" s="21"/>
    </row>
    <row r="537" spans="3:9" ht="15.75" customHeight="1">
      <c r="C537" s="2"/>
      <c r="D537" s="2"/>
      <c r="E537" s="3"/>
      <c r="F537" s="4"/>
      <c r="G537" s="4"/>
      <c r="H537" s="3"/>
      <c r="I537" s="21"/>
    </row>
    <row r="538" spans="3:9" ht="15.75" customHeight="1">
      <c r="C538" s="2"/>
      <c r="D538" s="2"/>
      <c r="E538" s="3"/>
      <c r="F538" s="4"/>
      <c r="G538" s="4"/>
      <c r="H538" s="3"/>
      <c r="I538" s="21"/>
    </row>
    <row r="539" spans="3:9" ht="15.75" customHeight="1">
      <c r="C539" s="2"/>
      <c r="D539" s="2"/>
      <c r="E539" s="3"/>
      <c r="F539" s="4"/>
      <c r="G539" s="4"/>
      <c r="H539" s="3"/>
      <c r="I539" s="21"/>
    </row>
    <row r="540" spans="3:9" ht="15.75" customHeight="1">
      <c r="C540" s="2"/>
      <c r="D540" s="2"/>
      <c r="E540" s="3"/>
      <c r="F540" s="4"/>
      <c r="G540" s="4"/>
      <c r="H540" s="3"/>
      <c r="I540" s="21"/>
    </row>
    <row r="541" spans="3:9" ht="15.75" customHeight="1">
      <c r="C541" s="2"/>
      <c r="D541" s="2"/>
      <c r="E541" s="3"/>
      <c r="F541" s="4"/>
      <c r="G541" s="4"/>
      <c r="H541" s="3"/>
      <c r="I541" s="21"/>
    </row>
    <row r="542" spans="3:9" ht="15.75" customHeight="1">
      <c r="C542" s="2"/>
      <c r="D542" s="2"/>
      <c r="E542" s="3"/>
      <c r="F542" s="4"/>
      <c r="G542" s="4"/>
      <c r="H542" s="3"/>
      <c r="I542" s="21"/>
    </row>
    <row r="543" spans="3:9" ht="15.75" customHeight="1">
      <c r="C543" s="2"/>
      <c r="D543" s="2"/>
      <c r="E543" s="3"/>
      <c r="F543" s="4"/>
      <c r="G543" s="4"/>
      <c r="H543" s="3"/>
      <c r="I543" s="21"/>
    </row>
    <row r="544" spans="3:9" ht="15.75" customHeight="1">
      <c r="C544" s="2"/>
      <c r="D544" s="2"/>
      <c r="E544" s="3"/>
      <c r="F544" s="4"/>
      <c r="G544" s="4"/>
      <c r="H544" s="3"/>
      <c r="I544" s="21"/>
    </row>
    <row r="545" spans="3:9" ht="15.75" customHeight="1">
      <c r="C545" s="2"/>
      <c r="D545" s="2"/>
      <c r="E545" s="3"/>
      <c r="F545" s="4"/>
      <c r="G545" s="4"/>
      <c r="H545" s="3"/>
      <c r="I545" s="21"/>
    </row>
    <row r="546" spans="3:9" ht="15.75" customHeight="1">
      <c r="C546" s="2"/>
      <c r="D546" s="2"/>
      <c r="E546" s="3"/>
      <c r="F546" s="4"/>
      <c r="G546" s="4"/>
      <c r="H546" s="3"/>
      <c r="I546" s="21"/>
    </row>
    <row r="547" spans="3:9" ht="15.75" customHeight="1">
      <c r="C547" s="2"/>
      <c r="D547" s="2"/>
      <c r="E547" s="3"/>
      <c r="F547" s="4"/>
      <c r="G547" s="4"/>
      <c r="H547" s="3"/>
      <c r="I547" s="21"/>
    </row>
    <row r="548" spans="3:9" ht="15.75" customHeight="1">
      <c r="C548" s="2"/>
      <c r="D548" s="2"/>
      <c r="E548" s="3"/>
      <c r="F548" s="4"/>
      <c r="G548" s="4"/>
      <c r="H548" s="3"/>
      <c r="I548" s="21"/>
    </row>
    <row r="549" spans="3:9" ht="15.75" customHeight="1">
      <c r="C549" s="2"/>
      <c r="D549" s="2"/>
      <c r="E549" s="3"/>
      <c r="F549" s="4"/>
      <c r="G549" s="4"/>
      <c r="H549" s="3"/>
      <c r="I549" s="21"/>
    </row>
    <row r="550" spans="3:9" ht="15.75" customHeight="1">
      <c r="C550" s="2"/>
      <c r="D550" s="2"/>
      <c r="E550" s="3"/>
      <c r="F550" s="4"/>
      <c r="G550" s="4"/>
      <c r="H550" s="3"/>
      <c r="I550" s="21"/>
    </row>
    <row r="551" spans="3:9" ht="15.75" customHeight="1">
      <c r="C551" s="2"/>
      <c r="D551" s="2"/>
      <c r="E551" s="3"/>
      <c r="F551" s="4"/>
      <c r="G551" s="4"/>
      <c r="H551" s="3"/>
      <c r="I551" s="21"/>
    </row>
    <row r="552" spans="3:9" ht="15.75" customHeight="1">
      <c r="C552" s="2"/>
      <c r="D552" s="2"/>
      <c r="E552" s="3"/>
      <c r="F552" s="4"/>
      <c r="G552" s="4"/>
      <c r="H552" s="3"/>
      <c r="I552" s="21"/>
    </row>
    <row r="553" spans="3:9" ht="15.75" customHeight="1">
      <c r="C553" s="2"/>
      <c r="D553" s="2"/>
      <c r="E553" s="3"/>
      <c r="F553" s="4"/>
      <c r="G553" s="4"/>
      <c r="H553" s="3"/>
      <c r="I553" s="21"/>
    </row>
    <row r="554" spans="3:9" ht="15.75" customHeight="1">
      <c r="C554" s="2"/>
      <c r="D554" s="2"/>
      <c r="E554" s="3"/>
      <c r="F554" s="4"/>
      <c r="G554" s="4"/>
      <c r="H554" s="3"/>
      <c r="I554" s="21"/>
    </row>
    <row r="555" spans="3:9" ht="15.75" customHeight="1">
      <c r="C555" s="2"/>
      <c r="D555" s="2"/>
      <c r="E555" s="3"/>
      <c r="F555" s="4"/>
      <c r="G555" s="4"/>
      <c r="H555" s="3"/>
      <c r="I555" s="21"/>
    </row>
    <row r="556" spans="3:9" ht="15.75" customHeight="1">
      <c r="C556" s="2"/>
      <c r="D556" s="2"/>
      <c r="E556" s="3"/>
      <c r="F556" s="4"/>
      <c r="G556" s="4"/>
      <c r="H556" s="3"/>
      <c r="I556" s="21"/>
    </row>
    <row r="557" spans="3:9" ht="15.75" customHeight="1">
      <c r="C557" s="2"/>
      <c r="D557" s="2"/>
      <c r="E557" s="3"/>
      <c r="F557" s="4"/>
      <c r="G557" s="4"/>
      <c r="H557" s="3"/>
      <c r="I557" s="21"/>
    </row>
    <row r="558" spans="3:9" ht="15.75" customHeight="1">
      <c r="C558" s="2"/>
      <c r="D558" s="2"/>
      <c r="E558" s="3"/>
      <c r="F558" s="4"/>
      <c r="G558" s="4"/>
      <c r="H558" s="3"/>
      <c r="I558" s="21"/>
    </row>
    <row r="559" spans="3:9" ht="15.75" customHeight="1">
      <c r="C559" s="2"/>
      <c r="D559" s="2"/>
      <c r="E559" s="3"/>
      <c r="F559" s="4"/>
      <c r="G559" s="4"/>
      <c r="H559" s="3"/>
      <c r="I559" s="21"/>
    </row>
    <row r="560" spans="3:9" ht="15.75" customHeight="1">
      <c r="C560" s="2"/>
      <c r="D560" s="2"/>
      <c r="E560" s="3"/>
      <c r="F560" s="4"/>
      <c r="G560" s="4"/>
      <c r="H560" s="3"/>
      <c r="I560" s="21"/>
    </row>
    <row r="561" spans="3:9" ht="15.75" customHeight="1">
      <c r="C561" s="2"/>
      <c r="D561" s="2"/>
      <c r="E561" s="3"/>
      <c r="F561" s="4"/>
      <c r="G561" s="4"/>
      <c r="H561" s="3"/>
      <c r="I561" s="21"/>
    </row>
    <row r="562" spans="3:9" ht="15.75" customHeight="1">
      <c r="C562" s="2"/>
      <c r="D562" s="2"/>
      <c r="E562" s="3"/>
      <c r="F562" s="4"/>
      <c r="G562" s="4"/>
      <c r="H562" s="3"/>
      <c r="I562" s="21"/>
    </row>
    <row r="563" spans="3:9" ht="15.75" customHeight="1">
      <c r="C563" s="2"/>
      <c r="D563" s="2"/>
      <c r="E563" s="3"/>
      <c r="F563" s="4"/>
      <c r="G563" s="4"/>
      <c r="H563" s="3"/>
      <c r="I563" s="21"/>
    </row>
    <row r="564" spans="3:9" ht="15.75" customHeight="1">
      <c r="C564" s="2"/>
      <c r="D564" s="2"/>
      <c r="E564" s="3"/>
      <c r="F564" s="4"/>
      <c r="G564" s="4"/>
      <c r="H564" s="3"/>
      <c r="I564" s="21"/>
    </row>
    <row r="565" spans="3:9" ht="15.75" customHeight="1">
      <c r="C565" s="2"/>
      <c r="D565" s="2"/>
      <c r="E565" s="3"/>
      <c r="F565" s="4"/>
      <c r="G565" s="4"/>
      <c r="H565" s="3"/>
      <c r="I565" s="21"/>
    </row>
    <row r="566" spans="3:9" ht="15.75" customHeight="1">
      <c r="C566" s="2"/>
      <c r="D566" s="2"/>
      <c r="E566" s="3"/>
      <c r="F566" s="4"/>
      <c r="G566" s="4"/>
      <c r="H566" s="3"/>
      <c r="I566" s="21"/>
    </row>
    <row r="567" spans="3:9" ht="15.75" customHeight="1">
      <c r="C567" s="2"/>
      <c r="D567" s="2"/>
      <c r="E567" s="3"/>
      <c r="F567" s="4"/>
      <c r="G567" s="4"/>
      <c r="H567" s="3"/>
      <c r="I567" s="21"/>
    </row>
    <row r="568" spans="3:9" ht="15.75" customHeight="1">
      <c r="C568" s="2"/>
      <c r="D568" s="2"/>
      <c r="E568" s="3"/>
      <c r="F568" s="4"/>
      <c r="G568" s="4"/>
      <c r="H568" s="3"/>
      <c r="I568" s="21"/>
    </row>
    <row r="569" spans="3:9" ht="15.75" customHeight="1">
      <c r="C569" s="2"/>
      <c r="D569" s="2"/>
      <c r="E569" s="3"/>
      <c r="F569" s="4"/>
      <c r="G569" s="4"/>
      <c r="H569" s="3"/>
      <c r="I569" s="21"/>
    </row>
    <row r="570" spans="3:9" ht="15.75" customHeight="1">
      <c r="C570" s="2"/>
      <c r="D570" s="2"/>
      <c r="E570" s="3"/>
      <c r="F570" s="4"/>
      <c r="G570" s="4"/>
      <c r="H570" s="3"/>
      <c r="I570" s="21"/>
    </row>
    <row r="571" spans="3:9" ht="15.75" customHeight="1">
      <c r="C571" s="2"/>
      <c r="D571" s="2"/>
      <c r="E571" s="3"/>
      <c r="F571" s="4"/>
      <c r="G571" s="4"/>
      <c r="H571" s="3"/>
      <c r="I571" s="21"/>
    </row>
    <row r="572" spans="3:9" ht="15.75" customHeight="1">
      <c r="C572" s="2"/>
      <c r="D572" s="2"/>
      <c r="E572" s="3"/>
      <c r="F572" s="4"/>
      <c r="G572" s="4"/>
      <c r="H572" s="3"/>
      <c r="I572" s="21"/>
    </row>
    <row r="573" spans="3:9" ht="15.75" customHeight="1">
      <c r="C573" s="2"/>
      <c r="D573" s="2"/>
      <c r="E573" s="3"/>
      <c r="F573" s="4"/>
      <c r="G573" s="4"/>
      <c r="H573" s="3"/>
      <c r="I573" s="21"/>
    </row>
    <row r="574" spans="3:9" ht="15.75" customHeight="1">
      <c r="C574" s="2"/>
      <c r="D574" s="2"/>
      <c r="E574" s="3"/>
      <c r="F574" s="4"/>
      <c r="G574" s="4"/>
      <c r="H574" s="3"/>
      <c r="I574" s="21"/>
    </row>
    <row r="575" spans="3:9" ht="15.75" customHeight="1">
      <c r="C575" s="2"/>
      <c r="D575" s="2"/>
      <c r="E575" s="3"/>
      <c r="F575" s="4"/>
      <c r="G575" s="4"/>
      <c r="H575" s="3"/>
      <c r="I575" s="21"/>
    </row>
    <row r="576" spans="3:9" ht="15.75" customHeight="1">
      <c r="C576" s="2"/>
      <c r="D576" s="2"/>
      <c r="E576" s="3"/>
      <c r="F576" s="4"/>
      <c r="G576" s="4"/>
      <c r="H576" s="3"/>
      <c r="I576" s="21"/>
    </row>
    <row r="577" spans="3:9" ht="15.75" customHeight="1">
      <c r="C577" s="2"/>
      <c r="D577" s="2"/>
      <c r="E577" s="3"/>
      <c r="F577" s="4"/>
      <c r="G577" s="4"/>
      <c r="H577" s="3"/>
      <c r="I577" s="21"/>
    </row>
    <row r="578" spans="3:9" ht="15.75" customHeight="1">
      <c r="C578" s="2"/>
      <c r="D578" s="2"/>
      <c r="E578" s="3"/>
      <c r="F578" s="4"/>
      <c r="G578" s="4"/>
      <c r="H578" s="3"/>
      <c r="I578" s="21"/>
    </row>
    <row r="579" spans="3:9" ht="15.75" customHeight="1">
      <c r="C579" s="2"/>
      <c r="D579" s="2"/>
      <c r="E579" s="3"/>
      <c r="F579" s="4"/>
      <c r="G579" s="4"/>
      <c r="H579" s="3"/>
      <c r="I579" s="21"/>
    </row>
    <row r="580" spans="3:9" ht="15.75" customHeight="1">
      <c r="C580" s="2"/>
      <c r="D580" s="2"/>
      <c r="E580" s="3"/>
      <c r="F580" s="4"/>
      <c r="G580" s="4"/>
      <c r="H580" s="3"/>
      <c r="I580" s="21"/>
    </row>
    <row r="581" spans="3:9" ht="15.75" customHeight="1">
      <c r="C581" s="2"/>
      <c r="D581" s="2"/>
      <c r="E581" s="3"/>
      <c r="F581" s="4"/>
      <c r="G581" s="4"/>
      <c r="H581" s="3"/>
      <c r="I581" s="21"/>
    </row>
    <row r="582" spans="3:9" ht="15.75" customHeight="1">
      <c r="C582" s="2"/>
      <c r="D582" s="2"/>
      <c r="E582" s="3"/>
      <c r="F582" s="4"/>
      <c r="G582" s="4"/>
      <c r="H582" s="3"/>
      <c r="I582" s="21"/>
    </row>
    <row r="583" spans="3:9" ht="15.75" customHeight="1">
      <c r="C583" s="2"/>
      <c r="D583" s="2"/>
      <c r="E583" s="3"/>
      <c r="F583" s="4"/>
      <c r="G583" s="4"/>
      <c r="H583" s="3"/>
      <c r="I583" s="21"/>
    </row>
    <row r="584" spans="3:9" ht="15.75" customHeight="1">
      <c r="C584" s="2"/>
      <c r="D584" s="2"/>
      <c r="E584" s="3"/>
      <c r="F584" s="4"/>
      <c r="G584" s="4"/>
      <c r="H584" s="3"/>
      <c r="I584" s="21"/>
    </row>
    <row r="585" spans="3:9" ht="15.75" customHeight="1">
      <c r="C585" s="2"/>
      <c r="D585" s="2"/>
      <c r="E585" s="3"/>
      <c r="F585" s="4"/>
      <c r="G585" s="4"/>
      <c r="H585" s="3"/>
      <c r="I585" s="21"/>
    </row>
    <row r="586" spans="3:9" ht="15.75" customHeight="1">
      <c r="C586" s="2"/>
      <c r="D586" s="2"/>
      <c r="E586" s="3"/>
      <c r="F586" s="4"/>
      <c r="G586" s="4"/>
      <c r="H586" s="3"/>
      <c r="I586" s="21"/>
    </row>
    <row r="587" spans="3:9" ht="15.75" customHeight="1">
      <c r="C587" s="2"/>
      <c r="D587" s="2"/>
      <c r="E587" s="3"/>
      <c r="F587" s="4"/>
      <c r="G587" s="4"/>
      <c r="H587" s="3"/>
      <c r="I587" s="21"/>
    </row>
    <row r="588" spans="3:9" ht="15.75" customHeight="1">
      <c r="C588" s="2"/>
      <c r="D588" s="2"/>
      <c r="E588" s="3"/>
      <c r="F588" s="4"/>
      <c r="G588" s="4"/>
      <c r="H588" s="3"/>
      <c r="I588" s="21"/>
    </row>
    <row r="589" spans="3:9" ht="15.75" customHeight="1">
      <c r="C589" s="2"/>
      <c r="D589" s="2"/>
      <c r="E589" s="3"/>
      <c r="F589" s="4"/>
      <c r="G589" s="4"/>
      <c r="H589" s="3"/>
      <c r="I589" s="21"/>
    </row>
    <row r="590" spans="3:9" ht="15.75" customHeight="1">
      <c r="C590" s="2"/>
      <c r="D590" s="2"/>
      <c r="E590" s="3"/>
      <c r="F590" s="4"/>
      <c r="G590" s="4"/>
      <c r="H590" s="3"/>
      <c r="I590" s="21"/>
    </row>
    <row r="591" spans="3:9" ht="15.75" customHeight="1">
      <c r="C591" s="2"/>
      <c r="D591" s="2"/>
      <c r="E591" s="3"/>
      <c r="F591" s="4"/>
      <c r="G591" s="4"/>
      <c r="H591" s="3"/>
      <c r="I591" s="21"/>
    </row>
    <row r="592" spans="3:9" ht="15.75" customHeight="1">
      <c r="C592" s="2"/>
      <c r="D592" s="2"/>
      <c r="E592" s="3"/>
      <c r="F592" s="4"/>
      <c r="G592" s="4"/>
      <c r="H592" s="3"/>
      <c r="I592" s="21"/>
    </row>
    <row r="593" spans="3:9" ht="15.75" customHeight="1">
      <c r="C593" s="2"/>
      <c r="D593" s="2"/>
      <c r="E593" s="3"/>
      <c r="F593" s="4"/>
      <c r="G593" s="4"/>
      <c r="H593" s="3"/>
      <c r="I593" s="21"/>
    </row>
    <row r="594" spans="3:9" ht="15.75" customHeight="1">
      <c r="C594" s="2"/>
      <c r="D594" s="2"/>
      <c r="E594" s="3"/>
      <c r="F594" s="4"/>
      <c r="G594" s="4"/>
      <c r="H594" s="3"/>
      <c r="I594" s="21"/>
    </row>
    <row r="595" spans="3:9" ht="15.75" customHeight="1">
      <c r="C595" s="2"/>
      <c r="D595" s="2"/>
      <c r="E595" s="3"/>
      <c r="F595" s="4"/>
      <c r="G595" s="4"/>
      <c r="H595" s="3"/>
      <c r="I595" s="21"/>
    </row>
    <row r="596" spans="3:9" ht="15.75" customHeight="1">
      <c r="C596" s="2"/>
      <c r="D596" s="2"/>
      <c r="E596" s="3"/>
      <c r="F596" s="4"/>
      <c r="G596" s="4"/>
      <c r="H596" s="3"/>
      <c r="I596" s="21"/>
    </row>
    <row r="597" spans="3:9" ht="15.75" customHeight="1">
      <c r="C597" s="2"/>
      <c r="D597" s="2"/>
      <c r="E597" s="3"/>
      <c r="F597" s="4"/>
      <c r="G597" s="4"/>
      <c r="H597" s="3"/>
      <c r="I597" s="21"/>
    </row>
    <row r="598" spans="3:9" ht="15.75" customHeight="1">
      <c r="C598" s="2"/>
      <c r="D598" s="2"/>
      <c r="E598" s="3"/>
      <c r="F598" s="4"/>
      <c r="G598" s="4"/>
      <c r="H598" s="3"/>
      <c r="I598" s="21"/>
    </row>
    <row r="599" spans="3:9" ht="15.75" customHeight="1">
      <c r="C599" s="2"/>
      <c r="D599" s="2"/>
      <c r="E599" s="3"/>
      <c r="F599" s="4"/>
      <c r="G599" s="4"/>
      <c r="H599" s="3"/>
      <c r="I599" s="21"/>
    </row>
    <row r="600" spans="3:9" ht="15.75" customHeight="1">
      <c r="C600" s="2"/>
      <c r="D600" s="2"/>
      <c r="E600" s="3"/>
      <c r="F600" s="4"/>
      <c r="G600" s="4"/>
      <c r="H600" s="3"/>
      <c r="I600" s="21"/>
    </row>
    <row r="601" spans="3:9" ht="15.75" customHeight="1">
      <c r="C601" s="2"/>
      <c r="D601" s="2"/>
      <c r="E601" s="3"/>
      <c r="F601" s="4"/>
      <c r="G601" s="4"/>
      <c r="H601" s="3"/>
      <c r="I601" s="21"/>
    </row>
    <row r="602" spans="3:9" ht="15.75" customHeight="1">
      <c r="C602" s="2"/>
      <c r="D602" s="2"/>
      <c r="E602" s="3"/>
      <c r="F602" s="4"/>
      <c r="G602" s="4"/>
      <c r="H602" s="3"/>
      <c r="I602" s="21"/>
    </row>
    <row r="603" spans="3:9" ht="15.75" customHeight="1">
      <c r="C603" s="2"/>
      <c r="D603" s="2"/>
      <c r="E603" s="3"/>
      <c r="F603" s="4"/>
      <c r="G603" s="4"/>
      <c r="H603" s="3"/>
      <c r="I603" s="21"/>
    </row>
    <row r="604" spans="3:9" ht="15.75" customHeight="1">
      <c r="C604" s="2"/>
      <c r="D604" s="2"/>
      <c r="E604" s="3"/>
      <c r="F604" s="4"/>
      <c r="G604" s="4"/>
      <c r="H604" s="3"/>
      <c r="I604" s="21"/>
    </row>
    <row r="605" spans="3:9" ht="15.75" customHeight="1">
      <c r="C605" s="2"/>
      <c r="D605" s="2"/>
      <c r="E605" s="3"/>
      <c r="F605" s="4"/>
      <c r="G605" s="4"/>
      <c r="H605" s="3"/>
      <c r="I605" s="21"/>
    </row>
    <row r="606" spans="3:9" ht="15.75" customHeight="1">
      <c r="C606" s="2"/>
      <c r="D606" s="2"/>
      <c r="E606" s="3"/>
      <c r="F606" s="4"/>
      <c r="G606" s="4"/>
      <c r="H606" s="3"/>
      <c r="I606" s="21"/>
    </row>
    <row r="607" spans="3:9" ht="15.75" customHeight="1">
      <c r="C607" s="2"/>
      <c r="D607" s="2"/>
      <c r="E607" s="3"/>
      <c r="F607" s="4"/>
      <c r="G607" s="4"/>
      <c r="H607" s="3"/>
      <c r="I607" s="21"/>
    </row>
    <row r="608" spans="3:9" ht="15.75" customHeight="1">
      <c r="C608" s="2"/>
      <c r="D608" s="2"/>
      <c r="E608" s="3"/>
      <c r="F608" s="4"/>
      <c r="G608" s="4"/>
      <c r="H608" s="3"/>
      <c r="I608" s="21"/>
    </row>
    <row r="609" spans="3:9" ht="15.75" customHeight="1">
      <c r="C609" s="2"/>
      <c r="D609" s="2"/>
      <c r="E609" s="3"/>
      <c r="F609" s="4"/>
      <c r="G609" s="4"/>
      <c r="H609" s="3"/>
      <c r="I609" s="21"/>
    </row>
    <row r="610" spans="3:9" ht="15.75" customHeight="1">
      <c r="C610" s="2"/>
      <c r="D610" s="2"/>
      <c r="E610" s="3"/>
      <c r="F610" s="4"/>
      <c r="G610" s="4"/>
      <c r="H610" s="3"/>
      <c r="I610" s="21"/>
    </row>
    <row r="611" spans="3:9" ht="15.75" customHeight="1">
      <c r="C611" s="2"/>
      <c r="D611" s="2"/>
      <c r="E611" s="3"/>
      <c r="F611" s="4"/>
      <c r="G611" s="4"/>
      <c r="H611" s="3"/>
      <c r="I611" s="21"/>
    </row>
    <row r="612" spans="3:9" ht="15.75" customHeight="1">
      <c r="C612" s="2"/>
      <c r="D612" s="2"/>
      <c r="E612" s="3"/>
      <c r="F612" s="4"/>
      <c r="G612" s="4"/>
      <c r="H612" s="3"/>
      <c r="I612" s="21"/>
    </row>
    <row r="613" spans="3:9" ht="15.75" customHeight="1">
      <c r="C613" s="2"/>
      <c r="D613" s="2"/>
      <c r="E613" s="3"/>
      <c r="F613" s="4"/>
      <c r="G613" s="4"/>
      <c r="H613" s="3"/>
      <c r="I613" s="21"/>
    </row>
    <row r="614" spans="3:9" ht="15.75" customHeight="1">
      <c r="C614" s="2"/>
      <c r="D614" s="2"/>
      <c r="E614" s="3"/>
      <c r="F614" s="4"/>
      <c r="G614" s="4"/>
      <c r="H614" s="3"/>
      <c r="I614" s="21"/>
    </row>
    <row r="615" spans="3:9" ht="15.75" customHeight="1">
      <c r="C615" s="2"/>
      <c r="D615" s="2"/>
      <c r="E615" s="3"/>
      <c r="F615" s="4"/>
      <c r="G615" s="4"/>
      <c r="H615" s="3"/>
      <c r="I615" s="21"/>
    </row>
    <row r="616" spans="3:9" ht="15.75" customHeight="1">
      <c r="C616" s="2"/>
      <c r="D616" s="2"/>
      <c r="E616" s="3"/>
      <c r="F616" s="4"/>
      <c r="G616" s="4"/>
      <c r="H616" s="3"/>
      <c r="I616" s="21"/>
    </row>
    <row r="617" spans="3:9" ht="15.75" customHeight="1">
      <c r="C617" s="2"/>
      <c r="D617" s="2"/>
      <c r="E617" s="3"/>
      <c r="F617" s="4"/>
      <c r="G617" s="4"/>
      <c r="H617" s="3"/>
      <c r="I617" s="21"/>
    </row>
    <row r="618" spans="3:9" ht="15.75" customHeight="1">
      <c r="C618" s="2"/>
      <c r="D618" s="2"/>
      <c r="E618" s="3"/>
      <c r="F618" s="4"/>
      <c r="G618" s="4"/>
      <c r="H618" s="3"/>
      <c r="I618" s="21"/>
    </row>
    <row r="619" spans="3:9" ht="15.75" customHeight="1">
      <c r="C619" s="2"/>
      <c r="D619" s="2"/>
      <c r="E619" s="3"/>
      <c r="F619" s="4"/>
      <c r="G619" s="4"/>
      <c r="H619" s="3"/>
      <c r="I619" s="21"/>
    </row>
    <row r="620" spans="3:9" ht="15.75" customHeight="1">
      <c r="C620" s="2"/>
      <c r="D620" s="2"/>
      <c r="E620" s="3"/>
      <c r="F620" s="4"/>
      <c r="G620" s="4"/>
      <c r="H620" s="3"/>
      <c r="I620" s="21"/>
    </row>
    <row r="621" spans="3:9" ht="15.75" customHeight="1">
      <c r="C621" s="2"/>
      <c r="D621" s="2"/>
      <c r="E621" s="3"/>
      <c r="F621" s="4"/>
      <c r="G621" s="4"/>
      <c r="H621" s="3"/>
      <c r="I621" s="21"/>
    </row>
    <row r="622" spans="3:9" ht="15.75" customHeight="1">
      <c r="C622" s="2"/>
      <c r="D622" s="2"/>
      <c r="E622" s="3"/>
      <c r="F622" s="4"/>
      <c r="G622" s="4"/>
      <c r="H622" s="3"/>
      <c r="I622" s="21"/>
    </row>
    <row r="623" spans="3:9" ht="15.75" customHeight="1">
      <c r="C623" s="2"/>
      <c r="D623" s="2"/>
      <c r="E623" s="3"/>
      <c r="F623" s="4"/>
      <c r="G623" s="4"/>
      <c r="H623" s="3"/>
      <c r="I623" s="21"/>
    </row>
    <row r="624" spans="3:9" ht="15.75" customHeight="1">
      <c r="C624" s="2"/>
      <c r="D624" s="2"/>
      <c r="E624" s="3"/>
      <c r="F624" s="4"/>
      <c r="G624" s="4"/>
      <c r="H624" s="3"/>
      <c r="I624" s="21"/>
    </row>
    <row r="625" spans="3:9" ht="15.75" customHeight="1">
      <c r="C625" s="2"/>
      <c r="D625" s="2"/>
      <c r="E625" s="3"/>
      <c r="F625" s="4"/>
      <c r="G625" s="4"/>
      <c r="H625" s="3"/>
      <c r="I625" s="21"/>
    </row>
    <row r="626" spans="3:9" ht="15.75" customHeight="1">
      <c r="C626" s="2"/>
      <c r="D626" s="2"/>
      <c r="E626" s="3"/>
      <c r="F626" s="4"/>
      <c r="G626" s="4"/>
      <c r="H626" s="3"/>
      <c r="I626" s="21"/>
    </row>
    <row r="627" spans="3:9" ht="15.75" customHeight="1">
      <c r="C627" s="2"/>
      <c r="D627" s="2"/>
      <c r="E627" s="3"/>
      <c r="F627" s="4"/>
      <c r="G627" s="4"/>
      <c r="H627" s="3"/>
      <c r="I627" s="21"/>
    </row>
    <row r="628" spans="3:9" ht="15.75" customHeight="1">
      <c r="C628" s="2"/>
      <c r="D628" s="2"/>
      <c r="E628" s="3"/>
      <c r="F628" s="4"/>
      <c r="G628" s="4"/>
      <c r="H628" s="3"/>
      <c r="I628" s="21"/>
    </row>
    <row r="629" spans="3:9" ht="15.75" customHeight="1">
      <c r="C629" s="2"/>
      <c r="D629" s="2"/>
      <c r="E629" s="3"/>
      <c r="F629" s="4"/>
      <c r="G629" s="4"/>
      <c r="H629" s="3"/>
      <c r="I629" s="21"/>
    </row>
    <row r="630" spans="3:9" ht="15.75" customHeight="1">
      <c r="C630" s="2"/>
      <c r="D630" s="2"/>
      <c r="E630" s="3"/>
      <c r="F630" s="4"/>
      <c r="G630" s="4"/>
      <c r="H630" s="3"/>
      <c r="I630" s="21"/>
    </row>
    <row r="631" spans="3:9" ht="15.75" customHeight="1">
      <c r="C631" s="2"/>
      <c r="D631" s="2"/>
      <c r="E631" s="3"/>
      <c r="F631" s="4"/>
      <c r="G631" s="4"/>
      <c r="H631" s="3"/>
      <c r="I631" s="21"/>
    </row>
    <row r="632" spans="3:9" ht="15.75" customHeight="1">
      <c r="C632" s="2"/>
      <c r="D632" s="2"/>
      <c r="E632" s="3"/>
      <c r="F632" s="4"/>
      <c r="G632" s="4"/>
      <c r="H632" s="3"/>
      <c r="I632" s="21"/>
    </row>
    <row r="633" spans="3:9" ht="15.75" customHeight="1">
      <c r="C633" s="2"/>
      <c r="D633" s="2"/>
      <c r="E633" s="3"/>
      <c r="F633" s="4"/>
      <c r="G633" s="4"/>
      <c r="H633" s="3"/>
      <c r="I633" s="21"/>
    </row>
    <row r="634" spans="3:9" ht="15.75" customHeight="1">
      <c r="C634" s="2"/>
      <c r="D634" s="2"/>
      <c r="E634" s="3"/>
      <c r="F634" s="4"/>
      <c r="G634" s="4"/>
      <c r="H634" s="3"/>
      <c r="I634" s="21"/>
    </row>
    <row r="635" spans="3:9" ht="15.75" customHeight="1">
      <c r="C635" s="2"/>
      <c r="D635" s="2"/>
      <c r="E635" s="3"/>
      <c r="F635" s="4"/>
      <c r="G635" s="4"/>
      <c r="H635" s="3"/>
      <c r="I635" s="21"/>
    </row>
    <row r="636" spans="3:9" ht="15.75" customHeight="1">
      <c r="C636" s="2"/>
      <c r="D636" s="2"/>
      <c r="E636" s="3"/>
      <c r="F636" s="4"/>
      <c r="G636" s="4"/>
      <c r="H636" s="3"/>
      <c r="I636" s="21"/>
    </row>
    <row r="637" spans="3:9" ht="15.75" customHeight="1">
      <c r="C637" s="2"/>
      <c r="D637" s="2"/>
      <c r="E637" s="3"/>
      <c r="F637" s="4"/>
      <c r="G637" s="4"/>
      <c r="H637" s="3"/>
      <c r="I637" s="21"/>
    </row>
    <row r="638" spans="3:9" ht="15.75" customHeight="1">
      <c r="C638" s="2"/>
      <c r="D638" s="2"/>
      <c r="E638" s="3"/>
      <c r="F638" s="4"/>
      <c r="G638" s="4"/>
      <c r="H638" s="3"/>
      <c r="I638" s="21"/>
    </row>
    <row r="639" spans="3:9" ht="15.75" customHeight="1">
      <c r="C639" s="2"/>
      <c r="D639" s="2"/>
      <c r="E639" s="3"/>
      <c r="F639" s="4"/>
      <c r="G639" s="4"/>
      <c r="H639" s="3"/>
      <c r="I639" s="21"/>
    </row>
    <row r="640" spans="3:9" ht="15.75" customHeight="1">
      <c r="C640" s="2"/>
      <c r="D640" s="2"/>
      <c r="E640" s="3"/>
      <c r="F640" s="4"/>
      <c r="G640" s="4"/>
      <c r="H640" s="3"/>
      <c r="I640" s="21"/>
    </row>
    <row r="641" spans="3:9" ht="15.75" customHeight="1">
      <c r="C641" s="2"/>
      <c r="D641" s="2"/>
      <c r="E641" s="3"/>
      <c r="F641" s="4"/>
      <c r="G641" s="4"/>
      <c r="H641" s="3"/>
      <c r="I641" s="21"/>
    </row>
    <row r="642" spans="3:9" ht="15.75" customHeight="1">
      <c r="C642" s="2"/>
      <c r="D642" s="2"/>
      <c r="E642" s="3"/>
      <c r="F642" s="4"/>
      <c r="G642" s="4"/>
      <c r="H642" s="3"/>
      <c r="I642" s="21"/>
    </row>
    <row r="643" spans="3:9" ht="15.75" customHeight="1">
      <c r="C643" s="2"/>
      <c r="D643" s="2"/>
      <c r="E643" s="3"/>
      <c r="F643" s="4"/>
      <c r="G643" s="4"/>
      <c r="H643" s="3"/>
      <c r="I643" s="21"/>
    </row>
    <row r="644" spans="3:9" ht="15.75" customHeight="1">
      <c r="C644" s="2"/>
      <c r="D644" s="2"/>
      <c r="E644" s="3"/>
      <c r="F644" s="4"/>
      <c r="G644" s="4"/>
      <c r="H644" s="3"/>
      <c r="I644" s="21"/>
    </row>
    <row r="645" spans="3:9" ht="15.75" customHeight="1">
      <c r="C645" s="2"/>
      <c r="D645" s="2"/>
      <c r="E645" s="3"/>
      <c r="F645" s="4"/>
      <c r="G645" s="4"/>
      <c r="H645" s="3"/>
      <c r="I645" s="21"/>
    </row>
    <row r="646" spans="3:9" ht="15.75" customHeight="1">
      <c r="C646" s="2"/>
      <c r="D646" s="2"/>
      <c r="E646" s="3"/>
      <c r="F646" s="4"/>
      <c r="G646" s="4"/>
      <c r="H646" s="3"/>
      <c r="I646" s="21"/>
    </row>
    <row r="647" spans="3:9" ht="15.75" customHeight="1">
      <c r="C647" s="2"/>
      <c r="D647" s="2"/>
      <c r="E647" s="3"/>
      <c r="F647" s="4"/>
      <c r="G647" s="4"/>
      <c r="H647" s="3"/>
      <c r="I647" s="21"/>
    </row>
    <row r="648" spans="3:9" ht="15.75" customHeight="1">
      <c r="C648" s="2"/>
      <c r="D648" s="2"/>
      <c r="E648" s="3"/>
      <c r="F648" s="4"/>
      <c r="G648" s="4"/>
      <c r="H648" s="3"/>
      <c r="I648" s="21"/>
    </row>
    <row r="649" spans="3:9" ht="15.75" customHeight="1">
      <c r="C649" s="2"/>
      <c r="D649" s="2"/>
      <c r="E649" s="3"/>
      <c r="F649" s="4"/>
      <c r="G649" s="4"/>
      <c r="H649" s="3"/>
      <c r="I649" s="21"/>
    </row>
    <row r="650" spans="3:9" ht="15.75" customHeight="1">
      <c r="C650" s="2"/>
      <c r="D650" s="2"/>
      <c r="E650" s="3"/>
      <c r="F650" s="4"/>
      <c r="G650" s="4"/>
      <c r="H650" s="3"/>
      <c r="I650" s="21"/>
    </row>
    <row r="651" spans="3:9" ht="15.75" customHeight="1">
      <c r="C651" s="2"/>
      <c r="D651" s="2"/>
      <c r="E651" s="3"/>
      <c r="F651" s="4"/>
      <c r="G651" s="4"/>
      <c r="H651" s="3"/>
      <c r="I651" s="21"/>
    </row>
    <row r="652" spans="3:9" ht="15.75" customHeight="1">
      <c r="C652" s="2"/>
      <c r="D652" s="2"/>
      <c r="E652" s="3"/>
      <c r="F652" s="4"/>
      <c r="G652" s="4"/>
      <c r="H652" s="3"/>
      <c r="I652" s="21"/>
    </row>
    <row r="653" spans="3:9" ht="15.75" customHeight="1">
      <c r="C653" s="2"/>
      <c r="D653" s="2"/>
      <c r="E653" s="3"/>
      <c r="F653" s="4"/>
      <c r="G653" s="4"/>
      <c r="H653" s="3"/>
      <c r="I653" s="21"/>
    </row>
    <row r="654" spans="3:9" ht="15.75" customHeight="1">
      <c r="C654" s="2"/>
      <c r="D654" s="2"/>
      <c r="E654" s="3"/>
      <c r="F654" s="4"/>
      <c r="G654" s="4"/>
      <c r="H654" s="3"/>
      <c r="I654" s="21"/>
    </row>
    <row r="655" spans="3:9" ht="15.75" customHeight="1">
      <c r="C655" s="2"/>
      <c r="D655" s="2"/>
      <c r="E655" s="3"/>
      <c r="F655" s="4"/>
      <c r="G655" s="4"/>
      <c r="H655" s="3"/>
      <c r="I655" s="21"/>
    </row>
    <row r="656" spans="3:9" ht="15.75" customHeight="1">
      <c r="C656" s="2"/>
      <c r="D656" s="2"/>
      <c r="E656" s="3"/>
      <c r="F656" s="4"/>
      <c r="G656" s="4"/>
      <c r="H656" s="3"/>
      <c r="I656" s="21"/>
    </row>
    <row r="657" spans="3:9" ht="15.75" customHeight="1">
      <c r="C657" s="2"/>
      <c r="D657" s="2"/>
      <c r="E657" s="3"/>
      <c r="F657" s="4"/>
      <c r="G657" s="4"/>
      <c r="H657" s="3"/>
      <c r="I657" s="21"/>
    </row>
    <row r="658" spans="3:9" ht="15.75" customHeight="1">
      <c r="C658" s="2"/>
      <c r="D658" s="2"/>
      <c r="E658" s="3"/>
      <c r="F658" s="4"/>
      <c r="G658" s="4"/>
      <c r="H658" s="3"/>
      <c r="I658" s="21"/>
    </row>
    <row r="659" spans="3:9" ht="15.75" customHeight="1">
      <c r="C659" s="2"/>
      <c r="D659" s="2"/>
      <c r="E659" s="3"/>
      <c r="F659" s="4"/>
      <c r="G659" s="4"/>
      <c r="H659" s="3"/>
      <c r="I659" s="21"/>
    </row>
    <row r="660" spans="3:9" ht="15.75" customHeight="1">
      <c r="C660" s="2"/>
      <c r="D660" s="2"/>
      <c r="E660" s="3"/>
      <c r="F660" s="4"/>
      <c r="G660" s="4"/>
      <c r="H660" s="3"/>
      <c r="I660" s="21"/>
    </row>
    <row r="661" spans="3:9" ht="15.75" customHeight="1">
      <c r="C661" s="2"/>
      <c r="D661" s="2"/>
      <c r="E661" s="3"/>
      <c r="F661" s="4"/>
      <c r="G661" s="4"/>
      <c r="H661" s="3"/>
      <c r="I661" s="21"/>
    </row>
    <row r="662" spans="3:9" ht="15.75" customHeight="1">
      <c r="C662" s="2"/>
      <c r="D662" s="2"/>
      <c r="E662" s="3"/>
      <c r="F662" s="4"/>
      <c r="G662" s="4"/>
      <c r="H662" s="3"/>
      <c r="I662" s="21"/>
    </row>
    <row r="663" spans="3:9" ht="15.75" customHeight="1">
      <c r="C663" s="2"/>
      <c r="D663" s="2"/>
      <c r="E663" s="3"/>
      <c r="F663" s="4"/>
      <c r="G663" s="4"/>
      <c r="H663" s="3"/>
      <c r="I663" s="21"/>
    </row>
    <row r="664" spans="3:9" ht="15.75" customHeight="1">
      <c r="C664" s="2"/>
      <c r="D664" s="2"/>
      <c r="E664" s="3"/>
      <c r="F664" s="4"/>
      <c r="G664" s="4"/>
      <c r="H664" s="3"/>
      <c r="I664" s="21"/>
    </row>
    <row r="665" spans="3:9" ht="15.75" customHeight="1">
      <c r="C665" s="2"/>
      <c r="D665" s="2"/>
      <c r="E665" s="3"/>
      <c r="F665" s="4"/>
      <c r="G665" s="4"/>
      <c r="H665" s="3"/>
      <c r="I665" s="21"/>
    </row>
    <row r="666" spans="3:9" ht="15.75" customHeight="1">
      <c r="C666" s="2"/>
      <c r="D666" s="2"/>
      <c r="E666" s="3"/>
      <c r="F666" s="4"/>
      <c r="G666" s="4"/>
      <c r="H666" s="3"/>
      <c r="I666" s="21"/>
    </row>
    <row r="667" spans="3:9" ht="15.75" customHeight="1">
      <c r="C667" s="2"/>
      <c r="D667" s="2"/>
      <c r="E667" s="3"/>
      <c r="F667" s="4"/>
      <c r="G667" s="4"/>
      <c r="H667" s="3"/>
      <c r="I667" s="21"/>
    </row>
    <row r="668" spans="3:9" ht="15.75" customHeight="1">
      <c r="C668" s="2"/>
      <c r="D668" s="2"/>
      <c r="E668" s="3"/>
      <c r="F668" s="4"/>
      <c r="G668" s="4"/>
      <c r="H668" s="3"/>
      <c r="I668" s="21"/>
    </row>
    <row r="669" spans="3:9" ht="15.75" customHeight="1">
      <c r="C669" s="2"/>
      <c r="D669" s="2"/>
      <c r="E669" s="3"/>
      <c r="F669" s="4"/>
      <c r="G669" s="4"/>
      <c r="H669" s="3"/>
      <c r="I669" s="21"/>
    </row>
    <row r="670" spans="3:9" ht="15.75" customHeight="1">
      <c r="C670" s="2"/>
      <c r="D670" s="2"/>
      <c r="E670" s="3"/>
      <c r="F670" s="4"/>
      <c r="G670" s="4"/>
      <c r="H670" s="3"/>
      <c r="I670" s="21"/>
    </row>
    <row r="671" spans="3:9" ht="15.75" customHeight="1">
      <c r="C671" s="2"/>
      <c r="D671" s="2"/>
      <c r="E671" s="3"/>
      <c r="F671" s="4"/>
      <c r="G671" s="4"/>
      <c r="H671" s="3"/>
      <c r="I671" s="21"/>
    </row>
    <row r="672" spans="3:9" ht="15.75" customHeight="1">
      <c r="C672" s="2"/>
      <c r="D672" s="2"/>
      <c r="E672" s="3"/>
      <c r="F672" s="4"/>
      <c r="G672" s="4"/>
      <c r="H672" s="3"/>
      <c r="I672" s="21"/>
    </row>
    <row r="673" spans="3:9" ht="15.75" customHeight="1">
      <c r="C673" s="2"/>
      <c r="D673" s="2"/>
      <c r="E673" s="3"/>
      <c r="F673" s="4"/>
      <c r="G673" s="4"/>
      <c r="H673" s="3"/>
      <c r="I673" s="21"/>
    </row>
    <row r="674" spans="3:9" ht="15.75" customHeight="1">
      <c r="C674" s="2"/>
      <c r="D674" s="2"/>
      <c r="E674" s="3"/>
      <c r="F674" s="4"/>
      <c r="G674" s="4"/>
      <c r="H674" s="3"/>
      <c r="I674" s="21"/>
    </row>
    <row r="675" spans="3:9" ht="15.75" customHeight="1">
      <c r="C675" s="2"/>
      <c r="D675" s="2"/>
      <c r="E675" s="3"/>
      <c r="F675" s="4"/>
      <c r="G675" s="4"/>
      <c r="H675" s="3"/>
      <c r="I675" s="21"/>
    </row>
    <row r="676" spans="3:9" ht="15.75" customHeight="1">
      <c r="C676" s="2"/>
      <c r="D676" s="2"/>
      <c r="E676" s="3"/>
      <c r="F676" s="4"/>
      <c r="G676" s="4"/>
      <c r="H676" s="3"/>
      <c r="I676" s="21"/>
    </row>
    <row r="677" spans="3:9" ht="15.75" customHeight="1">
      <c r="C677" s="2"/>
      <c r="D677" s="2"/>
      <c r="E677" s="3"/>
      <c r="F677" s="4"/>
      <c r="G677" s="4"/>
      <c r="H677" s="3"/>
      <c r="I677" s="21"/>
    </row>
    <row r="678" spans="3:9" ht="15.75" customHeight="1">
      <c r="C678" s="2"/>
      <c r="D678" s="2"/>
      <c r="E678" s="3"/>
      <c r="F678" s="4"/>
      <c r="G678" s="4"/>
      <c r="H678" s="3"/>
      <c r="I678" s="21"/>
    </row>
    <row r="679" spans="3:9" ht="15.75" customHeight="1">
      <c r="C679" s="2"/>
      <c r="D679" s="2"/>
      <c r="E679" s="3"/>
      <c r="F679" s="4"/>
      <c r="G679" s="4"/>
      <c r="H679" s="3"/>
      <c r="I679" s="21"/>
    </row>
    <row r="680" spans="3:9" ht="15.75" customHeight="1">
      <c r="C680" s="2"/>
      <c r="D680" s="2"/>
      <c r="E680" s="3"/>
      <c r="F680" s="4"/>
      <c r="G680" s="4"/>
      <c r="H680" s="3"/>
      <c r="I680" s="21"/>
    </row>
    <row r="681" spans="3:9" ht="15.75" customHeight="1">
      <c r="C681" s="2"/>
      <c r="D681" s="2"/>
      <c r="E681" s="3"/>
      <c r="F681" s="4"/>
      <c r="G681" s="4"/>
      <c r="H681" s="3"/>
      <c r="I681" s="21"/>
    </row>
    <row r="682" spans="3:9" ht="15.75" customHeight="1">
      <c r="C682" s="2"/>
      <c r="D682" s="2"/>
      <c r="E682" s="3"/>
      <c r="F682" s="4"/>
      <c r="G682" s="4"/>
      <c r="H682" s="3"/>
      <c r="I682" s="21"/>
    </row>
    <row r="683" spans="3:9" ht="15.75" customHeight="1">
      <c r="C683" s="2"/>
      <c r="D683" s="2"/>
      <c r="E683" s="3"/>
      <c r="F683" s="4"/>
      <c r="G683" s="4"/>
      <c r="H683" s="3"/>
      <c r="I683" s="21"/>
    </row>
    <row r="684" spans="3:9" ht="15.75" customHeight="1">
      <c r="C684" s="2"/>
      <c r="D684" s="2"/>
      <c r="E684" s="3"/>
      <c r="F684" s="4"/>
      <c r="G684" s="4"/>
      <c r="H684" s="3"/>
      <c r="I684" s="21"/>
    </row>
    <row r="685" spans="3:9" ht="15.75" customHeight="1">
      <c r="C685" s="2"/>
      <c r="D685" s="2"/>
      <c r="E685" s="3"/>
      <c r="F685" s="4"/>
      <c r="G685" s="4"/>
      <c r="H685" s="3"/>
      <c r="I685" s="21"/>
    </row>
    <row r="686" spans="3:9" ht="15.75" customHeight="1">
      <c r="C686" s="2"/>
      <c r="D686" s="2"/>
      <c r="E686" s="3"/>
      <c r="F686" s="4"/>
      <c r="G686" s="4"/>
      <c r="H686" s="3"/>
      <c r="I686" s="21"/>
    </row>
    <row r="687" spans="3:9" ht="15.75" customHeight="1">
      <c r="C687" s="2"/>
      <c r="D687" s="2"/>
      <c r="E687" s="3"/>
      <c r="F687" s="4"/>
      <c r="G687" s="4"/>
      <c r="H687" s="3"/>
      <c r="I687" s="21"/>
    </row>
    <row r="688" spans="3:9" ht="15.75" customHeight="1">
      <c r="C688" s="2"/>
      <c r="D688" s="2"/>
      <c r="E688" s="3"/>
      <c r="F688" s="4"/>
      <c r="G688" s="4"/>
      <c r="H688" s="3"/>
      <c r="I688" s="21"/>
    </row>
    <row r="689" spans="3:9" ht="15.75" customHeight="1">
      <c r="C689" s="2"/>
      <c r="D689" s="2"/>
      <c r="E689" s="3"/>
      <c r="F689" s="4"/>
      <c r="G689" s="4"/>
      <c r="H689" s="3"/>
      <c r="I689" s="21"/>
    </row>
    <row r="690" spans="3:9" ht="15.75" customHeight="1">
      <c r="C690" s="2"/>
      <c r="D690" s="2"/>
      <c r="E690" s="3"/>
      <c r="F690" s="4"/>
      <c r="G690" s="4"/>
      <c r="H690" s="3"/>
      <c r="I690" s="21"/>
    </row>
    <row r="691" spans="3:9" ht="15.75" customHeight="1">
      <c r="C691" s="2"/>
      <c r="D691" s="2"/>
      <c r="E691" s="3"/>
      <c r="F691" s="4"/>
      <c r="G691" s="4"/>
      <c r="H691" s="3"/>
      <c r="I691" s="21"/>
    </row>
    <row r="692" spans="3:9" ht="15.75" customHeight="1">
      <c r="C692" s="2"/>
      <c r="D692" s="2"/>
      <c r="E692" s="3"/>
      <c r="F692" s="4"/>
      <c r="G692" s="4"/>
      <c r="H692" s="3"/>
      <c r="I692" s="21"/>
    </row>
    <row r="693" spans="3:9" ht="15.75" customHeight="1">
      <c r="C693" s="2"/>
      <c r="D693" s="2"/>
      <c r="E693" s="3"/>
      <c r="F693" s="4"/>
      <c r="G693" s="4"/>
      <c r="H693" s="3"/>
      <c r="I693" s="21"/>
    </row>
    <row r="694" spans="3:9" ht="15.75" customHeight="1">
      <c r="C694" s="2"/>
      <c r="D694" s="2"/>
      <c r="E694" s="3"/>
      <c r="F694" s="4"/>
      <c r="G694" s="4"/>
      <c r="H694" s="3"/>
      <c r="I694" s="21"/>
    </row>
    <row r="695" spans="3:9" ht="15.75" customHeight="1">
      <c r="C695" s="2"/>
      <c r="D695" s="2"/>
      <c r="E695" s="3"/>
      <c r="F695" s="4"/>
      <c r="G695" s="4"/>
      <c r="H695" s="3"/>
      <c r="I695" s="21"/>
    </row>
    <row r="696" spans="3:9" ht="15.75" customHeight="1">
      <c r="C696" s="2"/>
      <c r="D696" s="2"/>
      <c r="E696" s="3"/>
      <c r="F696" s="4"/>
      <c r="G696" s="4"/>
      <c r="H696" s="3"/>
      <c r="I696" s="21"/>
    </row>
    <row r="697" spans="3:9" ht="15.75" customHeight="1">
      <c r="C697" s="2"/>
      <c r="D697" s="2"/>
      <c r="E697" s="3"/>
      <c r="F697" s="4"/>
      <c r="G697" s="4"/>
      <c r="H697" s="3"/>
      <c r="I697" s="21"/>
    </row>
    <row r="698" spans="3:9" ht="15.75" customHeight="1">
      <c r="C698" s="2"/>
      <c r="D698" s="2"/>
      <c r="E698" s="3"/>
      <c r="F698" s="4"/>
      <c r="G698" s="4"/>
      <c r="H698" s="3"/>
      <c r="I698" s="21"/>
    </row>
    <row r="699" spans="3:9" ht="15.75" customHeight="1">
      <c r="C699" s="2"/>
      <c r="D699" s="2"/>
      <c r="E699" s="3"/>
      <c r="F699" s="4"/>
      <c r="G699" s="4"/>
      <c r="H699" s="3"/>
      <c r="I699" s="21"/>
    </row>
    <row r="700" spans="3:9" ht="15.75" customHeight="1">
      <c r="C700" s="2"/>
      <c r="D700" s="2"/>
      <c r="E700" s="3"/>
      <c r="F700" s="4"/>
      <c r="G700" s="4"/>
      <c r="H700" s="3"/>
      <c r="I700" s="21"/>
    </row>
    <row r="701" spans="3:9" ht="15.75" customHeight="1">
      <c r="C701" s="2"/>
      <c r="D701" s="2"/>
      <c r="E701" s="3"/>
      <c r="F701" s="4"/>
      <c r="G701" s="4"/>
      <c r="H701" s="3"/>
      <c r="I701" s="21"/>
    </row>
    <row r="702" spans="3:9" ht="15.75" customHeight="1">
      <c r="C702" s="2"/>
      <c r="D702" s="2"/>
      <c r="E702" s="3"/>
      <c r="F702" s="4"/>
      <c r="G702" s="4"/>
      <c r="H702" s="3"/>
      <c r="I702" s="21"/>
    </row>
    <row r="703" spans="3:9" ht="15.75" customHeight="1">
      <c r="C703" s="2"/>
      <c r="D703" s="2"/>
      <c r="E703" s="3"/>
      <c r="F703" s="4"/>
      <c r="G703" s="4"/>
      <c r="H703" s="3"/>
      <c r="I703" s="21"/>
    </row>
    <row r="704" spans="3:9" ht="15.75" customHeight="1">
      <c r="C704" s="2"/>
      <c r="D704" s="2"/>
      <c r="E704" s="3"/>
      <c r="F704" s="4"/>
      <c r="G704" s="4"/>
      <c r="H704" s="3"/>
      <c r="I704" s="21"/>
    </row>
    <row r="705" spans="3:9" ht="15.75" customHeight="1">
      <c r="C705" s="2"/>
      <c r="D705" s="2"/>
      <c r="E705" s="3"/>
      <c r="F705" s="4"/>
      <c r="G705" s="4"/>
      <c r="H705" s="3"/>
      <c r="I705" s="21"/>
    </row>
    <row r="706" spans="3:9" ht="15.75" customHeight="1">
      <c r="C706" s="2"/>
      <c r="D706" s="2"/>
      <c r="E706" s="3"/>
      <c r="F706" s="4"/>
      <c r="G706" s="4"/>
      <c r="H706" s="3"/>
      <c r="I706" s="21"/>
    </row>
    <row r="707" spans="3:9" ht="15.75" customHeight="1">
      <c r="C707" s="2"/>
      <c r="D707" s="2"/>
      <c r="E707" s="3"/>
      <c r="F707" s="4"/>
      <c r="G707" s="4"/>
      <c r="H707" s="3"/>
      <c r="I707" s="21"/>
    </row>
    <row r="708" spans="3:9" ht="15.75" customHeight="1">
      <c r="C708" s="2"/>
      <c r="D708" s="2"/>
      <c r="E708" s="3"/>
      <c r="F708" s="4"/>
      <c r="G708" s="4"/>
      <c r="H708" s="3"/>
      <c r="I708" s="21"/>
    </row>
    <row r="709" spans="3:9" ht="15.75" customHeight="1">
      <c r="C709" s="2"/>
      <c r="D709" s="2"/>
      <c r="E709" s="3"/>
      <c r="F709" s="4"/>
      <c r="G709" s="4"/>
      <c r="H709" s="3"/>
      <c r="I709" s="21"/>
    </row>
    <row r="710" spans="3:9" ht="15.75" customHeight="1">
      <c r="C710" s="2"/>
      <c r="D710" s="2"/>
      <c r="E710" s="3"/>
      <c r="F710" s="4"/>
      <c r="G710" s="4"/>
      <c r="H710" s="3"/>
      <c r="I710" s="21"/>
    </row>
    <row r="711" spans="3:9" ht="15.75" customHeight="1">
      <c r="C711" s="2"/>
      <c r="D711" s="2"/>
      <c r="E711" s="3"/>
      <c r="F711" s="4"/>
      <c r="G711" s="4"/>
      <c r="H711" s="3"/>
      <c r="I711" s="21"/>
    </row>
    <row r="712" spans="3:9" ht="15.75" customHeight="1">
      <c r="C712" s="2"/>
      <c r="D712" s="2"/>
      <c r="E712" s="3"/>
      <c r="F712" s="4"/>
      <c r="G712" s="4"/>
      <c r="H712" s="3"/>
      <c r="I712" s="21"/>
    </row>
    <row r="713" spans="3:9" ht="15.75" customHeight="1">
      <c r="C713" s="2"/>
      <c r="D713" s="2"/>
      <c r="E713" s="3"/>
      <c r="F713" s="4"/>
      <c r="G713" s="4"/>
      <c r="H713" s="3"/>
      <c r="I713" s="21"/>
    </row>
    <row r="714" spans="3:9" ht="15.75" customHeight="1">
      <c r="C714" s="2"/>
      <c r="D714" s="2"/>
      <c r="E714" s="3"/>
      <c r="F714" s="4"/>
      <c r="G714" s="4"/>
      <c r="H714" s="3"/>
      <c r="I714" s="21"/>
    </row>
    <row r="715" spans="3:9" ht="15.75" customHeight="1">
      <c r="C715" s="2"/>
      <c r="D715" s="2"/>
      <c r="E715" s="3"/>
      <c r="F715" s="4"/>
      <c r="G715" s="4"/>
      <c r="H715" s="3"/>
      <c r="I715" s="21"/>
    </row>
    <row r="716" spans="3:9" ht="15.75" customHeight="1">
      <c r="C716" s="2"/>
      <c r="D716" s="2"/>
      <c r="E716" s="3"/>
      <c r="F716" s="4"/>
      <c r="G716" s="4"/>
      <c r="H716" s="3"/>
      <c r="I716" s="21"/>
    </row>
    <row r="717" spans="3:9" ht="15.75" customHeight="1">
      <c r="C717" s="2"/>
      <c r="D717" s="2"/>
      <c r="E717" s="3"/>
      <c r="F717" s="4"/>
      <c r="G717" s="4"/>
      <c r="H717" s="3"/>
      <c r="I717" s="21"/>
    </row>
    <row r="718" spans="3:9" ht="15.75" customHeight="1">
      <c r="C718" s="2"/>
      <c r="D718" s="2"/>
      <c r="E718" s="3"/>
      <c r="F718" s="4"/>
      <c r="G718" s="4"/>
      <c r="H718" s="3"/>
      <c r="I718" s="21"/>
    </row>
    <row r="719" spans="3:9" ht="15.75" customHeight="1">
      <c r="C719" s="2"/>
      <c r="D719" s="2"/>
      <c r="E719" s="3"/>
      <c r="F719" s="4"/>
      <c r="G719" s="4"/>
      <c r="H719" s="3"/>
      <c r="I719" s="21"/>
    </row>
    <row r="720" spans="3:9" ht="15.75" customHeight="1">
      <c r="C720" s="2"/>
      <c r="D720" s="2"/>
      <c r="E720" s="3"/>
      <c r="F720" s="4"/>
      <c r="G720" s="4"/>
      <c r="H720" s="3"/>
      <c r="I720" s="21"/>
    </row>
    <row r="721" spans="3:9" ht="15.75" customHeight="1">
      <c r="C721" s="2"/>
      <c r="D721" s="2"/>
      <c r="E721" s="3"/>
      <c r="F721" s="4"/>
      <c r="G721" s="4"/>
      <c r="H721" s="3"/>
      <c r="I721" s="21"/>
    </row>
    <row r="722" spans="3:9" ht="15.75" customHeight="1">
      <c r="C722" s="2"/>
      <c r="D722" s="2"/>
      <c r="E722" s="3"/>
      <c r="F722" s="4"/>
      <c r="G722" s="4"/>
      <c r="H722" s="3"/>
      <c r="I722" s="21"/>
    </row>
    <row r="723" spans="3:9" ht="15.75" customHeight="1">
      <c r="C723" s="2"/>
      <c r="D723" s="2"/>
      <c r="E723" s="3"/>
      <c r="F723" s="4"/>
      <c r="G723" s="4"/>
      <c r="H723" s="3"/>
      <c r="I723" s="21"/>
    </row>
    <row r="724" spans="3:9" ht="15.75" customHeight="1">
      <c r="C724" s="2"/>
      <c r="D724" s="2"/>
      <c r="E724" s="3"/>
      <c r="F724" s="4"/>
      <c r="G724" s="4"/>
      <c r="H724" s="3"/>
      <c r="I724" s="21"/>
    </row>
    <row r="725" spans="3:9" ht="15.75" customHeight="1">
      <c r="C725" s="2"/>
      <c r="D725" s="2"/>
      <c r="E725" s="3"/>
      <c r="F725" s="4"/>
      <c r="G725" s="4"/>
      <c r="H725" s="3"/>
      <c r="I725" s="21"/>
    </row>
    <row r="726" spans="3:9" ht="15.75" customHeight="1">
      <c r="C726" s="2"/>
      <c r="D726" s="2"/>
      <c r="E726" s="3"/>
      <c r="F726" s="4"/>
      <c r="G726" s="4"/>
      <c r="H726" s="3"/>
      <c r="I726" s="21"/>
    </row>
    <row r="727" spans="3:9" ht="15.75" customHeight="1">
      <c r="C727" s="2"/>
      <c r="D727" s="2"/>
      <c r="E727" s="3"/>
      <c r="F727" s="4"/>
      <c r="G727" s="4"/>
      <c r="H727" s="3"/>
      <c r="I727" s="21"/>
    </row>
    <row r="728" spans="3:9" ht="15.75" customHeight="1">
      <c r="C728" s="2"/>
      <c r="D728" s="2"/>
      <c r="E728" s="3"/>
      <c r="F728" s="4"/>
      <c r="G728" s="4"/>
      <c r="H728" s="3"/>
      <c r="I728" s="21"/>
    </row>
    <row r="729" spans="3:9" ht="15.75" customHeight="1">
      <c r="C729" s="2"/>
      <c r="D729" s="2"/>
      <c r="E729" s="3"/>
      <c r="F729" s="4"/>
      <c r="G729" s="4"/>
      <c r="H729" s="3"/>
      <c r="I729" s="21"/>
    </row>
    <row r="730" spans="3:9" ht="15.75" customHeight="1">
      <c r="C730" s="2"/>
      <c r="D730" s="2"/>
      <c r="E730" s="3"/>
      <c r="F730" s="4"/>
      <c r="G730" s="4"/>
      <c r="H730" s="3"/>
      <c r="I730" s="21"/>
    </row>
    <row r="731" spans="3:9" ht="15.75" customHeight="1">
      <c r="C731" s="2"/>
      <c r="D731" s="2"/>
      <c r="E731" s="3"/>
      <c r="F731" s="4"/>
      <c r="G731" s="4"/>
      <c r="H731" s="3"/>
      <c r="I731" s="21"/>
    </row>
    <row r="732" spans="3:9" ht="15.75" customHeight="1">
      <c r="C732" s="2"/>
      <c r="D732" s="2"/>
      <c r="E732" s="3"/>
      <c r="F732" s="4"/>
      <c r="G732" s="4"/>
      <c r="H732" s="3"/>
      <c r="I732" s="21"/>
    </row>
    <row r="733" spans="3:9" ht="15.75" customHeight="1">
      <c r="C733" s="2"/>
      <c r="D733" s="2"/>
      <c r="E733" s="3"/>
      <c r="F733" s="4"/>
      <c r="G733" s="4"/>
      <c r="H733" s="3"/>
      <c r="I733" s="21"/>
    </row>
    <row r="734" spans="3:9" ht="15.75" customHeight="1">
      <c r="C734" s="2"/>
      <c r="D734" s="2"/>
      <c r="E734" s="3"/>
      <c r="F734" s="4"/>
      <c r="G734" s="4"/>
      <c r="H734" s="3"/>
      <c r="I734" s="21"/>
    </row>
    <row r="735" spans="3:9" ht="15.75" customHeight="1">
      <c r="C735" s="2"/>
      <c r="D735" s="2"/>
      <c r="E735" s="3"/>
      <c r="F735" s="4"/>
      <c r="G735" s="4"/>
      <c r="H735" s="3"/>
      <c r="I735" s="21"/>
    </row>
    <row r="736" spans="3:9" ht="15.75" customHeight="1">
      <c r="C736" s="2"/>
      <c r="D736" s="2"/>
      <c r="E736" s="3"/>
      <c r="F736" s="4"/>
      <c r="G736" s="4"/>
      <c r="H736" s="3"/>
      <c r="I736" s="21"/>
    </row>
    <row r="737" spans="3:9" ht="15.75" customHeight="1">
      <c r="C737" s="2"/>
      <c r="D737" s="2"/>
      <c r="E737" s="3"/>
      <c r="F737" s="4"/>
      <c r="G737" s="4"/>
      <c r="H737" s="3"/>
      <c r="I737" s="21"/>
    </row>
    <row r="738" spans="3:9" ht="15.75" customHeight="1">
      <c r="C738" s="2"/>
      <c r="D738" s="2"/>
      <c r="E738" s="3"/>
      <c r="F738" s="4"/>
      <c r="G738" s="4"/>
      <c r="H738" s="3"/>
      <c r="I738" s="21"/>
    </row>
    <row r="739" spans="3:9" ht="15.75" customHeight="1">
      <c r="C739" s="2"/>
      <c r="D739" s="2"/>
      <c r="E739" s="3"/>
      <c r="F739" s="4"/>
      <c r="G739" s="4"/>
      <c r="H739" s="3"/>
      <c r="I739" s="21"/>
    </row>
    <row r="740" spans="3:9" ht="15.75" customHeight="1">
      <c r="C740" s="2"/>
      <c r="D740" s="2"/>
      <c r="E740" s="3"/>
      <c r="F740" s="4"/>
      <c r="G740" s="4"/>
      <c r="H740" s="3"/>
      <c r="I740" s="21"/>
    </row>
    <row r="741" spans="3:9" ht="15.75" customHeight="1">
      <c r="C741" s="2"/>
      <c r="D741" s="2"/>
      <c r="E741" s="3"/>
      <c r="F741" s="4"/>
      <c r="G741" s="4"/>
      <c r="H741" s="3"/>
      <c r="I741" s="21"/>
    </row>
    <row r="742" spans="3:9" ht="15.75" customHeight="1">
      <c r="C742" s="2"/>
      <c r="D742" s="2"/>
      <c r="E742" s="3"/>
      <c r="F742" s="4"/>
      <c r="G742" s="4"/>
      <c r="H742" s="3"/>
      <c r="I742" s="21"/>
    </row>
    <row r="743" spans="3:9" ht="15.75" customHeight="1">
      <c r="C743" s="2"/>
      <c r="D743" s="2"/>
      <c r="E743" s="3"/>
      <c r="F743" s="4"/>
      <c r="G743" s="4"/>
      <c r="H743" s="3"/>
      <c r="I743" s="21"/>
    </row>
    <row r="744" spans="3:9" ht="15.75" customHeight="1">
      <c r="C744" s="2"/>
      <c r="D744" s="2"/>
      <c r="E744" s="3"/>
      <c r="F744" s="4"/>
      <c r="G744" s="4"/>
      <c r="H744" s="3"/>
      <c r="I744" s="21"/>
    </row>
    <row r="745" spans="3:9" ht="15.75" customHeight="1">
      <c r="C745" s="2"/>
      <c r="D745" s="2"/>
      <c r="E745" s="3"/>
      <c r="F745" s="4"/>
      <c r="G745" s="4"/>
      <c r="H745" s="3"/>
      <c r="I745" s="21"/>
    </row>
    <row r="746" spans="3:9" ht="15.75" customHeight="1">
      <c r="C746" s="2"/>
      <c r="D746" s="2"/>
      <c r="E746" s="3"/>
      <c r="F746" s="4"/>
      <c r="G746" s="4"/>
      <c r="H746" s="3"/>
      <c r="I746" s="21"/>
    </row>
    <row r="747" spans="3:9" ht="15.75" customHeight="1">
      <c r="C747" s="2"/>
      <c r="D747" s="2"/>
      <c r="E747" s="3"/>
      <c r="F747" s="4"/>
      <c r="G747" s="4"/>
      <c r="H747" s="3"/>
      <c r="I747" s="21"/>
    </row>
    <row r="748" spans="3:9" ht="15.75" customHeight="1">
      <c r="C748" s="2"/>
      <c r="D748" s="2"/>
      <c r="E748" s="3"/>
      <c r="F748" s="4"/>
      <c r="G748" s="4"/>
      <c r="H748" s="3"/>
      <c r="I748" s="21"/>
    </row>
    <row r="749" spans="3:9" ht="15.75" customHeight="1">
      <c r="C749" s="2"/>
      <c r="D749" s="2"/>
      <c r="E749" s="3"/>
      <c r="F749" s="4"/>
      <c r="G749" s="4"/>
      <c r="H749" s="3"/>
      <c r="I749" s="21"/>
    </row>
    <row r="750" spans="3:9" ht="15.75" customHeight="1">
      <c r="C750" s="2"/>
      <c r="D750" s="2"/>
      <c r="E750" s="3"/>
      <c r="F750" s="4"/>
      <c r="G750" s="4"/>
      <c r="H750" s="3"/>
      <c r="I750" s="21"/>
    </row>
    <row r="751" spans="3:9" ht="15.75" customHeight="1">
      <c r="C751" s="2"/>
      <c r="D751" s="2"/>
      <c r="E751" s="3"/>
      <c r="F751" s="4"/>
      <c r="G751" s="4"/>
      <c r="H751" s="3"/>
      <c r="I751" s="21"/>
    </row>
    <row r="752" spans="3:9" ht="15.75" customHeight="1">
      <c r="C752" s="2"/>
      <c r="D752" s="2"/>
      <c r="E752" s="3"/>
      <c r="F752" s="4"/>
      <c r="G752" s="4"/>
      <c r="H752" s="3"/>
      <c r="I752" s="21"/>
    </row>
    <row r="753" spans="3:9" ht="15.75" customHeight="1">
      <c r="C753" s="2"/>
      <c r="D753" s="2"/>
      <c r="E753" s="3"/>
      <c r="F753" s="4"/>
      <c r="G753" s="4"/>
      <c r="H753" s="3"/>
      <c r="I753" s="21"/>
    </row>
    <row r="754" spans="3:9" ht="15.75" customHeight="1">
      <c r="C754" s="2"/>
      <c r="D754" s="2"/>
      <c r="E754" s="3"/>
      <c r="F754" s="4"/>
      <c r="G754" s="4"/>
      <c r="H754" s="3"/>
      <c r="I754" s="21"/>
    </row>
    <row r="755" spans="3:9" ht="15.75" customHeight="1">
      <c r="C755" s="2"/>
      <c r="D755" s="2"/>
      <c r="E755" s="3"/>
      <c r="F755" s="4"/>
      <c r="G755" s="4"/>
      <c r="H755" s="3"/>
      <c r="I755" s="21"/>
    </row>
    <row r="756" spans="3:9" ht="15.75" customHeight="1">
      <c r="C756" s="2"/>
      <c r="D756" s="2"/>
      <c r="E756" s="3"/>
      <c r="F756" s="4"/>
      <c r="G756" s="4"/>
      <c r="H756" s="3"/>
      <c r="I756" s="21"/>
    </row>
    <row r="757" spans="3:9" ht="15.75" customHeight="1">
      <c r="C757" s="2"/>
      <c r="D757" s="2"/>
      <c r="E757" s="3"/>
      <c r="F757" s="4"/>
      <c r="G757" s="4"/>
      <c r="H757" s="3"/>
      <c r="I757" s="21"/>
    </row>
    <row r="758" spans="3:9" ht="15.75" customHeight="1">
      <c r="C758" s="2"/>
      <c r="D758" s="2"/>
      <c r="E758" s="3"/>
      <c r="F758" s="4"/>
      <c r="G758" s="4"/>
      <c r="H758" s="3"/>
      <c r="I758" s="21"/>
    </row>
    <row r="759" spans="3:9" ht="15.75" customHeight="1">
      <c r="C759" s="2"/>
      <c r="D759" s="2"/>
      <c r="E759" s="3"/>
      <c r="F759" s="4"/>
      <c r="G759" s="4"/>
      <c r="H759" s="3"/>
      <c r="I759" s="21"/>
    </row>
    <row r="760" spans="3:9" ht="15.75" customHeight="1">
      <c r="C760" s="2"/>
      <c r="D760" s="2"/>
      <c r="E760" s="3"/>
      <c r="F760" s="4"/>
      <c r="G760" s="4"/>
      <c r="H760" s="3"/>
      <c r="I760" s="21"/>
    </row>
    <row r="761" spans="3:9" ht="15.75" customHeight="1">
      <c r="C761" s="2"/>
      <c r="D761" s="2"/>
      <c r="E761" s="3"/>
      <c r="F761" s="4"/>
      <c r="G761" s="4"/>
      <c r="H761" s="3"/>
      <c r="I761" s="21"/>
    </row>
    <row r="762" spans="3:9" ht="15.75" customHeight="1">
      <c r="C762" s="2"/>
      <c r="D762" s="2"/>
      <c r="E762" s="3"/>
      <c r="F762" s="4"/>
      <c r="G762" s="4"/>
      <c r="H762" s="3"/>
      <c r="I762" s="21"/>
    </row>
    <row r="763" spans="3:9" ht="15.75" customHeight="1">
      <c r="C763" s="2"/>
      <c r="D763" s="2"/>
      <c r="E763" s="3"/>
      <c r="F763" s="4"/>
      <c r="G763" s="4"/>
      <c r="H763" s="3"/>
      <c r="I763" s="21"/>
    </row>
    <row r="764" spans="3:9" ht="15.75" customHeight="1">
      <c r="C764" s="2"/>
      <c r="D764" s="2"/>
      <c r="E764" s="3"/>
      <c r="F764" s="4"/>
      <c r="G764" s="4"/>
      <c r="H764" s="3"/>
      <c r="I764" s="21"/>
    </row>
    <row r="765" spans="3:9" ht="15.75" customHeight="1">
      <c r="C765" s="2"/>
      <c r="D765" s="2"/>
      <c r="E765" s="3"/>
      <c r="F765" s="4"/>
      <c r="G765" s="4"/>
      <c r="H765" s="3"/>
      <c r="I765" s="21"/>
    </row>
    <row r="766" spans="3:9" ht="15.75" customHeight="1">
      <c r="C766" s="2"/>
      <c r="D766" s="2"/>
      <c r="E766" s="3"/>
      <c r="F766" s="4"/>
      <c r="G766" s="4"/>
      <c r="H766" s="3"/>
      <c r="I766" s="21"/>
    </row>
    <row r="767" spans="3:9" ht="15.75" customHeight="1">
      <c r="C767" s="2"/>
      <c r="D767" s="2"/>
      <c r="E767" s="3"/>
      <c r="F767" s="4"/>
      <c r="G767" s="4"/>
      <c r="H767" s="3"/>
      <c r="I767" s="21"/>
    </row>
    <row r="768" spans="3:9" ht="15.75" customHeight="1">
      <c r="C768" s="2"/>
      <c r="D768" s="2"/>
      <c r="E768" s="3"/>
      <c r="F768" s="4"/>
      <c r="G768" s="4"/>
      <c r="H768" s="3"/>
      <c r="I768" s="21"/>
    </row>
    <row r="769" spans="3:9" ht="15.75" customHeight="1">
      <c r="C769" s="2"/>
      <c r="D769" s="2"/>
      <c r="E769" s="3"/>
      <c r="F769" s="4"/>
      <c r="G769" s="4"/>
      <c r="H769" s="3"/>
      <c r="I769" s="21"/>
    </row>
    <row r="770" spans="3:9" ht="15.75" customHeight="1">
      <c r="C770" s="2"/>
      <c r="D770" s="2"/>
      <c r="E770" s="3"/>
      <c r="F770" s="4"/>
      <c r="G770" s="4"/>
      <c r="H770" s="3"/>
      <c r="I770" s="21"/>
    </row>
    <row r="771" spans="3:9" ht="15.75" customHeight="1">
      <c r="C771" s="2"/>
      <c r="D771" s="2"/>
      <c r="E771" s="3"/>
      <c r="F771" s="4"/>
      <c r="G771" s="4"/>
      <c r="H771" s="3"/>
      <c r="I771" s="21"/>
    </row>
    <row r="772" spans="3:9" ht="15.75" customHeight="1">
      <c r="C772" s="2"/>
      <c r="D772" s="2"/>
      <c r="E772" s="3"/>
      <c r="F772" s="4"/>
      <c r="G772" s="4"/>
      <c r="H772" s="3"/>
      <c r="I772" s="21"/>
    </row>
    <row r="773" spans="3:9" ht="15.75" customHeight="1">
      <c r="C773" s="2"/>
      <c r="D773" s="2"/>
      <c r="E773" s="3"/>
      <c r="F773" s="4"/>
      <c r="G773" s="4"/>
      <c r="H773" s="3"/>
      <c r="I773" s="21"/>
    </row>
    <row r="774" spans="3:9" ht="15.75" customHeight="1">
      <c r="C774" s="2"/>
      <c r="D774" s="2"/>
      <c r="E774" s="3"/>
      <c r="F774" s="4"/>
      <c r="G774" s="4"/>
      <c r="H774" s="3"/>
      <c r="I774" s="21"/>
    </row>
    <row r="775" spans="3:9" ht="15.75" customHeight="1">
      <c r="C775" s="2"/>
      <c r="D775" s="2"/>
      <c r="E775" s="3"/>
      <c r="F775" s="4"/>
      <c r="G775" s="4"/>
      <c r="H775" s="3"/>
      <c r="I775" s="21"/>
    </row>
    <row r="776" spans="3:9" ht="15.75" customHeight="1">
      <c r="C776" s="2"/>
      <c r="D776" s="2"/>
      <c r="E776" s="3"/>
      <c r="F776" s="4"/>
      <c r="G776" s="4"/>
      <c r="H776" s="3"/>
      <c r="I776" s="21"/>
    </row>
    <row r="777" spans="3:9" ht="15.75" customHeight="1">
      <c r="C777" s="2"/>
      <c r="D777" s="2"/>
      <c r="E777" s="3"/>
      <c r="F777" s="4"/>
      <c r="G777" s="4"/>
      <c r="H777" s="3"/>
      <c r="I777" s="21"/>
    </row>
    <row r="778" spans="3:9" ht="15.75" customHeight="1">
      <c r="C778" s="2"/>
      <c r="D778" s="2"/>
      <c r="E778" s="3"/>
      <c r="F778" s="4"/>
      <c r="G778" s="4"/>
      <c r="H778" s="3"/>
      <c r="I778" s="21"/>
    </row>
    <row r="779" spans="3:9" ht="15.75" customHeight="1">
      <c r="C779" s="2"/>
      <c r="D779" s="2"/>
      <c r="E779" s="3"/>
      <c r="F779" s="4"/>
      <c r="G779" s="4"/>
      <c r="H779" s="3"/>
      <c r="I779" s="21"/>
    </row>
    <row r="780" spans="3:9" ht="15.75" customHeight="1">
      <c r="C780" s="2"/>
      <c r="D780" s="2"/>
      <c r="E780" s="3"/>
      <c r="F780" s="4"/>
      <c r="G780" s="4"/>
      <c r="H780" s="3"/>
      <c r="I780" s="21"/>
    </row>
    <row r="781" spans="3:9" ht="15.75" customHeight="1">
      <c r="C781" s="2"/>
      <c r="D781" s="2"/>
      <c r="E781" s="3"/>
      <c r="F781" s="4"/>
      <c r="G781" s="4"/>
      <c r="H781" s="3"/>
      <c r="I781" s="21"/>
    </row>
    <row r="782" spans="3:9" ht="15.75" customHeight="1">
      <c r="C782" s="2"/>
      <c r="D782" s="2"/>
      <c r="E782" s="3"/>
      <c r="F782" s="4"/>
      <c r="G782" s="4"/>
      <c r="H782" s="3"/>
      <c r="I782" s="21"/>
    </row>
    <row r="783" spans="3:9" ht="15.75" customHeight="1">
      <c r="C783" s="2"/>
      <c r="D783" s="2"/>
      <c r="E783" s="3"/>
      <c r="F783" s="4"/>
      <c r="G783" s="4"/>
      <c r="H783" s="3"/>
      <c r="I783" s="21"/>
    </row>
    <row r="784" spans="3:9" ht="15.75" customHeight="1">
      <c r="C784" s="2"/>
      <c r="D784" s="2"/>
      <c r="E784" s="3"/>
      <c r="F784" s="4"/>
      <c r="G784" s="4"/>
      <c r="H784" s="3"/>
      <c r="I784" s="21"/>
    </row>
    <row r="785" spans="3:9" ht="15.75" customHeight="1">
      <c r="C785" s="2"/>
      <c r="D785" s="2"/>
      <c r="E785" s="3"/>
      <c r="F785" s="4"/>
      <c r="G785" s="4"/>
      <c r="H785" s="3"/>
      <c r="I785" s="21"/>
    </row>
    <row r="786" spans="3:9" ht="15.75" customHeight="1">
      <c r="C786" s="2"/>
      <c r="D786" s="2"/>
      <c r="E786" s="3"/>
      <c r="F786" s="4"/>
      <c r="G786" s="4"/>
      <c r="H786" s="3"/>
      <c r="I786" s="21"/>
    </row>
    <row r="787" spans="3:9" ht="15.75" customHeight="1">
      <c r="C787" s="2"/>
      <c r="D787" s="2"/>
      <c r="E787" s="3"/>
      <c r="F787" s="4"/>
      <c r="G787" s="4"/>
      <c r="H787" s="3"/>
      <c r="I787" s="21"/>
    </row>
    <row r="788" spans="3:9" ht="15.75" customHeight="1">
      <c r="C788" s="2"/>
      <c r="D788" s="2"/>
      <c r="E788" s="3"/>
      <c r="F788" s="4"/>
      <c r="G788" s="4"/>
      <c r="H788" s="3"/>
      <c r="I788" s="21"/>
    </row>
    <row r="789" spans="3:9" ht="15.75" customHeight="1">
      <c r="C789" s="2"/>
      <c r="D789" s="2"/>
      <c r="E789" s="3"/>
      <c r="F789" s="4"/>
      <c r="G789" s="4"/>
      <c r="H789" s="3"/>
      <c r="I789" s="21"/>
    </row>
    <row r="790" spans="3:9" ht="15.75" customHeight="1">
      <c r="C790" s="2"/>
      <c r="D790" s="2"/>
      <c r="E790" s="3"/>
      <c r="F790" s="4"/>
      <c r="G790" s="4"/>
      <c r="H790" s="3"/>
      <c r="I790" s="21"/>
    </row>
    <row r="791" spans="3:9" ht="15.75" customHeight="1">
      <c r="C791" s="2"/>
      <c r="D791" s="2"/>
      <c r="E791" s="3"/>
      <c r="F791" s="4"/>
      <c r="G791" s="4"/>
      <c r="H791" s="3"/>
      <c r="I791" s="21"/>
    </row>
    <row r="792" spans="3:9" ht="15.75" customHeight="1">
      <c r="C792" s="2"/>
      <c r="D792" s="2"/>
      <c r="E792" s="3"/>
      <c r="F792" s="4"/>
      <c r="G792" s="4"/>
      <c r="H792" s="3"/>
      <c r="I792" s="21"/>
    </row>
    <row r="793" spans="3:9" ht="15.75" customHeight="1">
      <c r="C793" s="2"/>
      <c r="D793" s="2"/>
      <c r="E793" s="3"/>
      <c r="F793" s="4"/>
      <c r="G793" s="4"/>
      <c r="H793" s="3"/>
      <c r="I793" s="21"/>
    </row>
    <row r="794" spans="3:9" ht="15.75" customHeight="1">
      <c r="C794" s="2"/>
      <c r="D794" s="2"/>
      <c r="E794" s="3"/>
      <c r="F794" s="4"/>
      <c r="G794" s="4"/>
      <c r="H794" s="3"/>
      <c r="I794" s="21"/>
    </row>
    <row r="795" spans="3:9" ht="15.75" customHeight="1">
      <c r="C795" s="2"/>
      <c r="D795" s="2"/>
      <c r="E795" s="3"/>
      <c r="F795" s="4"/>
      <c r="G795" s="4"/>
      <c r="H795" s="3"/>
      <c r="I795" s="21"/>
    </row>
    <row r="796" spans="3:9" ht="15.75" customHeight="1">
      <c r="C796" s="2"/>
      <c r="D796" s="2"/>
      <c r="E796" s="3"/>
      <c r="F796" s="4"/>
      <c r="G796" s="4"/>
      <c r="H796" s="3"/>
      <c r="I796" s="21"/>
    </row>
    <row r="797" spans="3:9" ht="15.75" customHeight="1">
      <c r="C797" s="2"/>
      <c r="D797" s="2"/>
      <c r="E797" s="3"/>
      <c r="F797" s="4"/>
      <c r="G797" s="4"/>
      <c r="H797" s="3"/>
      <c r="I797" s="21"/>
    </row>
    <row r="798" spans="3:9" ht="15.75" customHeight="1">
      <c r="C798" s="2"/>
      <c r="D798" s="2"/>
      <c r="E798" s="3"/>
      <c r="F798" s="4"/>
      <c r="G798" s="4"/>
      <c r="H798" s="3"/>
      <c r="I798" s="21"/>
    </row>
    <row r="799" spans="3:9" ht="15.75" customHeight="1">
      <c r="C799" s="2"/>
      <c r="D799" s="2"/>
      <c r="E799" s="3"/>
      <c r="F799" s="4"/>
      <c r="G799" s="4"/>
      <c r="H799" s="3"/>
      <c r="I799" s="21"/>
    </row>
    <row r="800" spans="3:9" ht="15.75" customHeight="1">
      <c r="C800" s="2"/>
      <c r="D800" s="2"/>
      <c r="E800" s="3"/>
      <c r="F800" s="4"/>
      <c r="G800" s="4"/>
      <c r="H800" s="3"/>
      <c r="I800" s="21"/>
    </row>
    <row r="801" spans="3:9" ht="15.75" customHeight="1">
      <c r="C801" s="2"/>
      <c r="D801" s="2"/>
      <c r="E801" s="3"/>
      <c r="F801" s="4"/>
      <c r="G801" s="4"/>
      <c r="H801" s="3"/>
      <c r="I801" s="21"/>
    </row>
    <row r="802" spans="3:9" ht="15.75" customHeight="1">
      <c r="C802" s="2"/>
      <c r="D802" s="2"/>
      <c r="E802" s="3"/>
      <c r="F802" s="4"/>
      <c r="G802" s="4"/>
      <c r="H802" s="3"/>
      <c r="I802" s="21"/>
    </row>
    <row r="803" spans="3:9" ht="15.75" customHeight="1">
      <c r="C803" s="2"/>
      <c r="D803" s="2"/>
      <c r="E803" s="3"/>
      <c r="F803" s="4"/>
      <c r="G803" s="4"/>
      <c r="H803" s="3"/>
      <c r="I803" s="21"/>
    </row>
    <row r="804" spans="3:9" ht="15.75" customHeight="1">
      <c r="C804" s="2"/>
      <c r="D804" s="2"/>
      <c r="E804" s="3"/>
      <c r="F804" s="4"/>
      <c r="G804" s="4"/>
      <c r="H804" s="3"/>
      <c r="I804" s="21"/>
    </row>
    <row r="805" spans="3:9" ht="15.75" customHeight="1">
      <c r="C805" s="2"/>
      <c r="D805" s="2"/>
      <c r="E805" s="3"/>
      <c r="F805" s="4"/>
      <c r="G805" s="4"/>
      <c r="H805" s="3"/>
      <c r="I805" s="21"/>
    </row>
    <row r="806" spans="3:9" ht="15.75" customHeight="1">
      <c r="C806" s="2"/>
      <c r="D806" s="2"/>
      <c r="E806" s="3"/>
      <c r="F806" s="4"/>
      <c r="G806" s="4"/>
      <c r="H806" s="3"/>
      <c r="I806" s="21"/>
    </row>
    <row r="807" spans="3:9" ht="15.75" customHeight="1">
      <c r="C807" s="2"/>
      <c r="D807" s="2"/>
      <c r="E807" s="3"/>
      <c r="F807" s="4"/>
      <c r="G807" s="4"/>
      <c r="H807" s="3"/>
      <c r="I807" s="21"/>
    </row>
    <row r="808" spans="3:9" ht="15.75" customHeight="1">
      <c r="C808" s="2"/>
      <c r="D808" s="2"/>
      <c r="E808" s="3"/>
      <c r="F808" s="4"/>
      <c r="G808" s="4"/>
      <c r="H808" s="3"/>
      <c r="I808" s="21"/>
    </row>
    <row r="809" spans="3:9" ht="15.75" customHeight="1">
      <c r="C809" s="2"/>
      <c r="D809" s="2"/>
      <c r="E809" s="3"/>
      <c r="F809" s="4"/>
      <c r="G809" s="4"/>
      <c r="H809" s="3"/>
      <c r="I809" s="21"/>
    </row>
    <row r="810" spans="3:9" ht="15.75" customHeight="1">
      <c r="C810" s="2"/>
      <c r="D810" s="2"/>
      <c r="E810" s="3"/>
      <c r="F810" s="4"/>
      <c r="G810" s="4"/>
      <c r="H810" s="3"/>
      <c r="I810" s="21"/>
    </row>
    <row r="811" spans="3:9" ht="15.75" customHeight="1">
      <c r="C811" s="2"/>
      <c r="D811" s="2"/>
      <c r="E811" s="3"/>
      <c r="F811" s="4"/>
      <c r="G811" s="4"/>
      <c r="H811" s="3"/>
      <c r="I811" s="21"/>
    </row>
    <row r="812" spans="3:9" ht="15.75" customHeight="1">
      <c r="C812" s="2"/>
      <c r="D812" s="2"/>
      <c r="E812" s="3"/>
      <c r="F812" s="4"/>
      <c r="G812" s="4"/>
      <c r="H812" s="3"/>
      <c r="I812" s="21"/>
    </row>
    <row r="813" spans="3:9" ht="15.75" customHeight="1">
      <c r="C813" s="2"/>
      <c r="D813" s="2"/>
      <c r="E813" s="3"/>
      <c r="F813" s="4"/>
      <c r="G813" s="4"/>
      <c r="H813" s="3"/>
      <c r="I813" s="21"/>
    </row>
    <row r="814" spans="3:9" ht="15.75" customHeight="1">
      <c r="C814" s="2"/>
      <c r="D814" s="2"/>
      <c r="E814" s="3"/>
      <c r="F814" s="4"/>
      <c r="G814" s="4"/>
      <c r="H814" s="3"/>
      <c r="I814" s="21"/>
    </row>
    <row r="815" spans="3:9" ht="15.75" customHeight="1">
      <c r="C815" s="2"/>
      <c r="D815" s="2"/>
      <c r="E815" s="3"/>
      <c r="F815" s="4"/>
      <c r="G815" s="4"/>
      <c r="H815" s="3"/>
      <c r="I815" s="21"/>
    </row>
    <row r="816" spans="3:9" ht="15.75" customHeight="1">
      <c r="C816" s="2"/>
      <c r="D816" s="2"/>
      <c r="E816" s="3"/>
      <c r="F816" s="4"/>
      <c r="G816" s="4"/>
      <c r="H816" s="3"/>
      <c r="I816" s="21"/>
    </row>
    <row r="817" spans="3:9" ht="15.75" customHeight="1">
      <c r="C817" s="2"/>
      <c r="D817" s="2"/>
      <c r="E817" s="3"/>
      <c r="F817" s="4"/>
      <c r="G817" s="4"/>
      <c r="H817" s="3"/>
      <c r="I817" s="21"/>
    </row>
    <row r="818" spans="3:9" ht="15.75" customHeight="1">
      <c r="C818" s="2"/>
      <c r="D818" s="2"/>
      <c r="E818" s="3"/>
      <c r="F818" s="4"/>
      <c r="G818" s="4"/>
      <c r="H818" s="3"/>
      <c r="I818" s="21"/>
    </row>
    <row r="819" spans="3:9" ht="15.75" customHeight="1">
      <c r="C819" s="2"/>
      <c r="D819" s="2"/>
      <c r="E819" s="3"/>
      <c r="F819" s="4"/>
      <c r="G819" s="4"/>
      <c r="H819" s="3"/>
      <c r="I819" s="21"/>
    </row>
    <row r="820" spans="3:9" ht="15.75" customHeight="1">
      <c r="C820" s="2"/>
      <c r="D820" s="2"/>
      <c r="E820" s="3"/>
      <c r="F820" s="4"/>
      <c r="G820" s="4"/>
      <c r="H820" s="3"/>
      <c r="I820" s="21"/>
    </row>
    <row r="821" spans="3:9" ht="15.75" customHeight="1">
      <c r="C821" s="2"/>
      <c r="D821" s="2"/>
      <c r="E821" s="3"/>
      <c r="F821" s="4"/>
      <c r="G821" s="4"/>
      <c r="H821" s="3"/>
      <c r="I821" s="21"/>
    </row>
    <row r="822" spans="3:9" ht="15.75" customHeight="1">
      <c r="C822" s="2"/>
      <c r="D822" s="2"/>
      <c r="E822" s="3"/>
      <c r="F822" s="4"/>
      <c r="G822" s="4"/>
      <c r="H822" s="3"/>
      <c r="I822" s="21"/>
    </row>
    <row r="823" spans="3:9" ht="15.75" customHeight="1">
      <c r="C823" s="2"/>
      <c r="D823" s="2"/>
      <c r="E823" s="3"/>
      <c r="F823" s="4"/>
      <c r="G823" s="4"/>
      <c r="H823" s="3"/>
      <c r="I823" s="21"/>
    </row>
    <row r="824" spans="3:9" ht="15.75" customHeight="1">
      <c r="C824" s="2"/>
      <c r="D824" s="2"/>
      <c r="E824" s="3"/>
      <c r="F824" s="4"/>
      <c r="G824" s="4"/>
      <c r="H824" s="3"/>
      <c r="I824" s="21"/>
    </row>
    <row r="825" spans="3:9" ht="15.75" customHeight="1">
      <c r="C825" s="2"/>
      <c r="D825" s="2"/>
      <c r="E825" s="3"/>
      <c r="F825" s="4"/>
      <c r="G825" s="4"/>
      <c r="H825" s="3"/>
      <c r="I825" s="21"/>
    </row>
    <row r="826" spans="3:9" ht="15.75" customHeight="1">
      <c r="C826" s="2"/>
      <c r="D826" s="2"/>
      <c r="E826" s="3"/>
      <c r="F826" s="4"/>
      <c r="G826" s="4"/>
      <c r="H826" s="3"/>
      <c r="I826" s="21"/>
    </row>
    <row r="827" spans="3:9" ht="15.75" customHeight="1">
      <c r="C827" s="2"/>
      <c r="D827" s="2"/>
      <c r="E827" s="3"/>
      <c r="F827" s="4"/>
      <c r="G827" s="4"/>
      <c r="H827" s="3"/>
      <c r="I827" s="21"/>
    </row>
    <row r="828" spans="3:9" ht="15.75" customHeight="1">
      <c r="C828" s="2"/>
      <c r="D828" s="2"/>
      <c r="E828" s="3"/>
      <c r="F828" s="4"/>
      <c r="G828" s="4"/>
      <c r="H828" s="3"/>
      <c r="I828" s="21"/>
    </row>
    <row r="829" spans="3:9" ht="15.75" customHeight="1">
      <c r="C829" s="2"/>
      <c r="D829" s="2"/>
      <c r="E829" s="3"/>
      <c r="F829" s="4"/>
      <c r="G829" s="4"/>
      <c r="H829" s="3"/>
      <c r="I829" s="21"/>
    </row>
    <row r="830" spans="3:9" ht="15.75" customHeight="1">
      <c r="C830" s="2"/>
      <c r="D830" s="2"/>
      <c r="E830" s="3"/>
      <c r="F830" s="4"/>
      <c r="G830" s="4"/>
      <c r="H830" s="3"/>
      <c r="I830" s="21"/>
    </row>
    <row r="831" spans="3:9" ht="15.75" customHeight="1">
      <c r="C831" s="2"/>
      <c r="D831" s="2"/>
      <c r="E831" s="3"/>
      <c r="F831" s="4"/>
      <c r="G831" s="4"/>
      <c r="H831" s="3"/>
      <c r="I831" s="21"/>
    </row>
    <row r="832" spans="3:9" ht="15.75" customHeight="1">
      <c r="C832" s="2"/>
      <c r="D832" s="2"/>
      <c r="E832" s="3"/>
      <c r="F832" s="4"/>
      <c r="G832" s="4"/>
      <c r="H832" s="3"/>
      <c r="I832" s="21"/>
    </row>
    <row r="833" spans="3:9" ht="15.75" customHeight="1">
      <c r="C833" s="2"/>
      <c r="D833" s="2"/>
      <c r="E833" s="3"/>
      <c r="F833" s="4"/>
      <c r="G833" s="4"/>
      <c r="H833" s="3"/>
      <c r="I833" s="21"/>
    </row>
    <row r="834" spans="3:9" ht="15.75" customHeight="1">
      <c r="C834" s="2"/>
      <c r="D834" s="2"/>
      <c r="E834" s="3"/>
      <c r="F834" s="4"/>
      <c r="G834" s="4"/>
      <c r="H834" s="3"/>
      <c r="I834" s="21"/>
    </row>
    <row r="835" spans="3:9" ht="15.75" customHeight="1">
      <c r="C835" s="2"/>
      <c r="D835" s="2"/>
      <c r="E835" s="3"/>
      <c r="F835" s="4"/>
      <c r="G835" s="4"/>
      <c r="H835" s="3"/>
      <c r="I835" s="21"/>
    </row>
    <row r="836" spans="3:9" ht="15.75" customHeight="1">
      <c r="C836" s="2"/>
      <c r="D836" s="2"/>
      <c r="E836" s="3"/>
      <c r="F836" s="4"/>
      <c r="G836" s="4"/>
      <c r="H836" s="3"/>
      <c r="I836" s="21"/>
    </row>
    <row r="837" spans="3:9" ht="15.75" customHeight="1">
      <c r="C837" s="2"/>
      <c r="D837" s="2"/>
      <c r="E837" s="3"/>
      <c r="F837" s="4"/>
      <c r="G837" s="4"/>
      <c r="H837" s="3"/>
      <c r="I837" s="21"/>
    </row>
    <row r="838" spans="3:9" ht="15.75" customHeight="1">
      <c r="C838" s="2"/>
      <c r="D838" s="2"/>
      <c r="E838" s="3"/>
      <c r="F838" s="4"/>
      <c r="G838" s="4"/>
      <c r="H838" s="3"/>
      <c r="I838" s="21"/>
    </row>
    <row r="839" spans="3:9" ht="15.75" customHeight="1">
      <c r="C839" s="2"/>
      <c r="D839" s="2"/>
      <c r="E839" s="3"/>
      <c r="F839" s="4"/>
      <c r="G839" s="4"/>
      <c r="H839" s="3"/>
      <c r="I839" s="21"/>
    </row>
    <row r="840" spans="3:9" ht="15.75" customHeight="1">
      <c r="C840" s="2"/>
      <c r="D840" s="2"/>
      <c r="E840" s="3"/>
      <c r="F840" s="4"/>
      <c r="G840" s="4"/>
      <c r="H840" s="3"/>
      <c r="I840" s="21"/>
    </row>
    <row r="841" spans="3:9" ht="15.75" customHeight="1">
      <c r="C841" s="2"/>
      <c r="D841" s="2"/>
      <c r="E841" s="3"/>
      <c r="F841" s="4"/>
      <c r="G841" s="4"/>
      <c r="H841" s="3"/>
      <c r="I841" s="21"/>
    </row>
    <row r="842" spans="3:9" ht="15.75" customHeight="1">
      <c r="C842" s="2"/>
      <c r="D842" s="2"/>
      <c r="E842" s="3"/>
      <c r="F842" s="4"/>
      <c r="G842" s="4"/>
      <c r="H842" s="3"/>
      <c r="I842" s="21"/>
    </row>
    <row r="843" spans="3:9" ht="15.75" customHeight="1">
      <c r="C843" s="2"/>
      <c r="D843" s="2"/>
      <c r="E843" s="3"/>
      <c r="F843" s="4"/>
      <c r="G843" s="4"/>
      <c r="H843" s="3"/>
      <c r="I843" s="21"/>
    </row>
    <row r="844" spans="3:9" ht="15.75" customHeight="1">
      <c r="C844" s="2"/>
      <c r="D844" s="2"/>
      <c r="E844" s="3"/>
      <c r="F844" s="4"/>
      <c r="G844" s="4"/>
      <c r="H844" s="3"/>
      <c r="I844" s="21"/>
    </row>
    <row r="845" spans="3:9" ht="15.75" customHeight="1">
      <c r="C845" s="2"/>
      <c r="D845" s="2"/>
      <c r="E845" s="3"/>
      <c r="F845" s="4"/>
      <c r="G845" s="4"/>
      <c r="H845" s="3"/>
      <c r="I845" s="21"/>
    </row>
    <row r="846" spans="3:9" ht="15.75" customHeight="1">
      <c r="C846" s="2"/>
      <c r="D846" s="2"/>
      <c r="E846" s="3"/>
      <c r="F846" s="4"/>
      <c r="G846" s="4"/>
      <c r="H846" s="3"/>
      <c r="I846" s="21"/>
    </row>
    <row r="847" spans="3:9" ht="15.75" customHeight="1">
      <c r="C847" s="2"/>
      <c r="D847" s="2"/>
      <c r="E847" s="3"/>
      <c r="F847" s="4"/>
      <c r="G847" s="4"/>
      <c r="H847" s="3"/>
      <c r="I847" s="21"/>
    </row>
    <row r="848" spans="3:9" ht="15.75" customHeight="1">
      <c r="C848" s="2"/>
      <c r="D848" s="2"/>
      <c r="E848" s="3"/>
      <c r="F848" s="4"/>
      <c r="G848" s="4"/>
      <c r="H848" s="3"/>
      <c r="I848" s="21"/>
    </row>
    <row r="849" spans="3:9" ht="15.75" customHeight="1">
      <c r="C849" s="2"/>
      <c r="D849" s="2"/>
      <c r="E849" s="3"/>
      <c r="F849" s="4"/>
      <c r="G849" s="4"/>
      <c r="H849" s="3"/>
      <c r="I849" s="21"/>
    </row>
    <row r="850" spans="3:9" ht="15.75" customHeight="1">
      <c r="C850" s="2"/>
      <c r="D850" s="2"/>
      <c r="E850" s="3"/>
      <c r="F850" s="4"/>
      <c r="G850" s="4"/>
      <c r="H850" s="3"/>
      <c r="I850" s="21"/>
    </row>
    <row r="851" spans="3:9" ht="15.75" customHeight="1">
      <c r="C851" s="2"/>
      <c r="D851" s="2"/>
      <c r="E851" s="3"/>
      <c r="F851" s="4"/>
      <c r="G851" s="4"/>
      <c r="H851" s="3"/>
      <c r="I851" s="21"/>
    </row>
    <row r="852" spans="3:9" ht="15.75" customHeight="1">
      <c r="C852" s="2"/>
      <c r="D852" s="2"/>
      <c r="E852" s="3"/>
      <c r="F852" s="4"/>
      <c r="G852" s="4"/>
      <c r="H852" s="3"/>
      <c r="I852" s="21"/>
    </row>
    <row r="853" spans="3:9" ht="15.75" customHeight="1">
      <c r="C853" s="2"/>
      <c r="D853" s="2"/>
      <c r="E853" s="3"/>
      <c r="F853" s="4"/>
      <c r="G853" s="4"/>
      <c r="H853" s="3"/>
      <c r="I853" s="21"/>
    </row>
    <row r="854" spans="3:9" ht="15.75" customHeight="1">
      <c r="C854" s="2"/>
      <c r="D854" s="2"/>
      <c r="E854" s="3"/>
      <c r="F854" s="4"/>
      <c r="G854" s="4"/>
      <c r="H854" s="3"/>
      <c r="I854" s="21"/>
    </row>
    <row r="855" spans="3:9" ht="15.75" customHeight="1">
      <c r="C855" s="2"/>
      <c r="D855" s="2"/>
      <c r="E855" s="3"/>
      <c r="F855" s="4"/>
      <c r="G855" s="4"/>
      <c r="H855" s="3"/>
      <c r="I855" s="21"/>
    </row>
    <row r="856" spans="3:9" ht="15.75" customHeight="1">
      <c r="C856" s="2"/>
      <c r="D856" s="2"/>
      <c r="E856" s="3"/>
      <c r="F856" s="4"/>
      <c r="G856" s="4"/>
      <c r="H856" s="3"/>
      <c r="I856" s="21"/>
    </row>
    <row r="857" spans="3:9" ht="15.75" customHeight="1">
      <c r="C857" s="2"/>
      <c r="D857" s="2"/>
      <c r="E857" s="3"/>
      <c r="F857" s="4"/>
      <c r="G857" s="4"/>
      <c r="H857" s="3"/>
      <c r="I857" s="21"/>
    </row>
    <row r="858" spans="3:9" ht="15.75" customHeight="1">
      <c r="C858" s="2"/>
      <c r="D858" s="2"/>
      <c r="E858" s="3"/>
      <c r="F858" s="4"/>
      <c r="G858" s="4"/>
      <c r="H858" s="3"/>
      <c r="I858" s="21"/>
    </row>
    <row r="859" spans="3:9" ht="15.75" customHeight="1">
      <c r="C859" s="2"/>
      <c r="D859" s="2"/>
      <c r="E859" s="3"/>
      <c r="F859" s="4"/>
      <c r="G859" s="4"/>
      <c r="H859" s="3"/>
      <c r="I859" s="21"/>
    </row>
    <row r="860" spans="3:9" ht="15.75" customHeight="1">
      <c r="C860" s="2"/>
      <c r="D860" s="2"/>
      <c r="E860" s="3"/>
      <c r="F860" s="4"/>
      <c r="G860" s="4"/>
      <c r="H860" s="3"/>
      <c r="I860" s="21"/>
    </row>
    <row r="861" spans="3:9" ht="15.75" customHeight="1">
      <c r="C861" s="2"/>
      <c r="D861" s="2"/>
      <c r="E861" s="3"/>
      <c r="F861" s="4"/>
      <c r="G861" s="4"/>
      <c r="H861" s="3"/>
      <c r="I861" s="21"/>
    </row>
    <row r="862" spans="3:9" ht="15.75" customHeight="1">
      <c r="C862" s="2"/>
      <c r="D862" s="2"/>
      <c r="E862" s="3"/>
      <c r="F862" s="4"/>
      <c r="G862" s="4"/>
      <c r="H862" s="3"/>
      <c r="I862" s="21"/>
    </row>
    <row r="863" spans="3:9" ht="15.75" customHeight="1">
      <c r="C863" s="2"/>
      <c r="D863" s="2"/>
      <c r="E863" s="3"/>
      <c r="F863" s="4"/>
      <c r="G863" s="4"/>
      <c r="H863" s="3"/>
      <c r="I863" s="21"/>
    </row>
    <row r="864" spans="3:9" ht="15.75" customHeight="1">
      <c r="C864" s="2"/>
      <c r="D864" s="2"/>
      <c r="E864" s="3"/>
      <c r="F864" s="4"/>
      <c r="G864" s="4"/>
      <c r="H864" s="3"/>
      <c r="I864" s="21"/>
    </row>
    <row r="865" spans="3:9" ht="15.75" customHeight="1">
      <c r="C865" s="2"/>
      <c r="D865" s="2"/>
      <c r="E865" s="3"/>
      <c r="F865" s="4"/>
      <c r="G865" s="4"/>
      <c r="H865" s="3"/>
      <c r="I865" s="21"/>
    </row>
    <row r="866" spans="3:9" ht="15.75" customHeight="1">
      <c r="C866" s="2"/>
      <c r="D866" s="2"/>
      <c r="E866" s="3"/>
      <c r="F866" s="4"/>
      <c r="G866" s="4"/>
      <c r="H866" s="3"/>
      <c r="I866" s="21"/>
    </row>
    <row r="867" spans="3:9" ht="15.75" customHeight="1">
      <c r="C867" s="2"/>
      <c r="D867" s="2"/>
      <c r="E867" s="3"/>
      <c r="F867" s="4"/>
      <c r="G867" s="4"/>
      <c r="H867" s="3"/>
      <c r="I867" s="21"/>
    </row>
    <row r="868" spans="3:9" ht="15.75" customHeight="1">
      <c r="C868" s="2"/>
      <c r="D868" s="2"/>
      <c r="E868" s="3"/>
      <c r="F868" s="4"/>
      <c r="G868" s="4"/>
      <c r="H868" s="3"/>
      <c r="I868" s="21"/>
    </row>
    <row r="869" spans="3:9" ht="15.75" customHeight="1">
      <c r="C869" s="2"/>
      <c r="D869" s="2"/>
      <c r="E869" s="3"/>
      <c r="F869" s="4"/>
      <c r="G869" s="4"/>
      <c r="H869" s="3"/>
      <c r="I869" s="21"/>
    </row>
    <row r="870" spans="3:9" ht="15.75" customHeight="1">
      <c r="C870" s="2"/>
      <c r="D870" s="2"/>
      <c r="E870" s="3"/>
      <c r="F870" s="4"/>
      <c r="G870" s="4"/>
      <c r="H870" s="3"/>
      <c r="I870" s="21"/>
    </row>
    <row r="871" spans="3:9" ht="15.75" customHeight="1">
      <c r="C871" s="2"/>
      <c r="D871" s="2"/>
      <c r="E871" s="3"/>
      <c r="F871" s="4"/>
      <c r="G871" s="4"/>
      <c r="H871" s="3"/>
      <c r="I871" s="21"/>
    </row>
    <row r="872" spans="3:9" ht="15.75" customHeight="1">
      <c r="C872" s="2"/>
      <c r="D872" s="2"/>
      <c r="E872" s="3"/>
      <c r="F872" s="4"/>
      <c r="G872" s="4"/>
      <c r="H872" s="3"/>
      <c r="I872" s="21"/>
    </row>
    <row r="873" spans="3:9" ht="15.75" customHeight="1">
      <c r="C873" s="2"/>
      <c r="D873" s="2"/>
      <c r="E873" s="3"/>
      <c r="F873" s="4"/>
      <c r="G873" s="4"/>
      <c r="H873" s="3"/>
      <c r="I873" s="21"/>
    </row>
    <row r="874" spans="3:9" ht="15.75" customHeight="1">
      <c r="C874" s="2"/>
      <c r="D874" s="2"/>
      <c r="E874" s="3"/>
      <c r="F874" s="4"/>
      <c r="G874" s="4"/>
      <c r="H874" s="3"/>
      <c r="I874" s="21"/>
    </row>
    <row r="875" spans="3:9" ht="15.75" customHeight="1">
      <c r="C875" s="2"/>
      <c r="D875" s="2"/>
      <c r="E875" s="3"/>
      <c r="F875" s="4"/>
      <c r="G875" s="4"/>
      <c r="H875" s="3"/>
      <c r="I875" s="21"/>
    </row>
    <row r="876" spans="3:9" ht="15.75" customHeight="1">
      <c r="C876" s="2"/>
      <c r="D876" s="2"/>
      <c r="E876" s="3"/>
      <c r="F876" s="4"/>
      <c r="G876" s="4"/>
      <c r="H876" s="3"/>
      <c r="I876" s="21"/>
    </row>
    <row r="877" spans="3:9" ht="15.75" customHeight="1">
      <c r="C877" s="2"/>
      <c r="D877" s="2"/>
      <c r="E877" s="3"/>
      <c r="F877" s="4"/>
      <c r="G877" s="4"/>
      <c r="H877" s="3"/>
      <c r="I877" s="21"/>
    </row>
    <row r="878" spans="3:9" ht="15.75" customHeight="1">
      <c r="C878" s="2"/>
      <c r="D878" s="2"/>
      <c r="E878" s="3"/>
      <c r="F878" s="4"/>
      <c r="G878" s="4"/>
      <c r="H878" s="3"/>
      <c r="I878" s="21"/>
    </row>
    <row r="879" spans="3:9" ht="15.75" customHeight="1">
      <c r="C879" s="2"/>
      <c r="D879" s="2"/>
      <c r="E879" s="3"/>
      <c r="F879" s="4"/>
      <c r="G879" s="4"/>
      <c r="H879" s="3"/>
      <c r="I879" s="21"/>
    </row>
    <row r="880" spans="3:9" ht="15.75" customHeight="1">
      <c r="C880" s="2"/>
      <c r="D880" s="2"/>
      <c r="E880" s="3"/>
      <c r="F880" s="4"/>
      <c r="G880" s="4"/>
      <c r="H880" s="3"/>
      <c r="I880" s="21"/>
    </row>
    <row r="881" spans="3:9" ht="15.75" customHeight="1">
      <c r="C881" s="2"/>
      <c r="D881" s="2"/>
      <c r="E881" s="3"/>
      <c r="F881" s="4"/>
      <c r="G881" s="4"/>
      <c r="H881" s="3"/>
      <c r="I881" s="21"/>
    </row>
    <row r="882" spans="3:9" ht="15.75" customHeight="1">
      <c r="C882" s="2"/>
      <c r="D882" s="2"/>
      <c r="E882" s="3"/>
      <c r="F882" s="4"/>
      <c r="G882" s="4"/>
      <c r="H882" s="3"/>
      <c r="I882" s="21"/>
    </row>
    <row r="883" spans="3:9" ht="15.75" customHeight="1">
      <c r="C883" s="2"/>
      <c r="D883" s="2"/>
      <c r="E883" s="3"/>
      <c r="F883" s="4"/>
      <c r="G883" s="4"/>
      <c r="H883" s="3"/>
      <c r="I883" s="21"/>
    </row>
    <row r="884" spans="3:9" ht="15.75" customHeight="1">
      <c r="C884" s="2"/>
      <c r="D884" s="2"/>
      <c r="E884" s="3"/>
      <c r="F884" s="4"/>
      <c r="G884" s="4"/>
      <c r="H884" s="3"/>
      <c r="I884" s="21"/>
    </row>
    <row r="885" spans="3:9" ht="15.75" customHeight="1">
      <c r="C885" s="2"/>
      <c r="D885" s="2"/>
      <c r="E885" s="3"/>
      <c r="F885" s="4"/>
      <c r="G885" s="4"/>
      <c r="H885" s="3"/>
      <c r="I885" s="21"/>
    </row>
    <row r="886" spans="3:9" ht="15.75" customHeight="1">
      <c r="C886" s="2"/>
      <c r="D886" s="2"/>
      <c r="E886" s="3"/>
      <c r="F886" s="4"/>
      <c r="G886" s="4"/>
      <c r="H886" s="3"/>
      <c r="I886" s="21"/>
    </row>
    <row r="887" spans="3:9" ht="15.75" customHeight="1">
      <c r="C887" s="2"/>
      <c r="D887" s="2"/>
      <c r="E887" s="3"/>
      <c r="F887" s="4"/>
      <c r="G887" s="4"/>
      <c r="H887" s="3"/>
      <c r="I887" s="21"/>
    </row>
    <row r="888" spans="3:9" ht="15.75" customHeight="1">
      <c r="C888" s="2"/>
      <c r="D888" s="2"/>
      <c r="E888" s="3"/>
      <c r="F888" s="4"/>
      <c r="G888" s="4"/>
      <c r="H888" s="3"/>
      <c r="I888" s="21"/>
    </row>
    <row r="889" spans="3:9" ht="15.75" customHeight="1">
      <c r="C889" s="2"/>
      <c r="D889" s="2"/>
      <c r="E889" s="3"/>
      <c r="F889" s="4"/>
      <c r="G889" s="4"/>
      <c r="H889" s="3"/>
      <c r="I889" s="21"/>
    </row>
    <row r="890" spans="3:9" ht="15.75" customHeight="1">
      <c r="C890" s="2"/>
      <c r="D890" s="2"/>
      <c r="E890" s="3"/>
      <c r="F890" s="4"/>
      <c r="G890" s="4"/>
      <c r="H890" s="3"/>
      <c r="I890" s="21"/>
    </row>
    <row r="891" spans="3:9" ht="15.75" customHeight="1">
      <c r="C891" s="2"/>
      <c r="D891" s="2"/>
      <c r="E891" s="3"/>
      <c r="F891" s="4"/>
      <c r="G891" s="4"/>
      <c r="H891" s="3"/>
      <c r="I891" s="21"/>
    </row>
    <row r="892" spans="3:9" ht="15.75" customHeight="1">
      <c r="C892" s="2"/>
      <c r="D892" s="2"/>
      <c r="E892" s="3"/>
      <c r="F892" s="4"/>
      <c r="G892" s="4"/>
      <c r="H892" s="3"/>
      <c r="I892" s="21"/>
    </row>
    <row r="893" spans="3:9" ht="15.75" customHeight="1">
      <c r="C893" s="2"/>
      <c r="D893" s="2"/>
      <c r="E893" s="3"/>
      <c r="F893" s="4"/>
      <c r="G893" s="4"/>
      <c r="H893" s="3"/>
      <c r="I893" s="21"/>
    </row>
    <row r="894" spans="3:9" ht="15.75" customHeight="1">
      <c r="C894" s="2"/>
      <c r="D894" s="2"/>
      <c r="E894" s="3"/>
      <c r="F894" s="4"/>
      <c r="G894" s="4"/>
      <c r="H894" s="3"/>
      <c r="I894" s="21"/>
    </row>
    <row r="895" spans="3:9" ht="15.75" customHeight="1">
      <c r="C895" s="2"/>
      <c r="D895" s="2"/>
      <c r="E895" s="3"/>
      <c r="F895" s="4"/>
      <c r="G895" s="4"/>
      <c r="H895" s="3"/>
      <c r="I895" s="21"/>
    </row>
    <row r="896" spans="3:9" ht="15.75" customHeight="1">
      <c r="C896" s="2"/>
      <c r="D896" s="2"/>
      <c r="E896" s="3"/>
      <c r="F896" s="4"/>
      <c r="G896" s="4"/>
      <c r="H896" s="3"/>
      <c r="I896" s="21"/>
    </row>
    <row r="897" spans="3:9" ht="15.75" customHeight="1">
      <c r="C897" s="2"/>
      <c r="D897" s="2"/>
      <c r="E897" s="3"/>
      <c r="F897" s="4"/>
      <c r="G897" s="4"/>
      <c r="H897" s="3"/>
      <c r="I897" s="21"/>
    </row>
    <row r="898" spans="3:9" ht="15.75" customHeight="1">
      <c r="C898" s="2"/>
      <c r="D898" s="2"/>
      <c r="E898" s="3"/>
      <c r="F898" s="4"/>
      <c r="G898" s="4"/>
      <c r="H898" s="3"/>
      <c r="I898" s="21"/>
    </row>
    <row r="899" spans="3:9" ht="15.75" customHeight="1">
      <c r="C899" s="2"/>
      <c r="D899" s="2"/>
      <c r="E899" s="3"/>
      <c r="F899" s="4"/>
      <c r="G899" s="4"/>
      <c r="H899" s="3"/>
      <c r="I899" s="21"/>
    </row>
    <row r="900" spans="3:9" ht="15.75" customHeight="1">
      <c r="C900" s="2"/>
      <c r="D900" s="2"/>
      <c r="E900" s="3"/>
      <c r="F900" s="4"/>
      <c r="G900" s="4"/>
      <c r="H900" s="3"/>
      <c r="I900" s="21"/>
    </row>
    <row r="901" spans="3:9" ht="15.75" customHeight="1">
      <c r="C901" s="2"/>
      <c r="D901" s="2"/>
      <c r="E901" s="3"/>
      <c r="F901" s="4"/>
      <c r="G901" s="4"/>
      <c r="H901" s="3"/>
      <c r="I901" s="21"/>
    </row>
    <row r="902" spans="3:9" ht="15.75" customHeight="1">
      <c r="C902" s="2"/>
      <c r="D902" s="2"/>
      <c r="E902" s="3"/>
      <c r="F902" s="4"/>
      <c r="G902" s="4"/>
      <c r="H902" s="3"/>
      <c r="I902" s="21"/>
    </row>
    <row r="903" spans="3:9" ht="15.75" customHeight="1">
      <c r="C903" s="2"/>
      <c r="D903" s="2"/>
      <c r="E903" s="3"/>
      <c r="F903" s="4"/>
      <c r="G903" s="4"/>
      <c r="H903" s="3"/>
      <c r="I903" s="21"/>
    </row>
    <row r="904" spans="3:9" ht="15.75" customHeight="1">
      <c r="C904" s="2"/>
      <c r="D904" s="2"/>
      <c r="E904" s="3"/>
      <c r="F904" s="4"/>
      <c r="G904" s="4"/>
      <c r="H904" s="3"/>
      <c r="I904" s="21"/>
    </row>
    <row r="905" spans="3:9" ht="15.75" customHeight="1">
      <c r="C905" s="2"/>
      <c r="D905" s="2"/>
      <c r="E905" s="3"/>
      <c r="F905" s="4"/>
      <c r="G905" s="4"/>
      <c r="H905" s="3"/>
      <c r="I905" s="21"/>
    </row>
    <row r="906" spans="3:9" ht="15.75" customHeight="1">
      <c r="C906" s="2"/>
      <c r="D906" s="2"/>
      <c r="E906" s="3"/>
      <c r="F906" s="4"/>
      <c r="G906" s="4"/>
      <c r="H906" s="3"/>
      <c r="I906" s="21"/>
    </row>
    <row r="907" spans="3:9" ht="15.75" customHeight="1">
      <c r="C907" s="2"/>
      <c r="D907" s="2"/>
      <c r="E907" s="3"/>
      <c r="F907" s="4"/>
      <c r="G907" s="4"/>
      <c r="H907" s="3"/>
      <c r="I907" s="21"/>
    </row>
    <row r="908" spans="3:9" ht="15.75" customHeight="1">
      <c r="C908" s="2"/>
      <c r="D908" s="2"/>
      <c r="E908" s="3"/>
      <c r="F908" s="4"/>
      <c r="G908" s="4"/>
      <c r="H908" s="3"/>
      <c r="I908" s="21"/>
    </row>
    <row r="909" spans="3:9" ht="15.75" customHeight="1">
      <c r="C909" s="2"/>
      <c r="D909" s="2"/>
      <c r="E909" s="3"/>
      <c r="F909" s="4"/>
      <c r="G909" s="4"/>
      <c r="H909" s="3"/>
      <c r="I909" s="21"/>
    </row>
    <row r="910" spans="3:9" ht="15.75" customHeight="1">
      <c r="C910" s="2"/>
      <c r="D910" s="2"/>
      <c r="E910" s="3"/>
      <c r="F910" s="4"/>
      <c r="G910" s="4"/>
      <c r="H910" s="3"/>
      <c r="I910" s="21"/>
    </row>
    <row r="911" spans="3:9" ht="15.75" customHeight="1">
      <c r="C911" s="2"/>
      <c r="D911" s="2"/>
      <c r="E911" s="3"/>
      <c r="F911" s="4"/>
      <c r="G911" s="4"/>
      <c r="H911" s="3"/>
      <c r="I911" s="21"/>
    </row>
    <row r="912" spans="3:9" ht="15.75" customHeight="1">
      <c r="C912" s="2"/>
      <c r="D912" s="2"/>
      <c r="E912" s="3"/>
      <c r="F912" s="4"/>
      <c r="G912" s="4"/>
      <c r="H912" s="3"/>
      <c r="I912" s="21"/>
    </row>
    <row r="913" spans="3:9" ht="15.75" customHeight="1">
      <c r="C913" s="2"/>
      <c r="D913" s="2"/>
      <c r="E913" s="3"/>
      <c r="F913" s="4"/>
      <c r="G913" s="4"/>
      <c r="H913" s="3"/>
      <c r="I913" s="21"/>
    </row>
    <row r="914" spans="3:9" ht="15.75" customHeight="1">
      <c r="C914" s="2"/>
      <c r="D914" s="2"/>
      <c r="E914" s="3"/>
      <c r="F914" s="4"/>
      <c r="G914" s="4"/>
      <c r="H914" s="3"/>
      <c r="I914" s="21"/>
    </row>
    <row r="915" spans="3:9" ht="15.75" customHeight="1">
      <c r="C915" s="2"/>
      <c r="D915" s="2"/>
      <c r="E915" s="3"/>
      <c r="F915" s="4"/>
      <c r="G915" s="4"/>
      <c r="H915" s="3"/>
      <c r="I915" s="21"/>
    </row>
    <row r="916" spans="3:9" ht="15.75" customHeight="1">
      <c r="C916" s="2"/>
      <c r="D916" s="2"/>
      <c r="E916" s="3"/>
      <c r="F916" s="4"/>
      <c r="G916" s="4"/>
      <c r="H916" s="3"/>
      <c r="I916" s="21"/>
    </row>
    <row r="917" spans="3:9" ht="15.75" customHeight="1">
      <c r="C917" s="2"/>
      <c r="D917" s="2"/>
      <c r="E917" s="3"/>
      <c r="F917" s="4"/>
      <c r="G917" s="4"/>
      <c r="H917" s="3"/>
      <c r="I917" s="21"/>
    </row>
    <row r="918" spans="3:9" ht="15.75" customHeight="1">
      <c r="C918" s="2"/>
      <c r="D918" s="2"/>
      <c r="E918" s="3"/>
      <c r="F918" s="4"/>
      <c r="G918" s="4"/>
      <c r="H918" s="3"/>
      <c r="I918" s="21"/>
    </row>
    <row r="919" spans="3:9" ht="15.75" customHeight="1">
      <c r="C919" s="2"/>
      <c r="D919" s="2"/>
      <c r="E919" s="3"/>
      <c r="F919" s="4"/>
      <c r="G919" s="4"/>
      <c r="H919" s="3"/>
      <c r="I919" s="21"/>
    </row>
    <row r="920" spans="3:9" ht="15.75" customHeight="1">
      <c r="C920" s="2"/>
      <c r="D920" s="2"/>
      <c r="E920" s="3"/>
      <c r="F920" s="4"/>
      <c r="G920" s="4"/>
      <c r="H920" s="3"/>
      <c r="I920" s="21"/>
    </row>
    <row r="921" spans="3:9" ht="15.75" customHeight="1">
      <c r="C921" s="2"/>
      <c r="D921" s="2"/>
      <c r="E921" s="3"/>
      <c r="F921" s="4"/>
      <c r="G921" s="4"/>
      <c r="H921" s="3"/>
      <c r="I921" s="21"/>
    </row>
    <row r="922" spans="3:9" ht="15.75" customHeight="1">
      <c r="C922" s="2"/>
      <c r="D922" s="2"/>
      <c r="E922" s="3"/>
      <c r="F922" s="4"/>
      <c r="G922" s="4"/>
      <c r="H922" s="3"/>
      <c r="I922" s="21"/>
    </row>
    <row r="923" spans="3:9" ht="15.75" customHeight="1">
      <c r="C923" s="2"/>
      <c r="D923" s="2"/>
      <c r="E923" s="3"/>
      <c r="F923" s="4"/>
      <c r="G923" s="4"/>
      <c r="H923" s="3"/>
      <c r="I923" s="21"/>
    </row>
    <row r="924" spans="3:9" ht="15.75" customHeight="1">
      <c r="C924" s="2"/>
      <c r="D924" s="2"/>
      <c r="E924" s="3"/>
      <c r="F924" s="4"/>
      <c r="G924" s="4"/>
      <c r="H924" s="3"/>
      <c r="I924" s="21"/>
    </row>
    <row r="925" spans="3:9" ht="15.75" customHeight="1">
      <c r="C925" s="2"/>
      <c r="D925" s="2"/>
      <c r="E925" s="3"/>
      <c r="F925" s="4"/>
      <c r="G925" s="4"/>
      <c r="H925" s="3"/>
      <c r="I925" s="21"/>
    </row>
    <row r="926" spans="3:9" ht="15.75" customHeight="1">
      <c r="C926" s="2"/>
      <c r="D926" s="2"/>
      <c r="E926" s="3"/>
      <c r="F926" s="4"/>
      <c r="G926" s="4"/>
      <c r="H926" s="3"/>
      <c r="I926" s="21"/>
    </row>
    <row r="927" spans="3:9" ht="15.75" customHeight="1">
      <c r="C927" s="2"/>
      <c r="D927" s="2"/>
      <c r="E927" s="3"/>
      <c r="F927" s="4"/>
      <c r="G927" s="4"/>
      <c r="H927" s="3"/>
      <c r="I927" s="21"/>
    </row>
    <row r="928" spans="3:9" ht="15.75" customHeight="1">
      <c r="C928" s="2"/>
      <c r="D928" s="2"/>
      <c r="E928" s="3"/>
      <c r="F928" s="4"/>
      <c r="G928" s="4"/>
      <c r="H928" s="3"/>
      <c r="I928" s="21"/>
    </row>
    <row r="929" spans="3:9" ht="15.75" customHeight="1">
      <c r="C929" s="2"/>
      <c r="D929" s="2"/>
      <c r="E929" s="3"/>
      <c r="F929" s="4"/>
      <c r="G929" s="4"/>
      <c r="H929" s="3"/>
      <c r="I929" s="21"/>
    </row>
    <row r="930" spans="3:9" ht="15.75" customHeight="1">
      <c r="C930" s="2"/>
      <c r="D930" s="2"/>
      <c r="E930" s="3"/>
      <c r="F930" s="4"/>
      <c r="G930" s="4"/>
      <c r="H930" s="3"/>
      <c r="I930" s="21"/>
    </row>
    <row r="931" spans="3:9" ht="15.75" customHeight="1">
      <c r="C931" s="2"/>
      <c r="D931" s="2"/>
      <c r="E931" s="3"/>
      <c r="F931" s="4"/>
      <c r="G931" s="4"/>
      <c r="H931" s="3"/>
      <c r="I931" s="21"/>
    </row>
    <row r="932" spans="3:9" ht="15.75" customHeight="1">
      <c r="C932" s="2"/>
      <c r="D932" s="2"/>
      <c r="E932" s="3"/>
      <c r="F932" s="4"/>
      <c r="G932" s="4"/>
      <c r="H932" s="3"/>
      <c r="I932" s="21"/>
    </row>
    <row r="933" spans="3:9" ht="15.75" customHeight="1">
      <c r="C933" s="2"/>
      <c r="D933" s="2"/>
      <c r="E933" s="3"/>
      <c r="F933" s="4"/>
      <c r="G933" s="4"/>
      <c r="H933" s="3"/>
      <c r="I933" s="21"/>
    </row>
    <row r="934" spans="3:9" ht="15.75" customHeight="1">
      <c r="C934" s="2"/>
      <c r="D934" s="2"/>
      <c r="E934" s="3"/>
      <c r="F934" s="4"/>
      <c r="G934" s="4"/>
      <c r="H934" s="3"/>
      <c r="I934" s="21"/>
    </row>
    <row r="935" spans="3:9" ht="15.75" customHeight="1">
      <c r="C935" s="2"/>
      <c r="D935" s="2"/>
      <c r="E935" s="3"/>
      <c r="F935" s="4"/>
      <c r="G935" s="4"/>
      <c r="H935" s="3"/>
      <c r="I935" s="21"/>
    </row>
    <row r="936" spans="3:9" ht="15.75" customHeight="1">
      <c r="C936" s="2"/>
      <c r="D936" s="2"/>
      <c r="E936" s="3"/>
      <c r="F936" s="4"/>
      <c r="G936" s="4"/>
      <c r="H936" s="3"/>
      <c r="I936" s="21"/>
    </row>
    <row r="937" spans="3:9" ht="15.75" customHeight="1">
      <c r="C937" s="2"/>
      <c r="D937" s="2"/>
      <c r="E937" s="3"/>
      <c r="F937" s="4"/>
      <c r="G937" s="4"/>
      <c r="H937" s="3"/>
      <c r="I937" s="21"/>
    </row>
    <row r="938" spans="3:9" ht="15.75" customHeight="1">
      <c r="C938" s="2"/>
      <c r="D938" s="2"/>
      <c r="E938" s="3"/>
      <c r="F938" s="4"/>
      <c r="G938" s="4"/>
      <c r="H938" s="3"/>
      <c r="I938" s="21"/>
    </row>
    <row r="939" spans="3:9" ht="15.75" customHeight="1">
      <c r="C939" s="2"/>
      <c r="D939" s="2"/>
      <c r="E939" s="3"/>
      <c r="F939" s="4"/>
      <c r="G939" s="4"/>
      <c r="H939" s="3"/>
      <c r="I939" s="21"/>
    </row>
    <row r="940" spans="3:9" ht="15.75" customHeight="1">
      <c r="C940" s="2"/>
      <c r="D940" s="2"/>
      <c r="E940" s="3"/>
      <c r="F940" s="4"/>
      <c r="G940" s="4"/>
      <c r="H940" s="3"/>
      <c r="I940" s="21"/>
    </row>
    <row r="941" spans="3:9" ht="15.75" customHeight="1">
      <c r="C941" s="2"/>
      <c r="D941" s="2"/>
      <c r="E941" s="3"/>
      <c r="F941" s="4"/>
      <c r="G941" s="4"/>
      <c r="H941" s="3"/>
      <c r="I941" s="21"/>
    </row>
    <row r="942" spans="3:9" ht="15.75" customHeight="1">
      <c r="C942" s="2"/>
      <c r="D942" s="2"/>
      <c r="E942" s="3"/>
      <c r="F942" s="4"/>
      <c r="G942" s="4"/>
      <c r="H942" s="3"/>
      <c r="I942" s="21"/>
    </row>
    <row r="943" spans="3:9" ht="15.75" customHeight="1">
      <c r="C943" s="2"/>
      <c r="D943" s="2"/>
      <c r="E943" s="3"/>
      <c r="F943" s="4"/>
      <c r="G943" s="4"/>
      <c r="H943" s="3"/>
      <c r="I943" s="21"/>
    </row>
    <row r="944" spans="3:9" ht="15.75" customHeight="1">
      <c r="C944" s="2"/>
      <c r="D944" s="2"/>
      <c r="E944" s="3"/>
      <c r="F944" s="4"/>
      <c r="G944" s="4"/>
      <c r="H944" s="3"/>
      <c r="I944" s="21"/>
    </row>
    <row r="945" spans="3:9" ht="15.75" customHeight="1">
      <c r="C945" s="2"/>
      <c r="D945" s="2"/>
      <c r="E945" s="3"/>
      <c r="F945" s="4"/>
      <c r="G945" s="4"/>
      <c r="H945" s="3"/>
      <c r="I945" s="21"/>
    </row>
    <row r="946" spans="3:9" ht="15.75" customHeight="1">
      <c r="C946" s="2"/>
      <c r="D946" s="2"/>
      <c r="E946" s="3"/>
      <c r="F946" s="4"/>
      <c r="G946" s="4"/>
      <c r="H946" s="3"/>
      <c r="I946" s="21"/>
    </row>
    <row r="947" spans="3:9" ht="15.75" customHeight="1">
      <c r="C947" s="2"/>
      <c r="D947" s="2"/>
      <c r="E947" s="3"/>
      <c r="F947" s="4"/>
      <c r="G947" s="4"/>
      <c r="H947" s="3"/>
      <c r="I947" s="21"/>
    </row>
    <row r="948" spans="3:9" ht="15.75" customHeight="1">
      <c r="C948" s="2"/>
      <c r="D948" s="2"/>
      <c r="E948" s="3"/>
      <c r="F948" s="4"/>
      <c r="G948" s="4"/>
      <c r="H948" s="3"/>
      <c r="I948" s="21"/>
    </row>
    <row r="949" spans="3:9" ht="15.75" customHeight="1">
      <c r="C949" s="2"/>
      <c r="D949" s="2"/>
      <c r="E949" s="3"/>
      <c r="F949" s="4"/>
      <c r="G949" s="4"/>
      <c r="H949" s="3"/>
      <c r="I949" s="21"/>
    </row>
    <row r="950" spans="3:9" ht="15.75" customHeight="1">
      <c r="C950" s="2"/>
      <c r="D950" s="2"/>
      <c r="E950" s="3"/>
      <c r="F950" s="4"/>
      <c r="G950" s="4"/>
      <c r="H950" s="3"/>
      <c r="I950" s="21"/>
    </row>
    <row r="951" spans="3:9" ht="15.75" customHeight="1">
      <c r="C951" s="2"/>
      <c r="D951" s="2"/>
      <c r="E951" s="3"/>
      <c r="F951" s="4"/>
      <c r="G951" s="4"/>
      <c r="H951" s="3"/>
      <c r="I951" s="21"/>
    </row>
    <row r="952" spans="3:9" ht="15.75" customHeight="1">
      <c r="C952" s="2"/>
      <c r="D952" s="2"/>
      <c r="E952" s="3"/>
      <c r="F952" s="4"/>
      <c r="G952" s="4"/>
      <c r="H952" s="3"/>
      <c r="I952" s="21"/>
    </row>
    <row r="953" spans="3:9" ht="15.75" customHeight="1">
      <c r="C953" s="2"/>
      <c r="D953" s="2"/>
      <c r="E953" s="3"/>
      <c r="F953" s="4"/>
      <c r="G953" s="4"/>
      <c r="H953" s="3"/>
      <c r="I953" s="21"/>
    </row>
    <row r="954" spans="3:9" ht="15.75" customHeight="1">
      <c r="C954" s="2"/>
      <c r="D954" s="2"/>
      <c r="E954" s="3"/>
      <c r="F954" s="4"/>
      <c r="G954" s="4"/>
      <c r="H954" s="3"/>
      <c r="I954" s="21"/>
    </row>
    <row r="955" spans="3:9" ht="15.75" customHeight="1">
      <c r="C955" s="2"/>
      <c r="D955" s="2"/>
      <c r="E955" s="3"/>
      <c r="F955" s="4"/>
      <c r="G955" s="4"/>
      <c r="H955" s="3"/>
      <c r="I955" s="21"/>
    </row>
    <row r="956" spans="3:9" ht="15.75" customHeight="1">
      <c r="C956" s="2"/>
      <c r="D956" s="2"/>
      <c r="E956" s="3"/>
      <c r="F956" s="4"/>
      <c r="G956" s="4"/>
      <c r="H956" s="3"/>
      <c r="I956" s="21"/>
    </row>
    <row r="957" spans="3:9" ht="15.75" customHeight="1">
      <c r="C957" s="2"/>
      <c r="D957" s="2"/>
      <c r="E957" s="3"/>
      <c r="F957" s="4"/>
      <c r="G957" s="4"/>
      <c r="H957" s="3"/>
      <c r="I957" s="21"/>
    </row>
    <row r="958" spans="3:9" ht="15.75" customHeight="1">
      <c r="C958" s="2"/>
      <c r="D958" s="2"/>
      <c r="E958" s="3"/>
      <c r="F958" s="4"/>
      <c r="G958" s="4"/>
      <c r="H958" s="3"/>
      <c r="I958" s="21"/>
    </row>
    <row r="959" spans="3:9" ht="15.75" customHeight="1">
      <c r="C959" s="2"/>
      <c r="D959" s="2"/>
      <c r="E959" s="3"/>
      <c r="F959" s="4"/>
      <c r="G959" s="4"/>
      <c r="H959" s="3"/>
      <c r="I959" s="21"/>
    </row>
    <row r="960" spans="3:9" ht="15.75" customHeight="1">
      <c r="C960" s="2"/>
      <c r="D960" s="2"/>
      <c r="E960" s="3"/>
      <c r="F960" s="4"/>
      <c r="G960" s="4"/>
      <c r="H960" s="3"/>
      <c r="I960" s="21"/>
    </row>
    <row r="961" spans="3:9" ht="15.75" customHeight="1">
      <c r="C961" s="2"/>
      <c r="D961" s="2"/>
      <c r="E961" s="3"/>
      <c r="F961" s="4"/>
      <c r="G961" s="4"/>
      <c r="H961" s="3"/>
      <c r="I961" s="21"/>
    </row>
    <row r="962" spans="3:9" ht="15.75" customHeight="1">
      <c r="C962" s="2"/>
      <c r="D962" s="2"/>
      <c r="E962" s="3"/>
      <c r="F962" s="4"/>
      <c r="G962" s="4"/>
      <c r="H962" s="3"/>
      <c r="I962" s="21"/>
    </row>
    <row r="963" spans="3:9" ht="15.75" customHeight="1">
      <c r="C963" s="2"/>
      <c r="D963" s="2"/>
      <c r="E963" s="3"/>
      <c r="F963" s="4"/>
      <c r="G963" s="4"/>
      <c r="H963" s="3"/>
      <c r="I963" s="21"/>
    </row>
    <row r="964" spans="3:9" ht="15.75" customHeight="1">
      <c r="C964" s="2"/>
      <c r="D964" s="2"/>
      <c r="E964" s="3"/>
      <c r="F964" s="4"/>
      <c r="G964" s="4"/>
      <c r="H964" s="3"/>
      <c r="I964" s="21"/>
    </row>
    <row r="965" spans="3:9" ht="15.75" customHeight="1">
      <c r="C965" s="2"/>
      <c r="D965" s="2"/>
      <c r="E965" s="3"/>
      <c r="F965" s="4"/>
      <c r="G965" s="4"/>
      <c r="H965" s="3"/>
      <c r="I965" s="21"/>
    </row>
    <row r="966" spans="3:9" ht="15.75" customHeight="1">
      <c r="C966" s="2"/>
      <c r="D966" s="2"/>
      <c r="E966" s="3"/>
      <c r="F966" s="4"/>
      <c r="G966" s="4"/>
      <c r="H966" s="3"/>
      <c r="I966" s="21"/>
    </row>
    <row r="967" spans="3:9" ht="15.75" customHeight="1">
      <c r="C967" s="2"/>
      <c r="D967" s="2"/>
      <c r="E967" s="3"/>
      <c r="F967" s="4"/>
      <c r="G967" s="4"/>
      <c r="H967" s="3"/>
      <c r="I967" s="21"/>
    </row>
    <row r="968" spans="3:9" ht="15.75" customHeight="1">
      <c r="C968" s="2"/>
      <c r="D968" s="2"/>
      <c r="E968" s="3"/>
      <c r="F968" s="4"/>
      <c r="G968" s="4"/>
      <c r="H968" s="3"/>
      <c r="I968" s="21"/>
    </row>
    <row r="969" spans="3:9" ht="15.75" customHeight="1">
      <c r="C969" s="2"/>
      <c r="D969" s="2"/>
      <c r="E969" s="3"/>
      <c r="F969" s="4"/>
      <c r="G969" s="4"/>
      <c r="H969" s="3"/>
      <c r="I969" s="21"/>
    </row>
    <row r="970" spans="3:9" ht="15.75" customHeight="1">
      <c r="C970" s="2"/>
      <c r="D970" s="2"/>
      <c r="E970" s="3"/>
      <c r="F970" s="4"/>
      <c r="G970" s="4"/>
      <c r="H970" s="3"/>
      <c r="I970" s="21"/>
    </row>
    <row r="971" spans="3:9" ht="15.75" customHeight="1">
      <c r="C971" s="2"/>
      <c r="D971" s="2"/>
      <c r="E971" s="3"/>
      <c r="F971" s="4"/>
      <c r="G971" s="4"/>
      <c r="H971" s="3"/>
      <c r="I971" s="21"/>
    </row>
    <row r="972" spans="3:9" ht="15.75" customHeight="1">
      <c r="C972" s="2"/>
      <c r="D972" s="2"/>
      <c r="E972" s="3"/>
      <c r="F972" s="4"/>
      <c r="G972" s="4"/>
      <c r="H972" s="3"/>
      <c r="I972" s="21"/>
    </row>
    <row r="973" spans="3:9" ht="15.75" customHeight="1">
      <c r="C973" s="2"/>
      <c r="D973" s="2"/>
      <c r="E973" s="3"/>
      <c r="F973" s="4"/>
      <c r="G973" s="4"/>
      <c r="H973" s="3"/>
      <c r="I973" s="21"/>
    </row>
    <row r="974" spans="3:9" ht="15.75" customHeight="1">
      <c r="C974" s="2"/>
      <c r="D974" s="2"/>
      <c r="E974" s="3"/>
      <c r="F974" s="4"/>
      <c r="G974" s="4"/>
      <c r="H974" s="3"/>
      <c r="I974" s="21"/>
    </row>
    <row r="975" spans="3:9" ht="15.75" customHeight="1">
      <c r="C975" s="2"/>
      <c r="D975" s="2"/>
      <c r="E975" s="3"/>
      <c r="F975" s="4"/>
      <c r="G975" s="4"/>
      <c r="H975" s="3"/>
      <c r="I975" s="21"/>
    </row>
    <row r="976" spans="3:9" ht="15.75" customHeight="1">
      <c r="C976" s="2"/>
      <c r="D976" s="2"/>
      <c r="E976" s="3"/>
      <c r="F976" s="4"/>
      <c r="G976" s="4"/>
      <c r="H976" s="3"/>
      <c r="I976" s="21"/>
    </row>
    <row r="977" spans="3:9" ht="15.75" customHeight="1">
      <c r="C977" s="2"/>
      <c r="D977" s="2"/>
      <c r="E977" s="3"/>
      <c r="F977" s="4"/>
      <c r="G977" s="4"/>
      <c r="H977" s="3"/>
      <c r="I977" s="21"/>
    </row>
    <row r="978" spans="3:9" ht="15.75" customHeight="1">
      <c r="C978" s="2"/>
      <c r="D978" s="2"/>
      <c r="E978" s="3"/>
      <c r="F978" s="4"/>
      <c r="G978" s="4"/>
      <c r="H978" s="3"/>
      <c r="I978" s="21"/>
    </row>
    <row r="979" spans="3:9" ht="15.75" customHeight="1">
      <c r="C979" s="2"/>
      <c r="D979" s="2"/>
      <c r="E979" s="3"/>
      <c r="F979" s="4"/>
      <c r="G979" s="4"/>
      <c r="H979" s="3"/>
      <c r="I979" s="21"/>
    </row>
    <row r="980" spans="3:9" ht="15.75" customHeight="1">
      <c r="C980" s="2"/>
      <c r="D980" s="2"/>
      <c r="E980" s="3"/>
      <c r="F980" s="4"/>
      <c r="G980" s="4"/>
      <c r="H980" s="3"/>
      <c r="I980" s="21"/>
    </row>
    <row r="981" spans="3:9" ht="15.75" customHeight="1">
      <c r="C981" s="2"/>
      <c r="D981" s="2"/>
      <c r="E981" s="3"/>
      <c r="F981" s="4"/>
      <c r="G981" s="4"/>
      <c r="H981" s="3"/>
      <c r="I981" s="21"/>
    </row>
    <row r="982" spans="3:9" ht="15.75" customHeight="1">
      <c r="C982" s="2"/>
      <c r="D982" s="2"/>
      <c r="E982" s="3"/>
      <c r="F982" s="4"/>
      <c r="G982" s="4"/>
      <c r="H982" s="3"/>
      <c r="I982" s="21"/>
    </row>
    <row r="983" spans="3:9" ht="15.75" customHeight="1">
      <c r="C983" s="2"/>
      <c r="D983" s="2"/>
      <c r="E983" s="3"/>
      <c r="F983" s="4"/>
      <c r="G983" s="4"/>
      <c r="H983" s="3"/>
      <c r="I983" s="21"/>
    </row>
    <row r="984" spans="3:9" ht="15.75" customHeight="1">
      <c r="C984" s="2"/>
      <c r="D984" s="2"/>
      <c r="E984" s="3"/>
      <c r="F984" s="4"/>
      <c r="G984" s="4"/>
      <c r="H984" s="3"/>
      <c r="I984" s="21"/>
    </row>
    <row r="985" spans="3:9" ht="15.75" customHeight="1">
      <c r="C985" s="2"/>
      <c r="D985" s="2"/>
      <c r="E985" s="3"/>
      <c r="F985" s="4"/>
      <c r="G985" s="4"/>
      <c r="H985" s="3"/>
      <c r="I985" s="21"/>
    </row>
    <row r="986" spans="3:9" ht="15.75" customHeight="1">
      <c r="C986" s="2"/>
      <c r="D986" s="2"/>
      <c r="E986" s="3"/>
      <c r="F986" s="4"/>
      <c r="G986" s="4"/>
      <c r="H986" s="3"/>
      <c r="I986" s="21"/>
    </row>
    <row r="987" spans="3:9" ht="15.75" customHeight="1">
      <c r="C987" s="2"/>
      <c r="D987" s="2"/>
      <c r="E987" s="3"/>
      <c r="F987" s="4"/>
      <c r="G987" s="4"/>
      <c r="H987" s="3"/>
      <c r="I987" s="21"/>
    </row>
    <row r="988" spans="3:9" ht="15.75" customHeight="1">
      <c r="C988" s="2"/>
      <c r="D988" s="2"/>
      <c r="E988" s="3"/>
      <c r="F988" s="4"/>
      <c r="G988" s="4"/>
      <c r="H988" s="3"/>
      <c r="I988" s="21"/>
    </row>
    <row r="989" spans="3:9" ht="15.75" customHeight="1">
      <c r="C989" s="2"/>
      <c r="D989" s="2"/>
      <c r="E989" s="3"/>
      <c r="F989" s="4"/>
      <c r="G989" s="4"/>
      <c r="H989" s="3"/>
      <c r="I989" s="21"/>
    </row>
    <row r="990" spans="3:9" ht="15.75" customHeight="1">
      <c r="C990" s="2"/>
      <c r="D990" s="2"/>
      <c r="E990" s="3"/>
      <c r="F990" s="4"/>
      <c r="G990" s="4"/>
      <c r="H990" s="3"/>
      <c r="I990" s="21"/>
    </row>
    <row r="991" spans="3:9" ht="15.75" customHeight="1">
      <c r="C991" s="2"/>
      <c r="D991" s="2"/>
      <c r="E991" s="3"/>
      <c r="F991" s="4"/>
      <c r="G991" s="4"/>
      <c r="H991" s="3"/>
      <c r="I991" s="21"/>
    </row>
    <row r="992" spans="3:9" ht="15.75" customHeight="1">
      <c r="C992" s="2"/>
      <c r="D992" s="2"/>
      <c r="E992" s="3"/>
      <c r="F992" s="4"/>
      <c r="G992" s="4"/>
      <c r="H992" s="3"/>
      <c r="I992" s="21"/>
    </row>
    <row r="993" spans="3:9" ht="15.75" customHeight="1">
      <c r="C993" s="2"/>
      <c r="D993" s="2"/>
      <c r="E993" s="3"/>
      <c r="F993" s="4"/>
      <c r="G993" s="4"/>
      <c r="H993" s="3"/>
      <c r="I993" s="21"/>
    </row>
    <row r="994" spans="3:9" ht="15.75" customHeight="1">
      <c r="C994" s="2"/>
      <c r="D994" s="2"/>
      <c r="E994" s="3"/>
      <c r="F994" s="4"/>
      <c r="G994" s="4"/>
      <c r="H994" s="3"/>
      <c r="I994" s="21"/>
    </row>
    <row r="995" spans="3:9" ht="15.75" customHeight="1">
      <c r="C995" s="2"/>
      <c r="D995" s="2"/>
      <c r="E995" s="3"/>
      <c r="F995" s="4"/>
      <c r="G995" s="4"/>
      <c r="H995" s="3"/>
      <c r="I995" s="21"/>
    </row>
    <row r="996" spans="3:9" ht="15.75" customHeight="1">
      <c r="C996" s="2"/>
      <c r="D996" s="2"/>
      <c r="E996" s="3"/>
      <c r="F996" s="4"/>
      <c r="G996" s="4"/>
      <c r="H996" s="3"/>
      <c r="I996" s="21"/>
    </row>
    <row r="997" spans="3:9" ht="15.75" customHeight="1">
      <c r="C997" s="2"/>
      <c r="D997" s="2"/>
      <c r="E997" s="3"/>
      <c r="F997" s="4"/>
      <c r="G997" s="4"/>
      <c r="H997" s="3"/>
      <c r="I997" s="21"/>
    </row>
    <row r="998" spans="3:9" ht="15.75" customHeight="1">
      <c r="C998" s="2"/>
      <c r="D998" s="2"/>
      <c r="E998" s="3"/>
      <c r="F998" s="4"/>
      <c r="G998" s="4"/>
      <c r="H998" s="3"/>
      <c r="I998" s="21"/>
    </row>
    <row r="999" spans="3:9" ht="15.75" customHeight="1">
      <c r="C999" s="2"/>
      <c r="D999" s="2"/>
      <c r="E999" s="3"/>
      <c r="F999" s="4"/>
      <c r="G999" s="4"/>
      <c r="H999" s="3"/>
      <c r="I999" s="21"/>
    </row>
    <row r="1000" spans="3:9" ht="15.75" customHeight="1">
      <c r="C1000" s="2"/>
      <c r="D1000" s="2"/>
      <c r="E1000" s="3"/>
      <c r="F1000" s="4"/>
      <c r="G1000" s="4"/>
      <c r="H1000" s="3"/>
      <c r="I1000" s="21"/>
    </row>
    <row r="1001" spans="3:9" ht="15.75" customHeight="1">
      <c r="C1001" s="2"/>
      <c r="D1001" s="2"/>
      <c r="E1001" s="3"/>
      <c r="F1001" s="4"/>
      <c r="G1001" s="4"/>
      <c r="H1001" s="3"/>
      <c r="I1001" s="21"/>
    </row>
  </sheetData>
  <autoFilter ref="A1:O33" xr:uid="{00000000-0001-0000-0100-000000000000}"/>
  <mergeCells count="9">
    <mergeCell ref="A23:A31"/>
    <mergeCell ref="A21:A22"/>
    <mergeCell ref="A2:A4"/>
    <mergeCell ref="A5:A6"/>
    <mergeCell ref="A7:A8"/>
    <mergeCell ref="A9:A11"/>
    <mergeCell ref="A12:A13"/>
    <mergeCell ref="A14:A16"/>
    <mergeCell ref="A17:A19"/>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65e09f-aef1-4f06-a206-c610d82f212a" xsi:nil="true"/>
    <lcf76f155ced4ddcb4097134ff3c332f xmlns="6808ff8a-2d76-48f6-9034-474739a37e0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96F99287CA8EF449F3967B01DFDEB3A" ma:contentTypeVersion="14" ma:contentTypeDescription="Crear nuevo documento." ma:contentTypeScope="" ma:versionID="112029499aee12b1dec19da0242430ee">
  <xsd:schema xmlns:xsd="http://www.w3.org/2001/XMLSchema" xmlns:xs="http://www.w3.org/2001/XMLSchema" xmlns:p="http://schemas.microsoft.com/office/2006/metadata/properties" xmlns:ns2="6808ff8a-2d76-48f6-9034-474739a37e00" xmlns:ns3="a065e09f-aef1-4f06-a206-c610d82f212a" targetNamespace="http://schemas.microsoft.com/office/2006/metadata/properties" ma:root="true" ma:fieldsID="5f602e01536cce4e02549f70bc769d09" ns2:_="" ns3:_="">
    <xsd:import namespace="6808ff8a-2d76-48f6-9034-474739a37e00"/>
    <xsd:import namespace="a065e09f-aef1-4f06-a206-c610d82f212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08ff8a-2d76-48f6-9034-474739a37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3ea123f9-e63b-4273-8998-9dc14b06752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065e09f-aef1-4f06-a206-c610d82f212a"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29393081-ef94-4bcd-9487-cea2d2d8c950}" ma:internalName="TaxCatchAll" ma:showField="CatchAllData" ma:web="a065e09f-aef1-4f06-a206-c610d82f21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C03592-E15A-4D0D-9293-5C72ACDC9E4E}"/>
</file>

<file path=customXml/itemProps2.xml><?xml version="1.0" encoding="utf-8"?>
<ds:datastoreItem xmlns:ds="http://schemas.openxmlformats.org/officeDocument/2006/customXml" ds:itemID="{D35B0EF7-769A-4FDE-ADCC-6C59B688F89F}"/>
</file>

<file path=customXml/itemProps3.xml><?xml version="1.0" encoding="utf-8"?>
<ds:datastoreItem xmlns:ds="http://schemas.openxmlformats.org/officeDocument/2006/customXml" ds:itemID="{6CF5DEB1-6253-415D-B945-25879D74AC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ariel muñoz</dc:creator>
  <cp:keywords/>
  <dc:description/>
  <cp:lastModifiedBy/>
  <cp:revision/>
  <dcterms:created xsi:type="dcterms:W3CDTF">2015-06-05T18:19:34Z</dcterms:created>
  <dcterms:modified xsi:type="dcterms:W3CDTF">2026-09-22T15:25:58Z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0x010100996F99287CA8EF449F3967B01DFDEB3A</vt:lpwstr>
  </property>
  <property fmtid="{D5CDD505-2E9C-101B-9397-08002B2CF9AE}" pid="3" name="MediaServiceImageTags">
    <vt:lpwstr/>
  </property>
</Properties>
</file>