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drawingml.chart+xml" PartName="/xl/charts/chart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sumen" sheetId="1" r:id="rId4"/>
    <sheet state="visible" name="Matriz trazabilidad" sheetId="2" r:id="rId5"/>
    <sheet state="visible" name="Historias Jira" sheetId="3" r:id="rId6"/>
    <sheet state="visible" name="Catálogo requisitos" sheetId="4" r:id="rId7"/>
    <sheet state="visible" name="Resultados de pruebas" sheetId="5" r:id="rId8"/>
    <sheet state="visible" name="Registro de pruebas" sheetId="6" r:id="rId9"/>
  </sheets>
  <definedNames>
    <definedName hidden="1" localSheetId="1" name="_xlnm._FilterDatabase">'Matriz trazabilidad'!$A$1:$Q$45</definedName>
    <definedName hidden="1" localSheetId="3" name="_xlnm._FilterDatabase">'Catálogo requisitos'!$A$1:$F$45</definedName>
    <definedName hidden="1" localSheetId="5" name="_xlnm._FilterDatabase">'Registro de pruebas'!$A$10:$H$198</definedName>
  </definedNames>
  <calcPr/>
  <extLst>
    <ext uri="GoogleSheetsCustomDataVersion2">
      <go:sheetsCustomData xmlns:go="http://customooxmlschemas.google.com/" r:id="rId10" roundtripDataChecksum="8dWprJkmEIBX1gbBenyB4H+PWcqVnRfCN0uLhhM2QwM="/>
    </ext>
  </extLst>
</workbook>
</file>

<file path=xl/sharedStrings.xml><?xml version="1.0" encoding="utf-8"?>
<sst xmlns="http://schemas.openxmlformats.org/spreadsheetml/2006/main" count="3004" uniqueCount="1103">
  <si>
    <t>ID Requisito</t>
  </si>
  <si>
    <t>ID</t>
  </si>
  <si>
    <t>Tipo</t>
  </si>
  <si>
    <t>Módulo / Area</t>
  </si>
  <si>
    <t>Requerimiento específico</t>
  </si>
  <si>
    <t>Prioridad</t>
  </si>
  <si>
    <t>Módulo / Área</t>
  </si>
  <si>
    <t>Tipo de cobertura</t>
  </si>
  <si>
    <t>Epica(s)</t>
  </si>
  <si>
    <t>Historia(s) Jira</t>
  </si>
  <si>
    <t>Referencia de criterio</t>
  </si>
  <si>
    <t>Detalle / Criterio esperado</t>
  </si>
  <si>
    <t>Caso de prueba</t>
  </si>
  <si>
    <t>Evidencia</t>
  </si>
  <si>
    <t>Fuente y datos de origen</t>
  </si>
  <si>
    <t>Entidad o campo observado</t>
  </si>
  <si>
    <t>Formulario o flujo actual</t>
  </si>
  <si>
    <t>Verificación esperada</t>
  </si>
  <si>
    <t>Cobertura observada</t>
  </si>
  <si>
    <t>Diferencia o condición</t>
  </si>
  <si>
    <t>RF-001</t>
  </si>
  <si>
    <t>Clave</t>
  </si>
  <si>
    <t>Funcional</t>
  </si>
  <si>
    <t>Comandancia</t>
  </si>
  <si>
    <t>Gestionar compañías de Bomberos</t>
  </si>
  <si>
    <t>Historia</t>
  </si>
  <si>
    <t>El sistema deberá permitir registrar, consultar y actualizar las compañías pertenecientes al Cuerpo de Bomberos de San Bernardo, manteniendo su identificación, nombre y estado. La cantidad de compañías no deberá estar limitada a un número fijo.</t>
  </si>
  <si>
    <t>Alta</t>
  </si>
  <si>
    <t>Historia de Usuario / criterio de aceptación</t>
  </si>
  <si>
    <t>Usuarios y control de acceso</t>
  </si>
  <si>
    <t>Epica</t>
  </si>
  <si>
    <t>BSB-8 - Gestionar compañías</t>
  </si>
  <si>
    <t>BSB-8: Se debe poder registrar una nueva compañía</t>
  </si>
  <si>
    <t>Registro de pruebas: BSB-8</t>
  </si>
  <si>
    <t>Estado</t>
  </si>
  <si>
    <t>Ejecución completa de 209 pruebas. Ver Resultados de pruebas.</t>
  </si>
  <si>
    <t>Reunión posterior, identificación y estado de compañías.</t>
  </si>
  <si>
    <t>compania.codigo, nombre, estado</t>
  </si>
  <si>
    <t>Personal/gestionar_companias.html</t>
  </si>
  <si>
    <t>Crear y consultar una compañía en el ámbito autorizado.</t>
  </si>
  <si>
    <t>Verificado en los casos citados.</t>
  </si>
  <si>
    <t>7 puntos del registro actual: 7 verificados, 0 ajustes del menú y 0 notas de alcance. Las historias posteriores conservan su revisión por separado.</t>
  </si>
  <si>
    <t>RF-002</t>
  </si>
  <si>
    <t>Requerimientos relacionados</t>
  </si>
  <si>
    <t>Usuarios / Comandancia</t>
  </si>
  <si>
    <t>Gestionar usuarios según compañía y rol</t>
  </si>
  <si>
    <t>Cada usuario deberá quedar asociado a una compañía o a Comandancia, con un perfil técnico y ámbito de acceso diferenciados de su cargo en Bomberos. Se consideran los cargos relatados: comandantes, capitán, teniente primero, ayudante de compañía, inspectores de Material Mayor y Menor, ayudantes de inspección, asesor de flota y maquinista o cuartelero. La matriz de operaciones por cargo y la equivalencia maquinista/cuartelero quedan pendientes de definición. El registro de bomberos receptores de equipamiento no implica crear cuentas para todos.</t>
  </si>
  <si>
    <t>Descripción</t>
  </si>
  <si>
    <t>Criterios de aceptación</t>
  </si>
  <si>
    <t>BSB-7 - Iniciar sesión en el sistema
BSB-9 - Gestionar usuarios
BSB-10 - Asignar rol y compañía a un usuario
BSB-100 - Iniciar sesión desde la interfaz de Bomberos</t>
  </si>
  <si>
    <t>BSB-7: Permitir ingresar usuario y contraseña
BSB-9: Se debe poder registrar un nuevo usuario
BSB-10: Cada usuario debe tener un rol asignado
BSB-100: Pantalla con usuario, contraseña y acción Ingresar, envío al servicio de autenticación de BSB-7 y mensajes según el resultado.</t>
  </si>
  <si>
    <t>Registro de pruebas: BSB-10, BSB-100, BSB-7, BSB-9</t>
  </si>
  <si>
    <t>Persona asignada</t>
  </si>
  <si>
    <t>Ambas reuniones, cargos, cuentas y ámbito.</t>
  </si>
  <si>
    <t>usuario.rol, compania y rol.alcance</t>
  </si>
  <si>
    <t>Cuentas/gestion_user.html, asignar_rol_compania.html y Login/login.html</t>
  </si>
  <si>
    <t>Probar acceso válido y denegado por perfil y ámbito.</t>
  </si>
  <si>
    <t>RF-003</t>
  </si>
  <si>
    <t>Ajustar navegación en los casos citados.</t>
  </si>
  <si>
    <t>24 puntos del registro actual: 22 verificados, 2 ajustes del menú y 0 notas de alcance. Las historias posteriores conservan su revisión por separado.</t>
  </si>
  <si>
    <t>Visualizar información de todas las compañías</t>
  </si>
  <si>
    <t>Comandancia deberá poder seleccionar cualquier compañía y consultar inventario, unidades, revisiones, mantenimientos, alertas y observaciones desde una misma cuenta, según sus permisos. La vista consolidada deberá distinguir el stock propio de Comandancia de las existencias de cada compañía, evitando que la consolidación duplique el material distribuido.</t>
  </si>
  <si>
    <t>RF-004</t>
  </si>
  <si>
    <t>Catálogo Maestro</t>
  </si>
  <si>
    <t>Mantener catálogo común de materiales</t>
  </si>
  <si>
    <t>El sistema deberá disponer de un catálogo maestro compartido por las compañías, donde los artículos puedan tener código, nombre, descripción, categoría, marca y modelo cuando corresponda.</t>
  </si>
  <si>
    <t>Usuarios y control de acceso
Reporte y Supervicion</t>
  </si>
  <si>
    <t>BSB-13 - Consultar información desde Comandancia
BSB-42 - Consultar resumen general desde Comandancia</t>
  </si>
  <si>
    <t>BSB-7</t>
  </si>
  <si>
    <t>BSB-13: Comandancia debe poder seleccionar una compañía.
BSB-42: La información mostrada debe respetar los datos vigentes de todas las compañías según los permisos de Comandancia</t>
  </si>
  <si>
    <t>Registro de pruebas: BSB-13</t>
  </si>
  <si>
    <t>Ambas reuniones, consulta global y selección de compañía.</t>
  </si>
  <si>
    <t>usuario, rol, compania y consultas por ámbito</t>
  </si>
  <si>
    <t>Cuentas/control_acceso_compania.html y dashboard.html</t>
  </si>
  <si>
    <t>Comparar consulta global y consulta limitada de compañía.</t>
  </si>
  <si>
    <t>5 puntos del registro actual: 5 verificados, 0 ajustes del menú y 0 notas de alcance. Las historias posteriores conservan su revisión por separado.</t>
  </si>
  <si>
    <t>RF-005</t>
  </si>
  <si>
    <t>Iniciar sesión en el sistema</t>
  </si>
  <si>
    <t>Inventario</t>
  </si>
  <si>
    <t>Listo</t>
  </si>
  <si>
    <t>Gestionar inventario propio de compañías y Comandancia</t>
  </si>
  <si>
    <t>Cada compañía y Comandancia deberán disponer de un inventario propio dentro de una misma fuente central de información, sin mezclar existencias entre ámbitos responsables. Se controlarán artículos por cantidad o individualizados y su ubicación en unidades, bodegas o dependencias habilitadas. Se distinguirán propiedad o ámbito responsable, custodia o asignación, ubicación, condición y disponibilidad. Las vistas mostrarán total, disponible, asignado, prestado y dañado sin sumar categorías superpuestas: un material dañado puede estar asignado o prestado. Las reglas de cálculo para tránsito, reservas y devoluciones pendientes requieren definición.</t>
  </si>
  <si>
    <t>Catalogo y Inventario</t>
  </si>
  <si>
    <t>High</t>
  </si>
  <si>
    <t>BSB-14 - Gestionar catálogo maestro de artículos</t>
  </si>
  <si>
    <t>BSB-14: El artículo maestro debe permitir registrar código, nombre, descripción, categoría, tipo, marca y modelo cuando corresponda. Para los materiales que lo requieran, se debe permitir registrar talla, calidad y otros atributos configurables. No se deben generar duplicados innecesarios del artículo base cuando diferencias como talla, calidad y condición puedan representarse mediante atributos</t>
  </si>
  <si>
    <t>Registro de pruebas: BSB-14</t>
  </si>
  <si>
    <t>Inventarios Sexta y ejemplo, artículo, marca y modelo.</t>
  </si>
  <si>
    <t>articulo y catalogo_valor</t>
  </si>
  <si>
    <t>MATRIZ DE TRAZABILIDAD - CAPSTONE BOMBEROS DE SAN BERNARDO</t>
  </si>
  <si>
    <t>RF-002, RNF-011, RNF-012</t>
  </si>
  <si>
    <t>Catalogo/gestionar_catalogo_articulos.html</t>
  </si>
  <si>
    <t>Crear un artículo y evitar duplicados por diferencias representables como características.</t>
  </si>
  <si>
    <t>Como usuario debo poder ingresar al sistema por inicio de session con mis datos para poder acceder a las funciones que se me permite por mi rol y la compañia de bombero</t>
  </si>
  <si>
    <t>RF-006</t>
  </si>
  <si>
    <t>Permitir ingresar usuario y contraseña
Credenciales válidas permiten el acceso
Credenciales incorrectas muestran un mensaje de error
El sistema identifica el rol y la compañía
El usuario accede solo a las funciones autorizadas</t>
  </si>
  <si>
    <t>Registrar artículos individualizados y por cantidad</t>
  </si>
  <si>
    <t>Paulo Rivas</t>
  </si>
  <si>
    <t>BSB-15 - Consultar inventario de la compañía
BSB-17 - Gestionar artículos por cantidad y número de serie</t>
  </si>
  <si>
    <t>El sistema deberá admitir materiales controlados por cantidad y equipos individualizados mediante su número de serie físico, conservando un identificador interno cuando corresponda. Las características se aplicarán según el tipo de artículo: talla y condición para indumentaria, diámetro y longitud para mangueras y otros datos técnicos pertinentes. Se representarán los valores de las planillas sin convertir automáticamente medidas distintas ni asignar tallas de ropa a materiales que no las utilizan. Deberá permitir registrar valor de adquisición o referencial, moneda, fecha y documento de respaldo, además de vida útil con su unidad, fecha de inicio y vencimiento cuando correspondan. Estos antecedentes se asociarán al equipo o al lote de ingreso, conservando cantidad y valor unitario para no atribuir un precio único a todas las compras del mismo artículo. Los datos desconocidos se distinguirán de cero y no se inventarán series, precios ni fechas. El cálculo de depreciación se tratará según RNF-020.</t>
  </si>
  <si>
    <t>RF-005: Cada compañía y Comandancia disponen de inventario propio en una fuente central, sin mezclar existencias. Se distinguen ámbito responsable, custodia o asignación, ubicación, condición y disponibilidad. Las vistas muestran total, disponible, asignado, prestado y dañado sin sumar categorías superpuestas. Tránsito, reservas y devoluciones pendientes requieren definición.
BSB-15: Consulta del inventario de la compañía.
BSB-17: Asociación del artículo al inventario propio de una compañía o de Comandancia, según su ámbito responsable.</t>
  </si>
  <si>
    <t>Registro de pruebas: BSB-15, BSB-17</t>
  </si>
  <si>
    <t>Ambas reuniones, total, disponible, asignado, prestado y dañado.</t>
  </si>
  <si>
    <t>stock_posicion, equipo_seriado, asignacion_equipo y prestamo_detalle</t>
  </si>
  <si>
    <t>Inventario/consultar_inventario.html y gestion_materiales.html</t>
  </si>
  <si>
    <t>Comprobar separación de ámbitos y total sin doble conteo.</t>
  </si>
  <si>
    <t>14 puntos del registro actual: 14 verificados, 0 ajustes del menú y 0 notas de alcance. Las historias posteriores conservan su revisión por separado.</t>
  </si>
  <si>
    <t>RF-007</t>
  </si>
  <si>
    <t>Registrar estado y observaciones del equipamiento</t>
  </si>
  <si>
    <t>Historia relacionada y refinamiento documental, verificación pendiente</t>
  </si>
  <si>
    <t>Los artículos deberán permitir registrar su estado y condición actual, además de observaciones. El sistema deberá soportar estados 
configurables para representar situaciones utilizadas por Bomberos, tales como operativo, en uso, usado, sin revisión, fuera de 
servicio, propuesto para baja y otras categorías que se definan posteriormente. La condición dañada se registrará separadamente de la asignación, préstamo y ubicación, no implica por sí misma una baja ni se contará dos veces en el total.</t>
  </si>
  <si>
    <t>Cantidad</t>
  </si>
  <si>
    <t>BSB-17 - Gestionar artículos por cantidad y número de serie</t>
  </si>
  <si>
    <t>Porcentaje</t>
  </si>
  <si>
    <t>BSB-17: Diferenciar artículos por cantidad y equipos con serie física. Aplicar características según el tipo de material y conservar su identidad. El refinamiento de RF-006 añade valores de adquisición o referencia, vida útil y vencimiento por equipo o lote de ingreso. Ese refinamiento requiere planificación y pruebas propias, no se considera cubierto por el estado histórico de BSB-17.
Refinamiento documental del 25/10/2026: aplicar la definición vigente de RF-006 del catálogo de requisitos. Las ampliaciones se planifican y prueban por separado, sin cambiar el estado histórico de la historia relacionada.</t>
  </si>
  <si>
    <t>Registro de pruebas: BSB-17</t>
  </si>
  <si>
    <t>Material Menor, Sexta y ejemplo: tipo, talla, calidad, estado, cantidad, serie y observaciones. Primera reunión: valor y vida útil.</t>
  </si>
  <si>
    <t>articulo, articulo_variante, equipo_seriado, lote_ingreso, stock_posicion y movimiento_detalle</t>
  </si>
  <si>
    <t>BSB-8</t>
  </si>
  <si>
    <t>Inventario/registrar_ingreso.html, ventana Antecedentes del material</t>
  </si>
  <si>
    <t>Ingresar cantidad o serie, características aplicables y antecedentes de adquisición, vida útil y vencimiento.</t>
  </si>
  <si>
    <t>Indicador</t>
  </si>
  <si>
    <t>6 puntos del registro actual: 6 verificados, 0 ajustes del menú y 0 notas de alcance. Las historias posteriores conservan su revisión por separado.</t>
  </si>
  <si>
    <t>Gestionar compañías</t>
  </si>
  <si>
    <t>RF-008</t>
  </si>
  <si>
    <t>Valor</t>
  </si>
  <si>
    <t>Registrar ingresos, bajas y pérdidas</t>
  </si>
  <si>
    <t>Interpretación</t>
  </si>
  <si>
    <t>El sistema deberá registrar ingresos al inventario propio de Comandancia o de una compañía, y bajas o pérdidas con fecha, motivo, responsable, observaciones y respaldo asociado, conservando el historial anterior. Una diferencia de inventario o un daño no producirán una baja automática. Los documentos obligatorios y el circuito de autorización de bajas, pérdidas y correcciones quedan pendientes de definición. Las entregas definitivas de Comandancia a compañías se vincularán mediante RF-024, sin registrarlas como dos ingresos independientes.</t>
  </si>
  <si>
    <t>BSB-18 - Registrar estado y observaciones del equipamiento</t>
  </si>
  <si>
    <t>BSB-18: El usuario debe poder registrar el estado y condición actual del artículo y agregar observaciones. Los estados deben ser configurables y permitir representar situaciones utilizadas por Bomberos como Operativo, En uso, Usado, Sin revisión, Fuera de servicio y Propuesto para baja. Los cambios de estado deben conservarse en el historial sin eliminar los registros anteriores del elemento</t>
  </si>
  <si>
    <t>Registro de pruebas: BSB-18</t>
  </si>
  <si>
    <t>Material Menor e inventarios: calidad, estado y observaciones.</t>
  </si>
  <si>
    <t>catalogo_valor, variante_atributo, equipo_seriado.estado_material y stock_posicion.estado_material</t>
  </si>
  <si>
    <t>RF-001, RNF-003, RNF-011</t>
  </si>
  <si>
    <t>Inventario/gestion_materiales.html</t>
  </si>
  <si>
    <t>Cambiar condición y comprobar que no se altera indebidamente custodia, ubicación o propiedad.</t>
  </si>
  <si>
    <t>Como usuario del rol Comandancia debo poder registrar, consultar y actualizar compañías para mantener actualizada y ordenada la información de bomberos dentro del sistema
Referencias: RF-001, RNF-011.
La compañía identifica el ámbito de Bomberos. La conversación sobre cargos no modifica la administración de compañías ya definida ni concede permisos adicionales.
Fuente, reunión con Bomberos: [https://docs.google.com/document/d/1WlP7SfMCuIn0i_VjDbWRqNwzC4Z645Qz/edit|https://docs.google.com/document/d/1WlP7SfMCuIn0i_VjDbWRqNwzC4Z645Qz/edit]</t>
  </si>
  <si>
    <t>RF-009</t>
  </si>
  <si>
    <t>Inventario / Comandancia</t>
  </si>
  <si>
    <t>Se debe poder registrar una nueva compañía
Cada compañía debe contar con identificación, nombre y estado.
Se debe poder consultar la información de una compañía registrada
Se debe poder actualizar la información de una compañía existente
La cantidad de compañías registradas no debe estar limitada a un número fijo
No se debe permitir registrar dos compañías con el mismo identificador
Solo los usuarios autorizados de Comandancia podrán administrar las compañías</t>
  </si>
  <si>
    <t>Buscar disponibilidad entre compañías</t>
  </si>
  <si>
    <t>Comandancia deberá poder buscar artículos por código, nombre o número de serie y consultar el ámbito responsable, ubicación y custodia actual, incluyendo su stock propio y el de compañías. Mostrará cantidades totales, disponibles, asignadas, prestadas y dañadas con detalle, respetando las dimensiones de RF-005 y evitando doble conteo.</t>
  </si>
  <si>
    <t>BSB-16 - Registrar ingreso de artículos al inventario
BSB-19 - Registrar bajas y pérdidas de inventario</t>
  </si>
  <si>
    <t>BSB-16: Se debe seleccionar un artículo del catálogo maestro
BSB-19: Permitir seleccionar un artículo o equipo</t>
  </si>
  <si>
    <t>Registro de pruebas: BSB-16, BSB-19</t>
  </si>
  <si>
    <t>Ambas reuniones, ingresos y respaldo de bajas o pérdidas.</t>
  </si>
  <si>
    <t>movimiento_inventario, movimiento_detalle y auditoria_evento</t>
  </si>
  <si>
    <t>Inventario/registrar_ingreso.html y gestion_materiales.html</t>
  </si>
  <si>
    <t>Registrar ingreso o baja con responsable, motivo y respaldo, conservando historia.</t>
  </si>
  <si>
    <t>20 puntos del registro actual: 19 verificados, 0 ajustes del menú y 1 notas de alcance. Las historias posteriores conservan su revisión por separado.</t>
  </si>
  <si>
    <t>RF-010</t>
  </si>
  <si>
    <t>Equipamiento Personal</t>
  </si>
  <si>
    <t>Gestionar entrega y devolución de equipos a bomberos</t>
  </si>
  <si>
    <t>El sistema deberá permitir asignar un artículo o número de serie específico a un bombero y registrar posteriormente su devolución, almacenando fecha, estado y observaciones.</t>
  </si>
  <si>
    <t>BSB-9</t>
  </si>
  <si>
    <t>BSB-22 - Consultar disponibilidad entre compañías</t>
  </si>
  <si>
    <t>BSB-22: Permitir buscar por código</t>
  </si>
  <si>
    <t>Registro de pruebas: BSB-22</t>
  </si>
  <si>
    <t>Ambas reuniones, disponibilidad transversal de material.</t>
  </si>
  <si>
    <t>Gestionar usuarios</t>
  </si>
  <si>
    <t>stock_posicion, equipo_seriado y consultas de disponibilidad</t>
  </si>
  <si>
    <t>Buscar un material y comprobar cantidades, compañía, custodia y ubicación.</t>
  </si>
  <si>
    <t>10 puntos del registro actual: 10 verificados, 0 ajustes del menú y 0 notas de alcance. Las historias posteriores conservan su revisión por separado.</t>
  </si>
  <si>
    <t>RF-011</t>
  </si>
  <si>
    <t>Consultar equipamiento asignado a un bombero</t>
  </si>
  <si>
    <t>Desde la ficha de un bombero deberá poder consultarse qué elementos mantiene actualmente asignados y revisar las entregas y devoluciones anteriores.</t>
  </si>
  <si>
    <t>RF-002, RF-010, RF-011, RNF-011, RNF-012</t>
  </si>
  <si>
    <t>Equipamiento y Prestamos</t>
  </si>
  <si>
    <t>Media</t>
  </si>
  <si>
    <t>BSB-23 - Entregar equipamiento a un bombero
BSB-24 - Registrar devolución de equipamiento</t>
  </si>
  <si>
    <t>BSB-23: Permitir seleccionar al bombero
BSB-24: Permitir seleccionar un elemento actualmente asignado</t>
  </si>
  <si>
    <t>Registro de pruebas: BSB-23, BSB-24</t>
  </si>
  <si>
    <t>Como usuario autorizado de Comandancia quiero registrar, consultar y actualizar los usuarios para controlar quién puede ingresar al sistema
Referencias: RF-002, RF-010, RF-011, RNF-011.
La cuenta de acceso se distingue del registro de un bombero receptor de equipamiento: registrar receptores no implica crear cuentas para todos. La nómina de quienes requieren acceso sigue pendiente de validación.
Fuente, reunión con Bomberos: [https://docs.google.com/document/d/1WlP7SfMCuIn0i_VjDbWRqNwzC4Z645Qz/edit|https://docs.google.com/document/d/1WlP7SfMCuIn0i_VjDbWRqNwzC4Z645Qz/edit]</t>
  </si>
  <si>
    <t>Primera reunión, fecha, receptor, estado y observaciones de entrega o devolución.</t>
  </si>
  <si>
    <t>asignacion_equipo, movimiento_inventario y movimiento_detalle</t>
  </si>
  <si>
    <t>Equipamiento/gestionar_equipamiento.html</t>
  </si>
  <si>
    <t>Entregar y devolver el mismo equipo o cantidad con historia y saldos.</t>
  </si>
  <si>
    <t>21 puntos del registro actual: 21 verificados, 0 ajustes del menú y 0 notas de alcance. Las historias posteriores conservan su revisión por separado.</t>
  </si>
  <si>
    <t>Se debe poder registrar un nuevo usuario
Se debe poder consultar la información de los usuarios registrados
Se debe poder actualizar la información de un usuario
Cada usuario debe quedar asociado a una compañía o a Comandancia
Cada usuario debe tener un estado, ejemplo activo o inactivo
No se debe permitir registrar dos usuarios con el mismo identificador de acceso
Las credenciales no deben almacenarse en texto</t>
  </si>
  <si>
    <t>RF-012</t>
  </si>
  <si>
    <t>Préstamos</t>
  </si>
  <si>
    <t>Gestionar préstamos entre compañías</t>
  </si>
  <si>
    <t>El sistema deberá permitir registrar préstamos temporales entre compañías indicando origen, destino, artículo, cantidad o serie, 
fecha de entrega y posterior devolución. Se conservarán responsables, custodia y ubicación actual del material prestado. El préstamo mantiene la obligación de devolución y se distingue de la transferencia definitiva de RF-024. Las facultades para registrar entrega y devolución se definirán en la matriz de permisos.</t>
  </si>
  <si>
    <t>Total de requerimientos</t>
  </si>
  <si>
    <t>BSB-25 - Consultar equipamiento asignado a un bombero</t>
  </si>
  <si>
    <t>BSB-25: Mostrar los equipos actualmente asignados</t>
  </si>
  <si>
    <t>Registro de pruebas: BSB-25</t>
  </si>
  <si>
    <t>Primera reunión, equipos a devolver por persona y antecedentes.</t>
  </si>
  <si>
    <t>RF-013</t>
  </si>
  <si>
    <t>asignacion_equipo y movimiento_detalle</t>
  </si>
  <si>
    <t>Equipamiento/gestionar_equipamiento.html y Inventario/historial_compania.html</t>
  </si>
  <si>
    <t>Consultar asignaciones pendientes y devoluciones del receptor.</t>
  </si>
  <si>
    <t>Unidades</t>
  </si>
  <si>
    <t>BSB-10</t>
  </si>
  <si>
    <t>Gestionar carros, vehículos y unidades</t>
  </si>
  <si>
    <t>8 puntos del registro actual: 8 verificados, 0 ajustes del menú y 0 notas de alcance. Las historias posteriores conservan su revisión por separado.</t>
  </si>
  <si>
    <t>El sistema deberá registrar las unidades utilizadas por Bomberos y mantener una ficha asociada a la compañía o dependencia responsable de Bomberos, incluida Comandancia cuando corresponda. La ficha deberá conservar código o identificación, tipo, estado, marca, modelo, año, número de motor, VIN, patente y antecedentes de revisión técnica cuando correspondan. Permitirá consultar capacidades o especialidades técnicas de la unidad, separadas del equipamiento efectivamente disponible y su ubicación. Los códigos, capacidades y dependencias se cotejarán con el padrón vigente de Bomberos, no se darán por oficiales ejemplos no confirmados. El inventario podrá asociarse a la unidad correspondiente. La ficha permitirá identificar los componentes sujetos a control y conservar, cuando corresponda, tipo, marca, modelo, serie propia, posición o ubicación de instalación, fecha de instalación y vencimiento. Los datos específicos de neumáticos, baterías y transmisión de las planillas deberán quedar vinculados a la unidad y a su historial. No se exigirán los mismos atributos a todos los componentes ni se sustituirá su identidad por la serie del vehículo.</t>
  </si>
  <si>
    <t>Asignar rol y compañía a un usuario</t>
  </si>
  <si>
    <t>RF-014</t>
  </si>
  <si>
    <t>BSB-26 - Registrar préstamo entre compañías
BSB-27 - Registrar devolución de préstamo entre compañías
BSB-28 - Consultar préstamos y historial entre compañías</t>
  </si>
  <si>
    <t>BSB-26: Registrar compañía de origen.
BSB-27: Permitir seleccionar un préstamo pendiente
BSB-28: Mostrar préstamos actualmente pendientes</t>
  </si>
  <si>
    <t>Registrar kilometraje y horas de funcionamiento</t>
  </si>
  <si>
    <t>Registro de pruebas: BSB-26, BSB-27, BSB-28</t>
  </si>
  <si>
    <t>Cada unidad deberá permitir registrar cronológicamente kilometraje y horas de funcionamiento. Las horas podrán corresponder a 
motor, bomba y otros componentes que puedan funcionar independientemente del desplazamiento del vehículo. Cada lectura 
deberá conservar fecha y responsable para mantener su trazabilidad. Cada lectura identificará la unidad y, si aplica, el componente medido, la magnitud y su unidad. Kilómetros y horas se conservarán por separado, sin conversiones implícitas. La corrección de una lectura conservará el valor anterior, el motivo, la fecha y el responsable conforme a RNF-010.</t>
  </si>
  <si>
    <t>Ambas reuniones, origen, destino, material, cantidad, responsable y devolución.</t>
  </si>
  <si>
    <t>RF-002, RNF-011</t>
  </si>
  <si>
    <t>prestamo, prestamo_detalle, movimiento_detalle y stock_posicion</t>
  </si>
  <si>
    <t>Prestar y devolver parcial o totalmente sin transferir la propiedad ni duplicar stock.</t>
  </si>
  <si>
    <t>31 puntos del registro actual: 31 verificados, 0 ajustes del menú y 0 notas de alcance. Las historias posteriores conservan su revisión por separado.</t>
  </si>
  <si>
    <t>Como usuario de Comandancia debo poder asignar roles y una compañía a cada usuario para definir los permisos y la información a la que pueden acceder
Referencias: RF-002, RNF-011.
Se distingue cargo de Bomberos, perfil técnico y ámbito asignado. El cargo no concede automáticamente permisos. La matriz de crear, corregir, anular, aprobar, recibir, exportar y administrar y la equivalencia maquinista/cuartelero siguen pendientes. La referencia a compañía se interpreta junto al ámbito Comandancia ya previsto en BSB-9, no se asigna una compañía ficticia a Comandancia.
Fuente, reunión con Bomberos: [https://docs.google.com/document/d/1WlP7SfMCuIn0i_VjDbWRqNwzC4Z645Qz/edit|https://docs.google.com/document/d/1WlP7SfMCuIn0i_VjDbWRqNwzC4Z645Qz/edit]</t>
  </si>
  <si>
    <t>RF-015</t>
  </si>
  <si>
    <t>Cada usuario debe tener un rol asignado
Cada usuario debe quedar enlazado a una compañía
Un usuario de Comandancia debe poder identificarse con su rol correspondiente
Los permisos deben aplicarse según el rol asignado
Los cambios de rol o compañía deben quedar correctamente actualizados
Un usuario no debe obtener permisos que no correspondan a su rol
La información visible debe depender de la compañía y permisos asignados</t>
  </si>
  <si>
    <t>Check in Diario</t>
  </si>
  <si>
    <t>Registrar revisión diaria de unidades</t>
  </si>
  <si>
    <t>El maquinista responsable deberá registrar el check in diario de la unidad, identificando compañía o dependencia, unidad, cuenta responsable, fecha y hora. Incluirá checklist por unidad, estado general, fallas y observaciones, además de kilometraje y/o horas según la unidad y sus componentes, ambos cuando sean aplicables. Las lecturas respetarán RNF-010 y sus correcciones trazables. Completar el registro no equivale a declarar la unidad operativa. Quedan pendientes los ítems obligatorios del checklist y las reglas por día, unidad o turno, excepciones, atrasos y duplicados.</t>
  </si>
  <si>
    <t>Vehiculo y Chek ing diario</t>
  </si>
  <si>
    <t>BSB-29 - Gestionar vehículos y unidades
BSB-30 - Registrar estado operativo y revisión técnica</t>
  </si>
  <si>
    <t>BSB-29: Conservar identificación de unidad, dependencia responsable, tipo, estado, marca, modelo, año, motor, VIN, patente y revisión técnica cuando correspondan. Identificar los componentes y sus datos técnicos aplicables según RF-013, con marca, modelo, serie propia, instalación, posición y vencimiento cuando proceda. Las capacidades técnicas se distinguen del inventario ubicado en la unidad.
BSB-30: Permitir indicar el estado operativo de la unidad
Refinamiento documental del 25/10/2026: aplicar la definición vigente de RF-013 del catálogo de requisitos. Las ampliaciones se planifican y prueban por separado, sin cambiar el estado histórico de la historia relacionada.</t>
  </si>
  <si>
    <t>RF-016</t>
  </si>
  <si>
    <t>Pendiente</t>
  </si>
  <si>
    <t>Check in / Comandancia</t>
  </si>
  <si>
    <t>Supervisar cumplimiento del check in diario</t>
  </si>
  <si>
    <t>Sábana: RT, SN Allison, NEUMÁTICOS y CAMBIO BATERIAS. Identidad de unidad y componentes.</t>
  </si>
  <si>
    <t>unidad, componente_unidad, capacidad y unidad_capacidad</t>
  </si>
  <si>
    <t>Comandancia deberá supervisar el cumplimiento del check in por compañía, unidad y período, mostrando realización o pendiente, fecha, hora y maquinista responsable. La compañía y su capitán podrán consultar su historial y sus registros dentro de su ámbito y detectar faltantes. El panel distinguirá cumplimiento del control, condición operativa y observaciones o fallas, las obligaciones, excepciones y criterio de atraso quedan pendientes de definición.</t>
  </si>
  <si>
    <t>No se encontró pantalla operativa de flota en las rutas actuales.</t>
  </si>
  <si>
    <t>Registrar una unidad y sus componentes con datos técnicos aplicables.</t>
  </si>
  <si>
    <t>BSB-11</t>
  </si>
  <si>
    <t>Parcial, modelo existente y flujo pendiente.</t>
  </si>
  <si>
    <t>Faltan serie, marca, modelo, posición, instalación y vencimiento del componente cuando corresponda.</t>
  </si>
  <si>
    <t>Controlar acceso por compañía</t>
  </si>
  <si>
    <t>RF-017</t>
  </si>
  <si>
    <t>Mantenimiento</t>
  </si>
  <si>
    <t>Gestionar mantenimiento preventivo y correctivo</t>
  </si>
  <si>
    <t>El sistema deberá registrar mantenimientos preventivos y reparaciones correctivas por unidad, con fecha, tipo de intervención, descripción, responsable y estado del trabajo, kilometraje y horas aplicables, taller o proveedor cuando exista, observaciones iniciales y finales, trabajos y piezas intervenidas, pruebas efectuadas y sus resultados. Permitirá adjuntar fotografías anteriores y posteriores conservando las evidencias históricas. Se registrarán la revisión del inspector y la recepción o conformidad del capitán con fecha y responsable, diferenciadas de la ejecución técnica. El momento del cierre, campos obligatorios por etapa, rechazo, reapertura y facultades de corrección quedan pendientes de definición, la conformidad no establecerá automáticamente una regla de cierre no acordada. Se registrará el costo de la intervención cuando se conozca, con moneda, fecha del antecedente y referencia al documento o servicio que lo respalda. Los costos estimados se distinguirán de los efectivamente informados y la falta de información no se registrará como costo cero. El registro de costos no implica implementar un circuito de compras, pagos o contabilidad.</t>
  </si>
  <si>
    <t>BSB-31 - Registrar kilometraje de la unidad
BSB-32 - Registrar horas de funcionamiento de componentes</t>
  </si>
  <si>
    <t>RF-002, RNF-011, RNF-013</t>
  </si>
  <si>
    <t>BSB-31: Registrar kilometraje con unidad, fecha, responsable y correcciones trazables. No confundirlo con horas de funcionamiento ni convertir magnitudes implícitamente.
BSB-32: Registrar horas de funcionamiento de motor, bomba, escala, brazo y otros componentes aplicables, identificando el componente medido, fecha, responsable y correcciones trazables.
Refinamiento documental del 25/10/2026: aplicar la definición vigente de RF-014 del catálogo de requisitos. Las ampliaciones se planifican y prueban por separado, sin cambiar el estado histórico de la historia relacionada.</t>
  </si>
  <si>
    <t>Sábana: PREVENTIVOS_DB, SN Allison y PREVENTIVOS 2025, kilómetros y horas.</t>
  </si>
  <si>
    <t>lectura_unidad y componente_unidad</t>
  </si>
  <si>
    <t>Como usuario de una compañía, quiero ingresar solo a la información autorizada de mi compañía para evitar consultar o modificar información de otras compañías
Referencias: RF-002, RNF-011.
El control mantiene la separación por ámbito y los permisos expresamente definidos. La expresión informal superadministrador no concede edición, eliminación o acceso irrestricto. Las vistas futuras del capitán se refinan en BSB-34/35 y no amplían el compromiso actual.
Fuente, reunión con Bomberos: [https://docs.google.com/document/d/1WlP7SfMCuIn0i_VjDbWRqNwzC4Z645Qz/edit|https://docs.google.com/document/d/1WlP7SfMCuIn0i_VjDbWRqNwzC4Z645Qz/edit]</t>
  </si>
  <si>
    <t>No se encontró pantalla operativa de lecturas en las rutas actuales.</t>
  </si>
  <si>
    <t>Registrar lecturas por magnitud y componente, con corrección trazable y sin retrocesos indebidos.</t>
  </si>
  <si>
    <t>Modelo existente, flujo pendiente.</t>
  </si>
  <si>
    <t>RF-018</t>
  </si>
  <si>
    <t>Un usuario activo solo debe visualizar información correspondiente a su compañía
Un usuario activo no debe poder modificar información de otra compañía
El sistema debe validar los permisos antes de permitir una operación
La compañía activa debe verse claramente en las pantallas principales
Si un usuario intenta acceder a información no autorizada, el sistema debe impedir el acceso
Comandancia debe conservar los permisos superiores definidos para consultar información de las compañías</t>
  </si>
  <si>
    <t>Comprobar cronología y reglas de corrección en el Sprint correspondiente.</t>
  </si>
  <si>
    <t>Consultar historial técnico de una unidad</t>
  </si>
  <si>
    <t>La ficha de cada unidad deberá mostrar cronológicamente revisiones, lecturas de kilometraje y horas, mantenimientos preventivos, reparaciones correctivas, fallas y cambios relevantes de estado. Incluirá trabajos, pruebas y resultados, fotografías anteriores y posteriores, revisión y conformidad de recepción, con fechas y responsables, según permisos. Las intervenciones y fotografías nuevas no sustituirán los antecedentes anteriores, el historial permitirá identificar problemas recurrentes. Incluirá los componentes intervenidos y sus antecedentes de costo disponibles, con moneda y documento de referencia, distinguiendo valores desconocidos o estimados. Las consultas conservarán la relación entre intervención, unidad, componente, evidencias y validaciones.</t>
  </si>
  <si>
    <t>BSB-33 - Realizar check in diario de una unidad
BSB-34 - Consultar historial de check in de una unidad</t>
  </si>
  <si>
    <t>BSB-33: Seleccionar la unidad correspondiente
BSB-34: Mostrar las revisiones anteriores en orden cronológico</t>
  </si>
  <si>
    <t>Ambas reuniones, compañía, unidad, fecha, responsable, checklist, lecturas y novedades.</t>
  </si>
  <si>
    <t>RF-019</t>
  </si>
  <si>
    <t>checkin, checklist_item, checkin_respuesta, lectura_unidad y falla_unidad</t>
  </si>
  <si>
    <t>No se encontró pantalla operativa de check in en las rutas actuales.</t>
  </si>
  <si>
    <t>Completar revisión con cuenta responsable y conservar respuestas históricas.</t>
  </si>
  <si>
    <t>Alertas</t>
  </si>
  <si>
    <t>Ítems, frecuencia y excepciones por unidad requieren configuración y reglas documentadas.</t>
  </si>
  <si>
    <t>BSB-13</t>
  </si>
  <si>
    <t>Gestionar alertas preventivas de mantenimiento</t>
  </si>
  <si>
    <t>Requerimientos funcionales</t>
  </si>
  <si>
    <t>El sistema deberá permitir definir mantenimientos preventivos mediante kilometraje, horas de funcionamiento o fecha y generar 
alertas antes de alcanzar el límite configurado. También deberá permitir controlar vencimientos asociados a revisión técnica y otros
controles periódicos definidos para la unidad. Las vistas de Comandancia y del capitán en su ámbito deberán mostrar mantenimientos próximos, alertas críticas y observaciones relevantes de revisiones diarias. Los umbrales y destinatarios concretos se definirán sin asumir que kilometraje y horas son intercambiables. Cada aviso deberá identificar unidad, componente cuando aplique, control, criterio, lectura o fecha de referencia y umbral. Se comprobarán los casos antes del límite, en el límite y después del límite, sin generar avisos activos repetidos para una misma condición. La atención y el próximo control conservarán su historial.</t>
  </si>
  <si>
    <t>Consultar información desde Comandancia</t>
  </si>
  <si>
    <t>Vehiculo y Chek ing diario
Reporte y Supervicion</t>
  </si>
  <si>
    <t>BSB-34 - Consultar historial de check in de una unidad
BSB-35 - Supervisar cumplimiento del check in desde Comandancia
BSB-44 - Generar reporte de cumplimiento de check in</t>
  </si>
  <si>
    <t>BSB-34: La compañía y su capitán pueden consultar sus registros de check in y su historial dentro del ámbito autorizado.
BSB-35: Mostrar las compañías o unidades que completaron el check in del día
BSB-44: Mostrar check in realizados</t>
  </si>
  <si>
    <t>RF-020</t>
  </si>
  <si>
    <t>Reunión posterior, cumplimiento, hora, responsable y consulta del capitán.</t>
  </si>
  <si>
    <t>Reportes</t>
  </si>
  <si>
    <t>checkin y consultas por fecha_operativa y ámbito</t>
  </si>
  <si>
    <t>Generar reportes operativos principales</t>
  </si>
  <si>
    <t>Dashboard consulta datos, no hay flujo de supervisión completo identificado.</t>
  </si>
  <si>
    <t>Comparar unidades esperadas con realizadas y distinguir cumplimiento de operatividad.</t>
  </si>
  <si>
    <t>RF-003, RF-005, RF-024, RNF-001, RNF-011, RNF-016</t>
  </si>
  <si>
    <t>Parcial.</t>
  </si>
  <si>
    <t>No deducir que una unidad está operativa solo por tener check in.</t>
  </si>
  <si>
    <t>Comandancia deberá poder generar reportes de inventario por compañía, unidad o ubicación, inventario consolidado, estado de 
unidades, cumplimiento de check in y mantenimientos realizados, próximos o vencidos. Los reportes deberán poder filtrarse por 
fecha o rango de fechas y utilizar la información histórica y vigente registrada en el sistema. El inventario propio de Comandancia deberá distinguirse del consolidado, los reportes de cumplimiento separarán realización del check in y condición operativa. La consulta de cada capitán se limitará a su ámbito. Columnas, filtros adicionales y operaciones por rol quedan pendientes de definición. Los reportes podrán consultar los valores de adquisición o referencia, vida útil, vencimientos y costos de mantenimiento que se hayan registrado, indicando moneda, fecha y origen del dato. Los importes desconocidos o de monedas distintas no se sumarán como si fueran comparables. Los días fuera de servicio se calcularán a partir del período documentado, sin sustituir las fechas de origen. Los cálculos oficiales de depreciación y el circuito de compras o pagos quedan separados según RNF-020.</t>
  </si>
  <si>
    <t>Requerimientos orientados a funciones del sistema</t>
  </si>
  <si>
    <t>Como usuario de Comandancia, debo poder consultar información de las distintas compañías para supervisar los inventarios, unidades, revisiones y mantenimientos desde una misma cuenta
Referencias: RF-003, RF-005, RNF-011.
Consultar varias compañías y su consolidado no equivale a gestionar un inventario propio de Comandancia. El stock propio y su distribución se refinan en BSB-15/16/22/42 y BSB-99 (RF-024). Las vistas futuras de alertas y observaciones se refinan en BSB-35/42.
Fuente, reunión con Bomberos: [https://docs.google.com/document/d/1WlP7SfMCuIn0i_VjDbWRqNwzC4Z645Qz/edit|https://docs.google.com/document/d/1WlP7SfMCuIn0i_VjDbWRqNwzC4Z645Qz/edit]</t>
  </si>
  <si>
    <t>Baja</t>
  </si>
  <si>
    <t>Comandancia debe poder seleccionar una compañía.
Debe poder consultar la información correspondiente a la compañía seleccionada.
Debe poder cambiar entre compañías sin cerrar sesión.
El acceso debe respetar los permisos definidos para Comandancia.
La compañía seleccionada debe mostrarse claramente en pantalla.</t>
  </si>
  <si>
    <t>Alexander Elias Lopez Ramos</t>
  </si>
  <si>
    <t>RF-021</t>
  </si>
  <si>
    <t>Mantenimiento y Alerta</t>
  </si>
  <si>
    <t>Inventario / Ubicaciones</t>
  </si>
  <si>
    <t>BSB-36 - Registrar mantenimiento preventivo
BSB-37 - Registrar mantenimiento correctivo</t>
  </si>
  <si>
    <t>Gestionar ubicación del equipamiento</t>
  </si>
  <si>
    <t>El sistema deberá permitir registrar y consultar la ubicación de cada artículo o equipo mediante selección sencilla de unidades, bodegas o dependencias habilitadas, incluidas las de Comandancia. No se exigirá bandeja, cabina o compartimento para la captura habitual, los detalles históricos existentes se conservarán. Cada reubicación registrará origen, destino, artículo, cantidad o serie, fecha y usuario. El movimiento interno, incluido el retiro temporal por mantenimiento, conservará el historial y total del inventario y no se representará como baja y nuevo ingreso. El catálogo de destinos válidos se definirá con Bomberos.</t>
  </si>
  <si>
    <t>BSB-36 y BSB-37: Registrar mantenimiento preventivo y reparación correctiva por unidad, fecha, tipo, descripción, responsable, estado, kilometraje y horas aplicables, taller o proveedor cuando exista, observaciones iniciales y finales, trabajos y piezas intervenidas, pruebas y resultados. Adjuntar fotografías anteriores y posteriores conservando evidencias históricas. Registrar revisión del inspector y recepción o conformidad del capitán, con fecha y responsable, diferenciadas de la ejecución técnica. Cierre, campos por etapa, rechazo, reapertura y facultades de corrección siguen pendientes, la conformidad no implica cierre automático. Incorporar el registro de costos, moneda y antecedente de referencia de RF-017 y RF-018, distinguiendo valor desconocido y estimado. El refinamiento se verifica por separado de la cobertura ya desarrollada.
Refinamiento documental del 25/10/2026: aplicar la definición vigente de RF-017 del catálogo de requisitos. Las ampliaciones se planifican y prueban por separado, sin cambiar el estado histórico de la historia relacionada.</t>
  </si>
  <si>
    <t>Primera reunión y Sábana: intervenciones y costos. Reunión posterior: observaciones, trabajos, pruebas, fotos y recepción.</t>
  </si>
  <si>
    <t>mantenimiento, mantenimiento_evidencia y mantenimiento_validacion</t>
  </si>
  <si>
    <t>No se encontró pantalla operativa de mantenimiento en las rutas actuales.</t>
  </si>
  <si>
    <t>Registrar intervención, pruebas, costo y evidencia, revisión y recepción diferenciadas.</t>
  </si>
  <si>
    <t>Parcial, diferencias de campos y flujo pendiente.</t>
  </si>
  <si>
    <t>Cuatro campos de observaciones y pruebas existen en el SQL, pero no en Django ni en la tabla local. Falta costo con moneda y respaldo.</t>
  </si>
  <si>
    <t>RF-022</t>
  </si>
  <si>
    <t>Requerimientos no funcionales</t>
  </si>
  <si>
    <t>BSB-14</t>
  </si>
  <si>
    <t>Registrar origen o financiamiento del artículo</t>
  </si>
  <si>
    <t>El sistema deberá permitir registrar el origen o forma de financiamiento de un artículo, por ejemplo compra de compañía, 
entrega de Comandancia, llegada con un carro, proyecto y otro origen informado. El origen o financiamiento es un antecedente del artículo y no sustituye el registro de la salida y recepción de una transferencia definitiva de RF-024.</t>
  </si>
  <si>
    <t>Gestionar catálogo maestro de artículos</t>
  </si>
  <si>
    <t>BSB-38 - Consultar historial técnico de una unidad</t>
  </si>
  <si>
    <t>BSB-38: El historial debe mostrar cronológicamente revisiones, lecturas de kilometraje y horas, mantenimientos preventivos, mantenimientos correctivos, fallas y reparaciones. Debe conservar también los cambios relevantes de estado de la unidad. Los registros históricos no deben desaparecer al actualizar el estado actual de la unidad ni al agregar un nuevo mantenimiento Incorporar el registro de costos, moneda y antecedente de referencia de RF-017 y RF-018, distinguiendo valor desconocido y estimado. El refinamiento se verifica por separado de la cobertura ya desarrollada.
Refinamiento documental del 25/10/2026: aplicar la definición vigente de RF-018 del catálogo de requisitos. Las ampliaciones se planifican y prueban por separado, sin cambiar el estado histórico de la historia relacionada.</t>
  </si>
  <si>
    <t>Sábana: BITACORA 2025 y mantenimientos. Reunión posterior: historia de reparaciones, fotos y recepción.</t>
  </si>
  <si>
    <t>RF-023</t>
  </si>
  <si>
    <t>mantenimiento, mantenimiento_evidencia, mantenimiento_validacion y estado_unidad_hist</t>
  </si>
  <si>
    <t>Requerimientos de calidad, seguridad, arquitectura y infraestructura</t>
  </si>
  <si>
    <t>No se encontró ficha técnica operativa completa.</t>
  </si>
  <si>
    <t>Consultar cronología con trabajos, pruebas, componentes, costos y fotografías sin reemplazar antecedentes.</t>
  </si>
  <si>
    <t>Modelo parcial, flujo pendiente.</t>
  </si>
  <si>
    <t>Por definir</t>
  </si>
  <si>
    <t>Reportes / Exportación</t>
  </si>
  <si>
    <t>La presencia de tablas de evidencia y validación no acredita su recorrido de captura y consulta.</t>
  </si>
  <si>
    <t>Exportar reportes a Excel por fecha</t>
  </si>
  <si>
    <t>RF-004, RNF-004, RNF-005</t>
  </si>
  <si>
    <t>El sistema deberá permitir exportar reportes en formato Excel seleccionando una fecha o rango de fechas, para revisar los 
movimientos y actividades realizadas durante un periodo determinado, por ejemplo lo ocurrido durante el día anterior. 
La exportación podrá considerar una compañía específica o información consolidada de Comandancia. Incluirá inventario y comparación de cumplimiento de check in entre compañías, respetando los filtros y el ámbito autorizado de consulta. El diseño de columnas y la facultad de exportación de cada cargo quedan pendientes de definición.</t>
  </si>
  <si>
    <t>Como usuario autorizado, quiero registrar y actualizar artículos en un catálogo maestro para utilizar la misma información de los materiales en todas las compañías
Referencias: RF-004, RNF-004, RNF-005.
La nomenclatura compartida y los atributos existentes deben evitar duplicaciones por nombres locales. Longitud y diámetro de mangueras son ejemplos para validar en el catálogo, no se fija terminología de Bomberos ni obligatoriedad nueva sin esa validación. Se conservan los criterios actuales de código, atributos y no duplicidad.
Fuente, reunión con Bomberos: [https://docs.google.com/document/d/1WlP7SfMCuIn0i_VjDbWRqNwzC4Z645Qz/edit|https://docs.google.com/document/d/1WlP7SfMCuIn0i_VjDbWRqNwzC4Z645Qz/edit]</t>
  </si>
  <si>
    <t>BSB-39 - Configurar intervalos de mantenimiento
BSB-40 - Generar alertas preventivas de mantenimiento
BSB-41 - Consultar mantenimientos próximos y vencidos</t>
  </si>
  <si>
    <t>Se debe registrar un artículo
El artículo maestro debe permitir registrar código, nombre, descripción, categoría, tipo, marca y modelo cuando corresponda
Para los materiales que lo requieran, se debe permitir registrar talla, calidad y otros atributos configurables
Se debe poder consultar y actualizar un artículo existente
Un mismo código no puede representar dos artículos diferentes
No se deben generar duplicados innecesarios del artículo base cuando diferencias como talla, calidad y condición puedan representarse mediante atributos
Los artículos del catálogo deben estar disponibles para ser utilizados por bomberos</t>
  </si>
  <si>
    <t>BSB-39: Configurar controles por kilómetros, horas o fecha según unidad y componente, con intervalo, anticipación y próximo umbral o vencimiento. Conservar la configuración que respalda cada aviso.
BSB-40: Evaluar lecturas o fechas contra sus reglas y generar alertas próximas o vencidas con unidad, componente, criterio y referencia. Probar antes, en y después del límite y evitar avisos activos repetidos para una misma condición.
BSB-41: Consultar controles próximos y vencidos por unidad, componente y criterio, respetando ámbito y permisos. Conservar el historial de atención y el próximo control.
Refinamiento documental del 25/10/2026: aplicar la definición vigente de RF-019 del catálogo de requisitos. Las ampliaciones se planifican y prueban por separado, sin cambiar el estado histórico de la historia relacionada.</t>
  </si>
  <si>
    <t>RNF-001</t>
  </si>
  <si>
    <t>Ambas reuniones y Sábana: intervalos, próximo mantenimiento y revisión técnica.</t>
  </si>
  <si>
    <t>plan_control, regla_control, lectura_unidad y alerta_control</t>
  </si>
  <si>
    <t>Dashboard consulta alertas guardadas. No se encontró servicio de generación automática.</t>
  </si>
  <si>
    <t>No funcional</t>
  </si>
  <si>
    <t>Historias Jira</t>
  </si>
  <si>
    <t>Probar anticipación, límite y vencimiento por kilómetros, horas y fecha, sin avisos activos duplicados.</t>
  </si>
  <si>
    <t>Arquitectura de Datos</t>
  </si>
  <si>
    <t>Modelo existente, generación pendiente.</t>
  </si>
  <si>
    <t>Centralización de la información</t>
  </si>
  <si>
    <t>No reemplazar horas por kilómetros ni considerar terminada la función por la sola existencia de alerta_control.</t>
  </si>
  <si>
    <t>Todas las compañías deberán trabajar sobre una misma fuente central de información, evitando tener que consolidar manualmente archivos Excel para conocer el estado general.</t>
  </si>
  <si>
    <t>Mantenimiento y Alerta
Reporte y Supervicion</t>
  </si>
  <si>
    <t>BSB-41 - Consultar mantenimientos próximos y vencidos
BSB-42 - Consultar resumen general desde Comandancia
BSB-43 - Generar reporte de inventario
BSB-44 - Generar reporte de cumplimiento de check in
BSB-45 - Generar reporte de mantenimientos
BSB-46 - Consultar movimientos y actividades por periodo
BSB-47 - Aplicar filtros a los reportes</t>
  </si>
  <si>
    <t>BSB-15</t>
  </si>
  <si>
    <t>Historias de Usuario creadas y relacionadas con los requerimientos</t>
  </si>
  <si>
    <t>BSB-41: Consultar controles próximos y vencidos por unidad, componente y criterio, respetando ámbito y permisos. Conservar el historial de atención y el próximo control.
BSB-42: Comandancia debe poder consultar un resumen consolidado que incluya inventario, estado de las unidades, cumplimiento de check-in y mantenimientos realizados, próximos y vencidos
BSB-43: Permitir generar reporte por compañía
BSB-44: Mostrar check in realizados
BSB-45: Mostrar mantenimientos realizados
BSB-46: La consulta por periodo debe permitir visualizar entregas, devoluciones, préstamos, ingresos, bajas, pérdidas y cambios de ubicación. Cuando corresponda, debe incluir cambios relevantes de estado, check-in, mantenimientos y lecturas de kilometraje y horas registrados durante el periodo
BSB-47: Los reportes deben permitir aplicar filtros por fecha, rango de fechas y compañía. Cuando el reporte lo permita, también debe poder filtrarse por unidad y ubicación. Los filtros deben respetar los permisos del usuario y no mostrar información de compañías a las que no tenga acceso
Refinamiento documental del 25/10/2026: aplicar la definición vigente de RF-020 del catálogo de requisitos. Las ampliaciones se planifican y prueban por separado, sin cambiar el estado histórico de la historia relacionada.</t>
  </si>
  <si>
    <t>Consultar inventario de la compañía</t>
  </si>
  <si>
    <t>RNF-002</t>
  </si>
  <si>
    <t>Ambas reuniones y Sábana: inventario, cumplimiento, mantenimiento, estado y costos.</t>
  </si>
  <si>
    <t>Consultas sobre inventario, checkin, unidad, mantenimiento y antecedentes económicos</t>
  </si>
  <si>
    <t>Consultas parciales en inventario e historial, reportes de flota y mantenimiento pendientes.</t>
  </si>
  <si>
    <t>Arquitectura</t>
  </si>
  <si>
    <t>Comparar los reportes con sus registros de origen, filtros, ámbito y unidades.</t>
  </si>
  <si>
    <t>Modularidad del sistema de bomberos</t>
  </si>
  <si>
    <t>No sumar monedas distintas ni costos desconocidos como cero. Definir columnas de cada reporte.</t>
  </si>
  <si>
    <t>Inventario, equipamiento personal, préstamos, unidades, check in, mantenimiento y reportes deberán mantenerse lo suficientemente 
separados para poder incorporar nuevas funciones sin reconstruir todo el sistema.</t>
  </si>
  <si>
    <t>RF-003, RF-005, RNF-011, RNF-013</t>
  </si>
  <si>
    <t>BSB-20 - Gestionar ubicación del equipamiento</t>
  </si>
  <si>
    <t>BSB-20: Permitir asociar un artículo a una ubicación</t>
  </si>
  <si>
    <t>Registro de pruebas: BSB-20</t>
  </si>
  <si>
    <t>Como usuario de una compañía, debo consultar el inventario correspondiente a mi compañía para saber los materiales y equipos disponibles
Cada compañía y Comandancia deberán disponer de un inventario propio dentro de una misma fuente central de información, sin mezclar existencias entre ámbitos responsables. Se controlarán artículos por cantidad o individualizados y su ubicación en unidades, bodegas o dependencias habilitadas. Se distinguirán propiedad o ámbito responsable, custodia o asignación, ubicación, condición y disponibilidad. Las vistas mostrarán total, disponible, asignado, prestado y dañado sin sumar categorías superpuestas: un material dañado puede estar asignado o prestado. Las reglas de cálculo para tránsito, reservas y devoluciones pendientes requieren definición.</t>
  </si>
  <si>
    <t>Inventarios Sexta y ejemplo, ubicación. Reunión posterior, unidad, bodega o dependencia.</t>
  </si>
  <si>
    <t>ubicacion, stock_posicion, equipo_seriado y movimiento_detalle</t>
  </si>
  <si>
    <t>Reubicar dentro del ámbito conservando total, serie y movimiento de origen a destino.</t>
  </si>
  <si>
    <t>RNF-003</t>
  </si>
  <si>
    <t>15 puntos del registro actual: 15 verificados, 0 ajustes del menú y 0 notas de alcance. Las historias posteriores conservan su revisión por separado.</t>
  </si>
  <si>
    <t>Mostrar únicamente el inventario correspondiente a la compañía del usuario
Mostrar artículo, cantidad y estado
Permitir buscar artículos dentro del inventario
Mostrar la ubicación del artículo cuando exista
La información de otras compañías no debe mezclarse con el inventario actual
Los datos mostrados deben corresponder a la información registrada en el sistema
Criterios complementarios (RF-005, RF-003).
* Distinguir inventario propio de Comandancia y de cada compañía de la vista consolidada, sin mezclar ámbitos responsables.
* Mostrar total, disponible, asignado, prestado y dañado como dimensiones que pueden superponerse, un artículo dañado y asignado no se cuenta dos veces en el total.</t>
  </si>
  <si>
    <t>Cobertura y comprobaciones</t>
  </si>
  <si>
    <t>Escalabilidad Organizacional</t>
  </si>
  <si>
    <t>Escalabilidad software de bomberos</t>
  </si>
  <si>
    <t>La estructura deberá permitir incorporar nuevas compañías, bodegas, departamentos o otras dependencias mediante configuración, sin modificar el modelo principal del sistema.</t>
  </si>
  <si>
    <t>BSB-21 - Registrar origen o financiamiento del artículo</t>
  </si>
  <si>
    <t>BSB-21: Permitir registrar el origen del artículo</t>
  </si>
  <si>
    <t>Registro de pruebas: BSB-21</t>
  </si>
  <si>
    <t>Inventarios Sexta y ejemplo, origen o financiamiento.</t>
  </si>
  <si>
    <t>catalogo_valor, equipo_seriado.origen y stock_posicion.origen</t>
  </si>
  <si>
    <t>Las hojas Resultados de pruebas y Registro de pruebas reúnen las comprobaciones de los Sprint 1 y 2, con una columna Sprint y los casos de respaldo. La ejecución corresponde al 25/10/2026. Historias Jira conserva el contenido vigente de las historias revisadas. El contenido recuperado de la primera reunión procede del consolidado del 4 de septiembre. No se modificaron los estados ni el cronograma de Jira.</t>
  </si>
  <si>
    <t>Registrar procedencia y comprobar su persistencia en consulta e historia.</t>
  </si>
  <si>
    <t>RNF-004</t>
  </si>
  <si>
    <t>BSB-16</t>
  </si>
  <si>
    <t>Configuración</t>
  </si>
  <si>
    <t>Configurabilidad interna de catálogos</t>
  </si>
  <si>
    <t>Registrar ingreso de artículos al inventario</t>
  </si>
  <si>
    <t>Categorías, tipos de artículos, tallas, estados, condiciones, tipos de unidades, orígenes o formas de financiamiento y otras clasificaciones utilizadas por Bomberos deberán poder ampliarse o modificarse sin alterar los registros históricos existentes.</t>
  </si>
  <si>
    <t>RNF-005</t>
  </si>
  <si>
    <t>Reporte y Supervicion</t>
  </si>
  <si>
    <t>BSB-47 - Aplicar filtros a los reportes
BSB-48 - Exportar reportes a Excel</t>
  </si>
  <si>
    <t>BSB-47: Los reportes deben permitir aplicar filtros por fecha, rango de fechas y compañía. Cuando el reporte lo permita, también debe poder filtrarse por unidad y ubicación
BSB-48: Permitir exportar el reporte en formato Excel</t>
  </si>
  <si>
    <t>Integridad</t>
  </si>
  <si>
    <t>RF-005, RF-008, RF-024, RNF-008, RNF-009</t>
  </si>
  <si>
    <t>Consistencia del catálogo de bomberos</t>
  </si>
  <si>
    <t>Reunión posterior, exportación de inventario y cumplimiento por fecha o rango.</t>
  </si>
  <si>
    <t>Consultas y exportadores autorizados</t>
  </si>
  <si>
    <t>Como usuario autorizado de una compañía, quiero registrar el ingreso de los nuevos artículos para mantener actualizado el inventario
El sistema deberá registrar ingresos al inventario propio de Comandancia o de una compañía, y bajas o pérdidas con fecha, motivo, responsable, observaciones y respaldo asociado, conservando el historial anterior. Una diferencia de inventario o un daño no producirán una baja automática. Los documentos obligatorios y el circuito de autorización de bajas, pérdidas y correcciones quedan pendientes de definición. Las entregas definitivas de Comandancia a compañías se vincularán mediante RF-024, sin registrarlas como dos ingresos independientes.</t>
  </si>
  <si>
    <t>Exportadores de cuentas y catálogo, cobertura global por comprobar.</t>
  </si>
  <si>
    <t>Un mismo tipo de material deberá conservar una identificación común dentro del catálogo maestro. Las diferencias de talla, estado, calidad y otras características no deberán generar duplicados innecesarios del artículo base cuando puedan representarse mediante atributos asociados.</t>
  </si>
  <si>
    <t>Abrir el archivo exportado y comparar filtros, fechas, columnas y ámbito con la consulta.</t>
  </si>
  <si>
    <t>La exportación de una pantalla no demuestra cobertura de todos los reportes.</t>
  </si>
  <si>
    <t>Se debe seleccionar un artículo del catálogo maestro
Permitir ingresar la cantidad recibida
Registrar la fecha de ingreso
Registrar la compañía a la que pertenece el movimiento
Permitir indicar la ubicación inicial del artículo
Actualizar las existencias después de confirmar el ingreso
El movimiento debe quedar registrado en el historial
Criterios complementarios (RF-008, RF-005).
* Identificar el ámbito responsable del ingreso: compañía o inventario propio de Comandancia.
* La recepción de una transferencia definitiva se vincula a su salida en BSB-99 (RF-024), no se representa como dos ingresos independientes.</t>
  </si>
  <si>
    <t>RNF-006</t>
  </si>
  <si>
    <t>No duplicados de números serie</t>
  </si>
  <si>
    <t>Cuando un artículo requiera número de serie individual, un mismo número de serie no podrá quedar asociado al mismo tiempo a dos elementos distintos.</t>
  </si>
  <si>
    <t>BSB-13: Comandancia debe poder seleccionar una compañía.
BSB-42: Comandancia debe poder consultar un resumen consolidado que incluya inventario, estado de las unidades, cumplimiento de check-in y mantenimientos realizados, próximos y vencidos. La información mostrada debe respetar los datos vigentes de todas las compañías según los permisos de Comandancia</t>
  </si>
  <si>
    <t>Fuente central</t>
  </si>
  <si>
    <t>Tablas de dominio y relaciones</t>
  </si>
  <si>
    <t>Transversal, según formulario y operación.</t>
  </si>
  <si>
    <t>Comprobar que las consultas usan la misma fuente y respetan ámbitos.</t>
  </si>
  <si>
    <t>BSB-17</t>
  </si>
  <si>
    <t>RNF-007</t>
  </si>
  <si>
    <t>Gestionar artículos por cantidad y número de serie</t>
  </si>
  <si>
    <t>Integridad de existencias de compañías y Comandancia</t>
  </si>
  <si>
    <t>Una entrega, préstamo, baja, transferencia o movimiento de otro tipo no deberá reducir las existencias disponibles de una compañía o Comandancia por debajo de cero ni duplicar material en el consolidado. Las dimensiones de condición, custodia y ubicación no se sumarán como categorías excluyentes cuando se superpongan. Las reglas de saldo en tránsito, recepción parcial, rechazo y anulación de transferencias quedan pendientes de definición.</t>
  </si>
  <si>
    <t>Arquitectura / Diseño</t>
  </si>
  <si>
    <t>Separación de módulos</t>
  </si>
  <si>
    <t>apps.core, cuentas, personal, inventario, flota y mantenimiento</t>
  </si>
  <si>
    <t>Revisar dependencias y recorridos de integración.</t>
  </si>
  <si>
    <t>Verificación específica pendiente.</t>
  </si>
  <si>
    <t>La existencia de código o tablas no acredita por sí sola el cumplimiento no funcional.</t>
  </si>
  <si>
    <t>RF-005, RF-006, RNF-006</t>
  </si>
  <si>
    <t>RNF-008</t>
  </si>
  <si>
    <t>Trazabilidad</t>
  </si>
  <si>
    <t>Como usuario de una compañía, quiero registrar materiales por cantidad o por el número de serie para controlar correctamente los diferentes tipos de equipamiento</t>
  </si>
  <si>
    <t>Trazabilidad histórica de movimientos del programa</t>
  </si>
  <si>
    <t>Entregas, devoluciones, préstamos, ingresos, bajas, pérdidas, cambios de ubicación, cambios relevantes de estado, check in, 
lecturas de kilometraje y horas y mantenimientos deberán conservarse históricamente aunque posteriormente cambie 
el estado actual del artículo o unidad. Se incluirán salidas y recepciones vinculadas de transferencias definitivas, evidencias fotográficas, pruebas y conformidades de mantenimiento, preservando los antecedentes previos.</t>
  </si>
  <si>
    <t>El sistema debe diferenciar artículos controlados por cantidad de aquellos individualizados mediante número de serie
Los artículos controlados por cantidad deben poder registrar tipo, talla, calidad, estado y observaciones cuando corresponda
El número de serie debe corresponder al número físico cuando exista
No permitir registrar dos artículos con el mismo número de serie
Cada artículo debe quedar asociado al inventario propio de una compañía o de Comandancia, según su ámbito responsable, sin mezclar existencias entre ámbitos
Se podrá consultar el número de serie del artículo</t>
  </si>
  <si>
    <t>Configuración organizacional</t>
  </si>
  <si>
    <t>compania y ubicacion</t>
  </si>
  <si>
    <t>RNF-009</t>
  </si>
  <si>
    <t>Añadir una dependencia de prueba sin cambiar límites en código.</t>
  </si>
  <si>
    <t>Auditoría</t>
  </si>
  <si>
    <t>Registro de información de operaciones importantes</t>
  </si>
  <si>
    <t>Los movimientos importantes deberán almacenar automáticamente usuario, fecha y hora para poder saber quién realizó cada acción.</t>
  </si>
  <si>
    <t>BSB-18</t>
  </si>
  <si>
    <t>BSB-14 - Gestionar catálogo maestro de artículos
BSB-21 - Registrar origen o financiamiento del artículo</t>
  </si>
  <si>
    <t>RNF-004: Categorías, tipos de artículos, tallas, estados, condiciones, tipos de unidades, orígenes o formas de financiamiento y otras clasificaciones utilizadas por Bomberos deberán poder ampliarse o modificarse sin alterar los registros históricos existentes.
Cobertura planificada con BSB-14 y BSB-21, comprobar preservación de históricos. Prueba y evidencia pendientes.</t>
  </si>
  <si>
    <t>Registro de pruebas: BSB-14, BSB-21</t>
  </si>
  <si>
    <t>Valores de catálogos y características</t>
  </si>
  <si>
    <t>catalogo_valor, atributo_def y atributo_opcion</t>
  </si>
  <si>
    <t>Comprobar talla única, adulto y medidas reales según aplicabilidad.</t>
  </si>
  <si>
    <t>RNF-010</t>
  </si>
  <si>
    <t>13 puntos del registro actual: 13 verificados, 0 ajustes del menú y 0 notas de alcance. Las historias posteriores conservan su revisión por separado.</t>
  </si>
  <si>
    <t>Validar el progreso de kilometraje y horas</t>
  </si>
  <si>
    <t>Una nueva lectura de horas de funcionamiento o kilometraje no podrá ser menor a la última lectura válida registrada para la misma unidad o componente, salvo que exista un procedimiento de corrección que conserve el valor anterior, motivo del ajuste, fecha y usuario responsable.</t>
  </si>
  <si>
    <t>RF-005, RF-007, RNF-008</t>
  </si>
  <si>
    <t>Como usuario autorizado, debo registrar el estado y observaciones de los artículos para conocer la condición actual
Los artículos deberán permitir registrar su estado y condición actual, además de observaciones. El sistema deberá soportar estados
configurables para representar situaciones utilizadas por Bomberos, tales como operativo, en uso, usado, sin revisión, fuera de
servicio, propuesto para baja y otras categorías que se definan posteriormente. La condición dañada se registrará separadamente de la asignación, préstamo y ubicación, no implica por sí misma una baja ni se contará dos veces en el total.</t>
  </si>
  <si>
    <t>BSB-14: Un mismo código no puede representar dos artículos diferentes. No se deben generar duplicados innecesarios del artículo base cuando diferencias como talla, calidad y condición puedan representarse mediante atributos</t>
  </si>
  <si>
    <t>RNF-011</t>
  </si>
  <si>
    <t>Nomenclatura y dimensiones de materiales</t>
  </si>
  <si>
    <t>articulo, articulo_variante y variante_atributo</t>
  </si>
  <si>
    <t>El usuario debe poder registrar el estado y condición actual del artículo y agregar observaciones
Los estados deben ser configurables y permitir representar situaciones utilizadas por Bomberos como Operativo, En uso, Usado, Sin revisión, Fuera de servicio y Propuesto para baja
Mostrar el estado actual al consultar el artículo
Los cambios de estado deben conservarse en el historial sin eliminar los registros anteriores del elemento
Criterios complementarios (RF-007, RF-005).
* Registrar condición dañada separada de custodia, préstamo y ubicación.
* Un daño no genera baja automática ni doble conteo del material.</t>
  </si>
  <si>
    <t>Evitar duplicados y conservar diferencias técnicas reales.</t>
  </si>
  <si>
    <t>Seguridad</t>
  </si>
  <si>
    <t>Restringir acceso según rol y compañía</t>
  </si>
  <si>
    <t>Un usuario operativo no deberá modificar directamente registros de otra compañía, mientras que Comandancia podrá acceder a 
información consolidada según sus permisos. Cargo en Bomberos, perfil técnico y ámbito se distinguirán, el cargo por sí solo no concederá permisos. Las facultades de crear, corregir, anular, aprobar, recibir, exportar y administrar se definirán expresamente en una matriz por cargo y ámbito, sin asumir que la descripción informal de superusuario concede acceso irrestricto.</t>
  </si>
  <si>
    <t>RNF-012</t>
  </si>
  <si>
    <t>BSB-17: No permitir registrar dos artículos con el mismo número de serie</t>
  </si>
  <si>
    <t>Serie física del equipo</t>
  </si>
  <si>
    <t>Proteger las credenciales de acceso</t>
  </si>
  <si>
    <t>equipo_seriado.numero_serie y uq_equipo_numero_serie</t>
  </si>
  <si>
    <t>Las contraseñas deberán almacenarse mediante mecanismos seguros de hash y nunca quedar guardadas en texto plano.</t>
  </si>
  <si>
    <t>Rechazar series duplicadas normalizadas y cambios de la serie original.</t>
  </si>
  <si>
    <t>BSB-19</t>
  </si>
  <si>
    <t>Registrar bajas y pérdidas de inventario</t>
  </si>
  <si>
    <t>RNF-013</t>
  </si>
  <si>
    <t>Usabilidad</t>
  </si>
  <si>
    <t>Claridad del contexto visual de ingreso a la plataforma</t>
  </si>
  <si>
    <t>Catalogo y Inventario
Equipamiento y Prestamos</t>
  </si>
  <si>
    <t>BSB-19 - Registrar bajas y pérdidas de inventario
BSB-26 - Registrar préstamo entre compañías</t>
  </si>
  <si>
    <t>En las pantallas de inventario, préstamos, unidades o check in deberá mostrarse claramente la compañía sobre la cual está 
trabajando el usuario para evitar registros incorrectos. Cuando se opere sobre otra dependencia habilitada o Comandancia, se mostrará ese ámbito y se distinguirá inventario propio de vista consolidada.</t>
  </si>
  <si>
    <t>BSB-19: Permitir seleccionar un artículo o equipo
BSB-26: Registrar compañía de origen.</t>
  </si>
  <si>
    <t>Registro de pruebas: BSB-19, BSB-26</t>
  </si>
  <si>
    <t>Existencias e identidad en movimientos</t>
  </si>
  <si>
    <t>stock_posicion, movimiento_detalle y servicios transaccionales</t>
  </si>
  <si>
    <t>Probar cantidades positivas, saldos y devoluciones sin duplicados.</t>
  </si>
  <si>
    <t>RF-008, RF-024, RNF-007, RNF-008, RNF-009</t>
  </si>
  <si>
    <t>Como usuario autorizado, quiero registrar la baja o pérdida de un artículo para mantener actualizado el inventario sin perder el historial
El sistema deberá registrar ingresos al inventario propio de Comandancia o de una compañía, y bajas o pérdidas con fecha, motivo, responsable, observaciones y respaldo asociado, conservando el historial anterior. Una diferencia de inventario o un daño no producirán una baja automática. Los documentos obligatorios y el circuito de autorización de bajas, pérdidas y correcciones quedan pendientes de definición. Las entregas definitivas de Comandancia a compañías se vincularán mediante RF-024, sin registrarlas como dos ingresos independientes.</t>
  </si>
  <si>
    <t>Permitir seleccionar un artículo o equipo
Registrar si corresponde a una baja o pérdida
Registrar fecha
Registrar motivo
Registrar responsable
Permitir agregar observaciones
Actualizar la disponibilidad del elemento
No permitir que el movimiento genere existencias negativas
Mantener el historial después de realizar la operación
Criterios complementarios (RF-008, RNF-008).
* Conservar respaldo asociado, fecha, motivo, responsable y historial de la baja o pérdida.
* Una diferencia de inventario o daño no produce baja automática, documentos obligatorios y autorizadores requieren definición.</t>
  </si>
  <si>
    <t>Catalogo y Inventario
Equipamiento y Prestamos
Vehiculo y Chek ing diario
Mantenimiento y Alerta
Reporte y Supervicion</t>
  </si>
  <si>
    <t>BSB-16 - Registrar ingreso de artículos al inventario
BSB-18 - Registrar estado y observaciones del equipamiento
BSB-19 - Registrar bajas y pérdidas de inventario
BSB-20 - Gestionar ubicación del equipamiento
BSB-23 - Entregar equipamiento a un bombero
BSB-24 - Registrar devolución de equipamiento
BSB-25 - Consultar equipamiento asignado a un bombero
BSB-26 - Registrar préstamo entre compañías
BSB-27 - Registrar devolución de préstamo entre compañías
BSB-28 - Consultar préstamos y historial entre compañías
BSB-33 - Realizar check in diario de una unidad
BSB-34 - Consultar historial de check in de una unidad
BSB-36 - Registrar mantenimiento preventivo
BSB-37 - Registrar mantenimiento correctivo
BSB-38 - Consultar historial técnico de una unidad
BSB-46 - Consultar movimientos y actividades por periodo</t>
  </si>
  <si>
    <t>RNF-014</t>
  </si>
  <si>
    <t>BSB-16: Se debe seleccionar un artículo del catálogo maestro
BSB-18: Los cambios de estado deben conservarse en el historial sin eliminar los registros anteriores del elemento
BSB-19: Permitir seleccionar un artículo o equipo
BSB-20: Permitir asociar un artículo a una ubicación
BSB-23: Permitir seleccionar al bombero
BSB-24: Permitir seleccionar un elemento actualmente asignado
BSB-25: Mostrar los equipos actualmente asignados
BSB-26: Registrar compañía de origen.
BSB-27: Permitir seleccionar un préstamo pendiente
BSB-28: Mostrar préstamos actualmente pendientes
BSB-33: Seleccionar la unidad correspondiente
BSB-34: Mostrar las revisiones anteriores en orden cronológico
BSB-36: El mantenimiento debe quedar asociado a la unidad correspondiente y conservarse en su historial técnico
BSB-37: La reparación debe quedar asociada a la unidad y formar parte de su historial técnico
BSB-38: El historial debe mostrar cronológicamente revisiones, lecturas de kilometraje y horas, mantenimientos preventivos, mantenimientos correctivos, fallas y reparaciones. Debe conservar también los cambios relevantes de estado de la unidad. Los registros históricos no deben desaparecer al actualizar el estado actual de la unidad ni al agregar un nuevo mantenimiento
BSB-46: Mostrar fecha y hora de las operaciones y el usuario responsable cuando corresponda. La consulta por periodo debe permitir visualizar entregas, devoluciones, préstamos, ingresos, bajas, pérdidas y cambios de ubicación. Cuando corresponda, debe incluir cambios relevantes de estado, check-in, mantenimientos y lecturas de kilometraje y horas registrados durante el periodo</t>
  </si>
  <si>
    <t>Registro de pruebas: BSB-16, BSB-18, BSB-19, BSB-20, BSB-23, BSB-24, BSB-25, BSB-26, BSB-27, BSB-28</t>
  </si>
  <si>
    <t>Eficiencia y usabilidad del check in diario de bomberos</t>
  </si>
  <si>
    <t>Historia de cambios</t>
  </si>
  <si>
    <t>movimiento_inventario, movimiento_detalle y tablas históricas</t>
  </si>
  <si>
    <t>La revisión diaria deberá poder completarse mediante un flujo directo, evitando que el usuario tenga que entrar a distintos módulos para registrar los datos habituales de una unidad.</t>
  </si>
  <si>
    <t>Conservar movimientos y evidencias anteriores al modificar el estado actual.</t>
  </si>
  <si>
    <t>101 puntos del registro actual: 100 verificados, 0 ajustes del menú y 1 notas de alcance. Las historias posteriores conservan su revisión por separado.</t>
  </si>
  <si>
    <t>BSB-20</t>
  </si>
  <si>
    <t>RNF-015</t>
  </si>
  <si>
    <t>BSB-16 - Registrar ingreso de artículos al inventario
BSB-19 - Registrar bajas y pérdidas de inventario
BSB-23 - Entregar equipamiento a un bombero
BSB-24 - Registrar devolución de equipamiento
BSB-26 - Registrar préstamo entre compañías
BSB-27 - Registrar devolución de préstamo entre compañías
BSB-31 - Registrar kilometraje de la unidad
BSB-32 - Registrar horas de funcionamiento de componentes
BSB-33 - Realizar check in diario de una unidad
BSB-36 - Registrar mantenimiento preventivo
BSB-37 - Registrar mantenimiento correctivo
BSB-46 - Consultar movimientos y actividades por periodo</t>
  </si>
  <si>
    <t>Configurable el intervalo de límites del mantenimiento</t>
  </si>
  <si>
    <t>Los límites de mantenimiento por kilometraje, horas de funcionamiento o fecha deberán almacenarse como parámetros configurables por unidad, tipo de mantenimiento o componente cuando corresponda, evitando valores escritos directamente en el código.</t>
  </si>
  <si>
    <t>BSB-16: Se debe seleccionar un artículo del catálogo maestro
BSB-19: Permitir seleccionar un artículo o equipo
BSB-23: Permitir seleccionar al bombero
BSB-24: Permitir seleccionar un elemento actualmente asignado
BSB-26: Registrar compañía de origen.
BSB-31: Permitir ingresar una nueva lectura de kilometraje
BSB-32: Permitir registrar horas de funcionamiento de bombas, escalas, brazos o otros componentes
BSB-33: Seleccionar la unidad correspondiente
BSB-36: Registrar al responsable de la operación
BSB-37: Registrar al responsable de la operación
BSB-46: Mostrar fecha y hora de las operaciones y el usuario responsable cuando corresponda</t>
  </si>
  <si>
    <t>Registro de pruebas: BSB-16, BSB-19, BSB-23, BSB-24, BSB-26, BSB-27</t>
  </si>
  <si>
    <t>Usuario, fecha y motivo de operación</t>
  </si>
  <si>
    <t>auditoria_evento y movimientos</t>
  </si>
  <si>
    <t>Consultar quién realizó la operación y su motivo, sin exponer secretos.</t>
  </si>
  <si>
    <t>RF-021, RNF-008</t>
  </si>
  <si>
    <t>62 puntos del registro actual: 61 verificados, 0 ajustes del menú y 1 notas de alcance. Las historias posteriores conservan su revisión por separado.</t>
  </si>
  <si>
    <t>RNF-016</t>
  </si>
  <si>
    <t>Como usuario de una compañía, debo registrar la ubicación de los artículos para saber dónde se encuentra cada material o equipo
El sistema deberá permitir registrar y consultar la ubicación de cada artículo o equipo mediante selección sencilla de unidades, bodegas o dependencias habilitadas, incluidas las de Comandancia. No se exigirá bandeja, cabina o compartimento para la captura habitual, los detalles históricos existentes se conservarán. Cada reubicación registrará origen, destino, artículo, cantidad o serie, fecha y usuario. El movimiento interno, incluido el retiro temporal por mantenimiento, conservará el total y historial del inventario y no se representará como baja y nuevo ingreso. El catálogo de destinos válidos se definirá con Bomberos.</t>
  </si>
  <si>
    <t>Disponibilidad de Información</t>
  </si>
  <si>
    <t>Información disponible y consistencia</t>
  </si>
  <si>
    <t>Una operación confirmada por una compañía deberá quedar disponible para consulta desde Comandancia sin tener que esperar procesos manuales.</t>
  </si>
  <si>
    <t>Permitir asociar un artículo a una ubicación
La ubicación podrá corresponder a un carro, unidad, bodega, cabina, compartimento o otra ubicación
Permitir modificar la ubicación cuando un artículo sea trasladado
Permitir consultar inventario según ubicación
Los cambios de ubicación deben conservarse en el historial
La ubicación debe pertenecer a la compañía correspondiente
Criterios complementarios (RF-021, RNF-008).
* Seleccionar destino entre unidades, bodegas o dependencias habilitadas, incluidas las de Comandancia, mostrando el ámbito responsable.
* No exigir cabina, bandeja ni compartimento en la captura habitual, conservar los detalles históricos existentes.
* Registrar origen, destino, artículo, cantidad o serie, fecha y usuario en la reubicación.
* El traslado interno, incluido retiro temporal por mantenimiento, conserva el total y el historial, no se registra como baja y nuevo ingreso.</t>
  </si>
  <si>
    <t>RNF-010: Una nueva lectura de horas de funcionamiento o kilometraje no podrá ser menor a la última lectura válida registrada para la misma unidad o componente, salvo que exista un procedimiento de corrección que conserve el valor anterior, motivo del ajuste, fecha y usuario responsable.
Cobertura planificada con BSB-31 y BSB-32: monotonicidad y corrección auditada. Prueba y evidencia pendientes.</t>
  </si>
  <si>
    <t>RNF-017</t>
  </si>
  <si>
    <t>Lecturas acumulativas y correcciones</t>
  </si>
  <si>
    <t>lectura_unidad.reemplaza_lectura y motivo_correccion</t>
  </si>
  <si>
    <t>Respaldo y Recuperación</t>
  </si>
  <si>
    <t>Proteger historial y inventario frente a pérdida de datos</t>
  </si>
  <si>
    <t>Probar cronología, magnitud y corrección con antecedente conservado.</t>
  </si>
  <si>
    <t>La solución deberá considerar respaldos periódicos de la base de datos y de los archivos adjuntos, incluidas fotografías históricas, junto con sus vínculos a unidades, mantenimientos y movimientos. El procedimiento de restauración deberá recuperar registros históricos y actuales, archivos y relaciones verificando su integridad. Frecuencia, retención, capacidad, límites de fotografías y responsables operativos quedan pendientes de definición según infraestructura.</t>
  </si>
  <si>
    <t>BSB-21</t>
  </si>
  <si>
    <t>RNF-018</t>
  </si>
  <si>
    <t>Infraestructura</t>
  </si>
  <si>
    <t>Usuarios y control de acceso
Catalogo y Inventario
Equipamiento y Prestamos
Vehiculo y Chek ing diario</t>
  </si>
  <si>
    <t>Mantener independencia del entorno de despliegue</t>
  </si>
  <si>
    <t>BSB-7 - Iniciar sesión en el sistema
BSB-10 - Asignar rol y compañía a un usuario
BSB-11 - Controlar acceso por compañía
BSB-15 - Consultar inventario de la compañía
BSB-22 - Consultar disponibilidad entre compañías
BSB-26 - Registrar préstamo entre compañías
BSB-28 - Consultar préstamos y historial entre compañías
BSB-35 - Supervisar cumplimiento del check in desde Comandancia
BSB-100 - Iniciar sesión desde la interfaz de Bomberos</t>
  </si>
  <si>
    <t>El sistema deberá poder instalarse y funcionar en un servidor local de Bomberos de San Bernardo, permitiendo que los distintos 
equipos conectados a la red interna puedan acceder al sistema de manera centralizada. Deberá contemplar acceso remoto desde computadores, teléfonos y tablets, condicionado a la infraestructura y mecanismo seguro que se validen con Bomberos. Quedan por definir alojamiento, conectividad, certificados, autenticación, sesiones, dispositivos y responsables. No se presupone exposición pública, sesión permanente ni infraestructura ya disponible.</t>
  </si>
  <si>
    <t>BSB-7: Permitir ingresar usuario y contraseña
BSB-10: Cada usuario debe tener un rol asignado
BSB-11: Un usuario activo solo debe visualizar información correspondiente a su compañía
BSB-15: Mostrar únicamente el inventario correspondiente a la compañía del usuario
BSB-22: Permitir buscar por código
BSB-26: Registrar compañía de origen.
BSB-28: Mostrar préstamos actualmente pendientes
BSB-35: Mostrar las compañías o unidades que completaron el check in del día
BSB-100: Mostrar error sin permitir acceso si las credenciales son inválidas, permitir solo la navegación autorizada según el perfil y la compañía.</t>
  </si>
  <si>
    <t>Registro de pruebas: BSB-10, BSB-100, BSB-11, BSB-15, BSB-22, BSB-26, BSB-28, BSB-7</t>
  </si>
  <si>
    <t>Cargos, perfiles y ámbito</t>
  </si>
  <si>
    <t>usuario, rol y controles de autorización</t>
  </si>
  <si>
    <t>Probar consulta y modificación permitida y denegada por operación y ámbito.</t>
  </si>
  <si>
    <t>60 puntos del registro actual: 58 verificados, 2 ajustes del menú y 0 notas de alcance. Las historias posteriores conservan su revisión por separado.</t>
  </si>
  <si>
    <t>RNF-019</t>
  </si>
  <si>
    <t>Medium</t>
  </si>
  <si>
    <t>Compatibilidad de Datos</t>
  </si>
  <si>
    <t>Facilitar una futura migración desde Excel</t>
  </si>
  <si>
    <t>RF-022, RF-024, RNF-004</t>
  </si>
  <si>
    <t>El modelo de datos deberá considerar la información utilizada actualmente en las planillas entregadas por Bomberos de San 
Bernardo. Para inventario y material menor deberá contemplar, cuando corresponda, tipo de material, talla, calidad, estado, cantidad 
y observaciones. Para unidades deberá permitir representar identificación de unidad, compañía, tipo, estado, marca, modelo, año, 
número de motor, VIN, patente, revisión técnica, kilometraje, horas de funcionamiento y antecedentes de mantenimiento. 
La estructura deberá permitir una futura migración de estos registros sin requerir rediseñar el modelo principal de datos. La correspondencia se documentará por archivo, hoja y columna de origen, requisito, entidad y campo o cálculo de destino, formulario y caso de prueba. Se identificarán equivalencias de catálogos, unidades, fechas, series múltiples y valores sin informar. Se conservará el antecedente de origen y no se darán por migrados datos cuya transformación o resultado no se haya comprobado.</t>
  </si>
  <si>
    <t>BSB-7 - Iniciar sesión en el sistema
BSB-9 - Gestionar usuarios</t>
  </si>
  <si>
    <t>Como usuario autorizado, quiero registrar el origen o forma de financiamiento de los artículos para mantener información sobre cómo fueron ingresados al inventario
El sistema deberá permitir registrar el origen o forma de financiamiento de un artículo, por ejemplo compra de compañía,
entrega de Comandancia, llegada con un carro, proyecto y otro origen informado. El origen o financiamiento es un antecedente del artículo y no sustituye el registro de la salida y recepción de una transferencia definitiva de RF-024.</t>
  </si>
  <si>
    <t>BSB-7: Permitir ingresar usuario y contraseña
BSB-9: Se debe poder registrar un nuevo usuario</t>
  </si>
  <si>
    <t>Registro de pruebas: BSB-7, BSB-9</t>
  </si>
  <si>
    <t>Credenciales</t>
  </si>
  <si>
    <t>Permitir registrar el origen del artículo
Poder indicar opciones como compra de compañía, entrega de Comandancia, llegada con un carro, proyecto o otro origen
Permitir consultar el origen posteriormente
El dato podrá quedar vacío cuando no corresponda o no exista información
Las opciones de origen deben poder ampliarse en el futuro
Criterios complementarios (RF-022, RF-024).
* El dato de origen o financiamiento no sustituye la salida y recepción vinculadas de una transferencia definitiva (BSB-99).</t>
  </si>
  <si>
    <t>Usuario de Django y autenticación</t>
  </si>
  <si>
    <t>Comprobar hash y ausencia de contraseñas en registros o repositorio.</t>
  </si>
  <si>
    <t>RNF-020</t>
  </si>
  <si>
    <t>12 puntos del registro actual: 11 verificados, 1 ajustes del menú y 0 notas de alcance. Las historias posteriores conservan su revisión por separado.</t>
  </si>
  <si>
    <t>Evolución / Mantenibilidad</t>
  </si>
  <si>
    <t>Mantenibilidad y extensibilidad</t>
  </si>
  <si>
    <t>La estructura del sistema, base de datos y documentación deberá permitir ampliar la solución sin reemplazarla. El registro básico de valores, vida útil y vencimientos de artículos se define en RF-006, y el de costos de intervención en RF-017 y RF-018. Su consulta se contempla en RF-020. Permanecen como evolución sujeta a definición y priorización el cálculo oficial de depreciación o amortización, el circuito contable de compras y pagos, la importación automatizada desde Excel, nuevas integraciones y notificaciones adicionales. No se aplicarán fórmulas financieras ni reglas de reposición como oficiales sin su definición por Bomberos. La precisión documental no acredita implementación ni incorpora automáticamente trabajo a un Sprint.</t>
  </si>
  <si>
    <t>Usuarios y control de acceso
Catalogo y Inventario
Vehiculo y Chek ing diario</t>
  </si>
  <si>
    <t>BSB-11 - Controlar acceso por compañía
BSB-15 - Consultar inventario de la compañía
BSB-33 - Realizar check in diario de una unidad</t>
  </si>
  <si>
    <t>BSB-11: Un usuario activo solo debe visualizar información correspondiente a su compañía
BSB-15: Mostrar únicamente el inventario correspondiente a la compañía del usuario
BSB-33: Seleccionar la unidad correspondiente</t>
  </si>
  <si>
    <t>Registro de pruebas: BSB-11, BSB-15</t>
  </si>
  <si>
    <t>RF-024</t>
  </si>
  <si>
    <t>Ámbito visible</t>
  </si>
  <si>
    <t>BSB-22</t>
  </si>
  <si>
    <t>Contexto de usuario y plantillas</t>
  </si>
  <si>
    <t>Comprobar compañía activa y mensajes antes de confirmar operaciones.</t>
  </si>
  <si>
    <t>Inventario / Transferencias</t>
  </si>
  <si>
    <t>Registrar transferencias definitivas desde Comandancia a compañías</t>
  </si>
  <si>
    <t>Consultar disponibilidad entre compañías</t>
  </si>
  <si>
    <t>El sistema deberá registrar la transferencia definitiva de material desde el inventario propio de Comandancia al de una compañía, vinculando la salida y la recepción mediante un mismo movimiento trazable. Conservará origen, destino, artículo, cantidad o serie, fechas, responsables y procedencia, sin duplicar existencias ni generar saldos negativos. Se distinguirá del préstamo temporal con devolución de RF-012 y del antecedente de origen de RF-022. Quedan pendientes los estados intermedios, aceptación explícita, recepción parcial, rechazo, anulación, conciliación y momento de afectación de saldos, no se presume un mecanismo de cierre.</t>
  </si>
  <si>
    <t>RF-005, RF-009, RNF-011, RNF-016</t>
  </si>
  <si>
    <t>BSB-33 - Realizar check in diario de una unidad</t>
  </si>
  <si>
    <t>BSB-33: Seleccionar la unidad correspondiente</t>
  </si>
  <si>
    <t>Revisión diaria directa</t>
  </si>
  <si>
    <t>Como usuario de Comandancia, quiero buscar materiales entre las distintas compañías para conocer dónde existe disponibilidad
Comandancia deberá poder buscar artículos por código, nombre o número de serie y consultar el ámbito responsable, ubicación y custodia actual, incluyendo su stock propio y el de compañías. Mostrará cantidades totales, disponibles, asignadas, prestadas y dañadas con detalle, respetando las dimensiones de RF-005 y evitando doble conteo.</t>
  </si>
  <si>
    <t>checkin y formulario previsto</t>
  </si>
  <si>
    <t>Demostrar el recorrido de revisión en dispositivos objetivo.</t>
  </si>
  <si>
    <t>Permitir buscar por código
Permitir buscar por nombre
Permitir buscar por número de serie cuando corresponda
Mostrar en qué compañía se encuentra el artículo
Mostrar la ubicación dentro de la compañía
Mostrar cantidad existente y cantidad disponible cuando corresponda
La consulta no debe modificar las existencias
Solo usuarios autorizados de Comandancia podrán realizar la consulta consolidada
Criterios complementarios (RF-009, RF-005).
* Incluir inventario propio de Comandancia y de compañías, diferenciando ámbito responsable, custodia y ubicación actual.
* Permitir consultar detalle de total, disponible, asignado, prestado y dañado sin sumar categorías superpuestas.</t>
  </si>
  <si>
    <t>BSB-23</t>
  </si>
  <si>
    <t>BSB-39 - Configurar intervalos de mantenimiento
BSB-40 - Generar alertas preventivas de mantenimiento</t>
  </si>
  <si>
    <t>BSB-39: Permitir configurar mantenimiento por kilometraje
BSB-40: Generar alertas según kilometraje configurado</t>
  </si>
  <si>
    <t>Entregar equipamiento a un bombero</t>
  </si>
  <si>
    <t>Configuración de intervalos</t>
  </si>
  <si>
    <t>regla_control y plan_control</t>
  </si>
  <si>
    <t>Cambiar un umbral sin editar código y comprobar su evaluación.</t>
  </si>
  <si>
    <t>RF-002, RF-010, RNF-007, RNF-008, RNF-009, RNF-011</t>
  </si>
  <si>
    <t>Usuarios y control de acceso
Catalogo y Inventario
Equipamiento y Prestamos
Vehiculo y Chek ing diario
Mantenimiento y Alerta
Reporte y Supervicion</t>
  </si>
  <si>
    <t>BSB-13 - Consultar información desde Comandancia
BSB-22 - Consultar disponibilidad entre compañías
BSB-27 - Registrar devolución de préstamo entre compañías
BSB-28 - Consultar préstamos y historial entre compañías
BSB-35 - Supervisar cumplimiento del check in desde Comandancia
BSB-41 - Consultar mantenimientos próximos y vencidos
BSB-42 - Consultar resumen general desde Comandancia
BSB-43 - Generar reporte de inventario
BSB-44 - Generar reporte de cumplimiento de check in
BSB-45 - Generar reporte de mantenimientos</t>
  </si>
  <si>
    <t>Como usuario autorizado, quiero asignar equipamiento a un bombero para mantener registro de los elementos que tiene bajo su responsabilidad</t>
  </si>
  <si>
    <t>BSB-13: Comandancia debe poder seleccionar una compañía.
BSB-22: Permitir buscar por código
BSB-27: Permitir seleccionar un préstamo pendiente
BSB-28: Mostrar préstamos actualmente pendientes
BSB-35: Mostrar las compañías o unidades que completaron el check in del día
BSB-41: Mostrar mantenimientos próximos
BSB-42: La información mostrada debe respetar los datos vigentes de todas las compañías según los permisos de Comandancia. La información debe reflejar los últimos datos confirmados en el sistema
BSB-43: Permitir generar reporte por compañía
BSB-44: Mostrar check in realizados
BSB-45: Mostrar mantenimientos realizados</t>
  </si>
  <si>
    <t>Registro de pruebas: BSB-13, BSB-22, BSB-27, BSB-28</t>
  </si>
  <si>
    <t>Permitir seleccionar al bombero
Permitir seleccionar un artículo o número de serie específico
Registrar fecha de entrega
Registrar estado del elemento al momento de la entrega
Permitir agregar observaciones
El elemento entregado debe quedar asociado al bombero
No se debe poder entregar un equipo que ya se encuentre asignado a otra persona
Complemento Sprint 2, segunda reunión y requerimientos RF-002, RNF-007, RNF-008, RNF-009 y RNF-011:
El bombero receptor es un registro de persona y no necesita una cuenta de acceso para recibir equipamiento.
Registrar automáticamente el usuario que realiza la entrega, fecha y hora, conservando el historial.
Validar el ámbito autorizado y disponibilidad, sin generar cantidades negativas. Mantener separados responsable del inventario, receptor o custodia, ubicación y condición del material.</t>
  </si>
  <si>
    <t>Visibilidad de operaciones confirmadas</t>
  </si>
  <si>
    <t>Transacciones, consultas e historial</t>
  </si>
  <si>
    <t>Guardar y consultar desde otra sesión autorizada sin consolidación manual.</t>
  </si>
  <si>
    <t>37 puntos del registro actual: 37 verificados, 0 ajustes del menú y 0 notas de alcance. Las historias posteriores conservan su revisión por separado.</t>
  </si>
  <si>
    <t>Infraestructura / Operación</t>
  </si>
  <si>
    <t>Transversal a todas las épicas</t>
  </si>
  <si>
    <t>BSB-24</t>
  </si>
  <si>
    <t>Sin historia dedicada, verificación transversal de respaldo y restauración</t>
  </si>
  <si>
    <t>La solución deberá considerar respaldos periódicos de la base de datos, los archivos adjuntos y sus vínculos. El procedimiento de restauración debe recuperar registros actuales e históricos y permitir comprobar que los respaldos son utilizables.</t>
  </si>
  <si>
    <t>Registrar devolución de equipamiento</t>
  </si>
  <si>
    <t>Respaldo de base y evidencias</t>
  </si>
  <si>
    <t>Base de datos y archivos vinculados</t>
  </si>
  <si>
    <t>Restaurar en entorno de prueba y comprobar registros, archivos y relaciones.</t>
  </si>
  <si>
    <t>RF-002, RF-005, RF-007, RF-010, RNF-007, RNF-008, RNF-009, RNF-011</t>
  </si>
  <si>
    <t>Como usuario autorizado, puedo registrar la devolución de un equipo entregado a un bombero para actualizar su disponibilidad y conservar el historial</t>
  </si>
  <si>
    <t>Arquitectura / Despliegue</t>
  </si>
  <si>
    <t>Sin historia dedicada, verificación de infraestructura</t>
  </si>
  <si>
    <t>Permitir seleccionar un elemento actualmente asignado
Registrar fecha de devolución
Registrar estado del elemento al momento de recibirlo
Permitir ingresar observaciones sobre daños o deterioro
El elemento debe dejar de aparecer como asignado al bombero
El equipo debe volver a estar disponible cuando su estado lo permita
La entrega y devolución deben mantenerse en el historial
Complemento Sprint 2, RF-002, RF-005, RF-007, RNF-007, RNF-008, RNF-009 y RNF-011:
Identificar al bombero receptor mediante su registro de persona, aunque no tenga cuenta de acceso.
Conservar la condición del material y registrar su custodia y ubicación resultantes. La devolución de un elemento dañado no lo convierte automáticamente en disponible ni elimina el daño registrado.
Registrar automáticamente usuario, fecha y hora de la devolución y conservar la relación con la entrega original.
Aplicar ámbito y permisos autorizados, sin duplicar existencias ni generar saldos negativos.</t>
  </si>
  <si>
    <t>El sistema deberá poder instalarse y funcionar en un servidor local de Bomberos de San Bernardo, con acceso centralizado desde los equipos de la red interna. El acceso remoto seguro queda sujeto a la infraestructura y las condiciones que se acuerden con la institución.</t>
  </si>
  <si>
    <t>Servidor y acceso remoto</t>
  </si>
  <si>
    <t>Configuración de despliegue, red y sesiones</t>
  </si>
  <si>
    <t>Validar el entorno acordado con Bomberos, no asumir acceso anónimo.</t>
  </si>
  <si>
    <t>Catálogo y inventario</t>
  </si>
  <si>
    <t>Sin historia dedicada, verificación de compatibilidad de datos</t>
  </si>
  <si>
    <t>BSB-25</t>
  </si>
  <si>
    <t>Todas las planillas y sus columnas aplicables</t>
  </si>
  <si>
    <t>Mapa por campo hacia entidades, formularios y cálculos</t>
  </si>
  <si>
    <t>Probar conversiones y valores desconocidos, preservar series y fechas sin inventar.</t>
  </si>
  <si>
    <t>Transversal a todas las epicas</t>
  </si>
  <si>
    <t>RF-002, RF-005, RF-011, RNF-008, RNF-011, RNF-013</t>
  </si>
  <si>
    <t>Sin historia dedicada, verificación de extensibilidad</t>
  </si>
  <si>
    <t>Como usuario autorizado, quiero consultar los equipos asignados a un bombero para conocer qué elementos mantiene actualmente bajo su responsabilidad</t>
  </si>
  <si>
    <t>Primera reunión, registro básico y evolución</t>
  </si>
  <si>
    <t>RF-006, RF-017, RF-018 y RF-020, diseño extensible</t>
  </si>
  <si>
    <t>Distinguir captura de valores de fórmulas oficiales y circuito contable.</t>
  </si>
  <si>
    <t>Mostrar los equipos actualmente asignados
Mostrar artículo y número de serie cuando corresponda
Mostrar fecha de entrega
Mostrar estado del elemento
Permitir revisar entregas y devoluciones anteriores
Complemento Sprint 2, RF-002, RF-005, RNF-008, RNF-011 y RNF-013:
Consultar equipamiento del bombero mediante su registro de persona, aunque no tenga cuenta de acceso.
Mostrar claramente el ámbito responsable y distinguir condición del material, custodia o asignación y ubicación. Un elemento dañado puede continuar asignado y no debe ocultarse por esa condición.
Conservar la consulta del historial de entregas y devoluciones, respetando el ámbito y los permisos autorizados.</t>
  </si>
  <si>
    <t>Historia de Usuario / criterio de aceptación (planificado)</t>
  </si>
  <si>
    <t>BSB-99 - Registrar transferencias definitivas desde Comandancia a compañías</t>
  </si>
  <si>
    <t>BSB-26</t>
  </si>
  <si>
    <t>Identificar el inventario propio de Comandancia de origen y la compañía receptora, el artículo y sus características, la cantidad o el número de serie y la procedencia. La consulta consolidada de otras compañías no se utiliza como inventario propio.
Relacionar la salida y la recepción con una misma transferencia, conservando sus fechas y responsables. Un error durante el guardado no debe dejar una salida sin su recepción correspondiente.
Conservar la identidad del material y su número de serie. Cuando exista un lote de ingreso, mantener su relación y los antecedentes de adquisición asociados. La entrega definitiva debe distinguirse del préstamo temporal y del traslado interno.
Evitar existencias negativas y la duplicación del material en el consolidado. Comprobar los saldos de origen y destino antes y después de la operación.
Aplicar las autorizaciones y el ámbito de cada usuario en el backend. La operación no debe permitir utilizar existencias de una compañía como si pertenecieran a Comandancia.
Conservar el historial de la transferencia, el usuario que registra cada operación, su fecha y los movimientos relacionados.
Reglas del flujo habilitado
La transferencia queda pendiente y reserva el material. Solo una cuenta autorizada de la compañía destinataria puede aceptarla o rechazarla. Comandancia puede cancelarla mientras está pendiente. Al aceptar se guardan juntos la salida y la entrada y cambia la propiedad. Al rechazar o cancelar se libera la reserva.
La recepción habilitada es de la transferencia completa. La recepción parcial y su conciliación no están implementadas y requieren una definición antes de habilitar esos casos.
Verificación
Las pruebas del flujo implementado están descritas en la sección de verificación de esta historia. BSB-102 quedó conciliada y en Listo. La ejecución completa aprobó 182 pruebas, incluidos los casos de aceptación, rechazo, cancelación, permisos y conservación del historial de esta transferencia.</t>
  </si>
  <si>
    <t>Registro de pruebas: BSB-99</t>
  </si>
  <si>
    <t>Reunión posterior, ingreso propio de Comandancia y entrega definitiva a compañías.</t>
  </si>
  <si>
    <t>Registrar préstamo entre compañías</t>
  </si>
  <si>
    <t>transferencia_definitiva, stock_posicion, equipo_seriado, lote_ingreso, movimiento_inventario y movimiento_detalle</t>
  </si>
  <si>
    <t>Inventario/transferencias_definitivas.html</t>
  </si>
  <si>
    <t>Vincular salida y recepción, comprobar identidad, saldos y consolidado sin duplicados.</t>
  </si>
  <si>
    <t>8 puntos del registro actual: 7 verificados, 0 ajustes del menú y 1 notas de alcance. Las historias posteriores conservan su revisión por separado.</t>
  </si>
  <si>
    <t>RF-012, RF-024, RNF-007, RNF-008, RNF-009, RNF-011</t>
  </si>
  <si>
    <t>Como usuario autorizado, quiero registrar un préstamo de materiales entre compañías para mantener control y trazabilidad de los elementos prestados
El sistema deberá permitir registrar préstamos temporales entre compañías indicando origen, destino, artículo, cantidad o serie,
fecha de entrega y posterior devolución. Se conservarán responsables, custodia y ubicación actual del material prestado. El préstamo mantiene la obligación de devolución y se distingue de la transferencia definitiva de RF-024. Las facultades para registrar entrega y devolución se definirán en la matriz de permisos.</t>
  </si>
  <si>
    <t>Registrar compañía de origen.
Registrar compañía receptora
Permitir seleccionar artículo, cantidad o número de serie
Registrar fecha de entrega
Registrar estado del material al realizar el préstamo
No permitir prestar una cantidad superior a la disponible
El préstamo debe quedar registrado como pendiente mientras no sea devuelto
Criterios complementarios (RF-012, RF-024).
* Conservar responsables, custodia y ubicación actual del material prestado.
* Mantener la obligación de devolución del préstamo, distinguirlo de la transferencia definitiva BSB-99.</t>
  </si>
  <si>
    <t>BSB-27</t>
  </si>
  <si>
    <t>Registrar devolución de préstamo entre compañías</t>
  </si>
  <si>
    <t>RF-005, RF-007, RF-012, RNF-007, RNF-008, RNF-009, RNF-011, RNF-016</t>
  </si>
  <si>
    <t>Como usuario autorizado, quiero registrar la devolución de materiales prestados para cerrar el préstamo y actualizar la disponibilidad del inventario</t>
  </si>
  <si>
    <t>Permitir seleccionar un préstamo pendiente
Registrar fecha de devolución
Registrar cantidad o número de serie devuelto
Registrar estado del elemento al regresar
Permitir agregar observaciones
Actualizar la disponibilidad en la compañía de origen
El préstamo debe quedar marcado como devuelto o finalizado
Mantener el historial completo del préstamo
Complemento Sprint 2, RF-005, RF-007, RF-012, RNF-007, RNF-008, RNF-009 y RNF-011:
Vincular la devolución con el préstamo original, conservando ámbito responsable, custodia, ubicación y condición del material.
Actualizar la disponibilidad de origen solo cuando el estado lo permita. El material devuelto dañado no se convierte automáticamente en disponible y su daño permanece visible en el historial.
Registrar automáticamente usuario, fecha y hora, sin duplicar existencias ni producir saldos negativos, respetando los permisos del ámbito.
No confundir el cierre de un préstamo con una transferencia definitiva de Comandancia, tratada en BSB-99.</t>
  </si>
  <si>
    <t>BSB-28</t>
  </si>
  <si>
    <t>Consultar préstamos y historial entre compañías</t>
  </si>
  <si>
    <t>RF-012, RNF-008, RNF-011, RNF-016</t>
  </si>
  <si>
    <t>Como usuario autorizado, quiero consultar los préstamos realizados entre compañías para conocer qué materiales están prestados, cuáles fueron devueltos y revisar su historial.
Resultado verificado
La consulta muestra préstamos pendientes y finalizados, compañías de origen y destino, artículo, cantidad o número de serie, fecha de entrega, devoluciones, estado y observaciones. El historial permanece después de completar la devolución.
Permite buscar por artículo, serie, lote y número de préstamo. Los enlaces del historial abren el préstamo correspondiente y su formulario de devolución. Cada compañía accede solo a sus operaciones y Comandancia consulta según sus permisos. La devolución parcial y final conserva propiedad, lote y número de serie.
Evidencia técnica
La suite EquipamientoTests verifica el historial de ambas compañías y Comandancia, el rechazo de consultas ajenas, los filtros, las rutas a devolución y la conservación de lotes y series. La ejecución conjunta con TransferenciasDefinitivasTests terminó correctamente con 51 pruebas en una base temporal. Los resultados corresponden al código local de CAPSTONE, todavía sin publicar una nueva versión en GitHub.
Requerimientos: RF-012, RNF-008, RNF-011 y RNF-016. La verificación integral del sprint se registra por separado en BSB-101.</t>
  </si>
  <si>
    <t>Mostrar préstamos actualmente pendientes
Mostrar préstamos finalizados
Mostrar compañía de origen y compañía receptora
Mostrar artículo, cantidad o número de serie
Mostrar fecha de entrega
Mostrar fecha de devolución cuando corresponda
Mostrar estado del préstamo
Permitir consultar observaciones registradas
Mantener el historial aunque el préstamo ya haya finalizado
Comandancia podrá consultar los préstamos de las distintas compañías según sus permisos</t>
  </si>
  <si>
    <t>BSB-29</t>
  </si>
  <si>
    <t>Gestionar vehículos y unidades</t>
  </si>
  <si>
    <t>Por hacer</t>
  </si>
  <si>
    <t>Como usuario autorizado, quiero registrar y actualizar vehículos o unidades para mantener su información disponible dentro del sistema
Refinamiento de Product Backlog: reunión CBSB del 16/10/2026, F6/F7, N-13, páginas 5–6, 12, RF-013.
El sistema deberá registrar las unidades utilizadas por Bomberos y mantener una ficha asociada a la compañía o dependencia de Bomberos responsable, incluida Comandancia cuando corresponda. La ficha deberá conservar código o identificación, tipo, estado, marca, modelo, año, número de motor, VIN, patente y antecedentes de revisión técnica cuando correspondan. Permitirá consultar capacidades o especialidades técnicas de la unidad, separadas del equipamiento efectivamente disponible y su ubicación. Los códigos, capacidades y dependencias se cotejarán con el padrón de Bomberos vigente, no se darán por oficiales ejemplos no confirmados. El inventario podrá asociarse a la unidad correspondiente.
Se conservan los criterios previos con las precisiones del apartado de refinamiento. Las reglas pendientes no se consideran aprobadas ni verificadas. Esta actualización documental no asigna Sprint, estimación ni compromiso de ejecución.</t>
  </si>
  <si>
    <t>Permitir registrar una nueva unidad
La ficha debe permitir registrar como mínimo código y identificación de unidad, compañía responsable, tipo, estado, marca, modelo y año
Cuando corresponda, debe permitir registrar número de motor, VIN, patente y antecedentes de revisión técnica
La unidad debe mantenerse asociada a su compañía responsable
Permitir consultar y actualizar la información
Mantener el estado operativo de la unidad
No permitir duplicar la identificación de una misma unidad
Refinamiento de aceptación: reunión 16/10/2026 (RF-013).
La dependencia responsable puede ser una compañía o Comandancia según padrón de Bomberos validado.
Consultar capacidades o especialidades técnicas separadas del equipamiento efectivamente disponible y su ubicación.
Conservar identificación, ficha técnica, asociación del inventario y revisión técnica, los ejemplos de códigos y capacidades requieren cotejo con padrón vigente.
Definiciones pendientes: las señaladas en la descripción y en el requisito. Deben resolverse antes de planificar y ejecutar los casos afectados, este registro no acredita pruebas realizadas.</t>
  </si>
  <si>
    <t>BSB-30</t>
  </si>
  <si>
    <t>Registrar estado operativo y revisión técnica</t>
  </si>
  <si>
    <t>Como usuario autorizado, quiero registrar el estado operativo y la revisión técnica de una unidad para conocer si se encuentra disponible para su uso</t>
  </si>
  <si>
    <t>Permitir indicar el estado operativo de la unidad
Registrar información de revisión técnica
Registrar fecha de vencimiento cuando corresponda
Mostrar claramente si la unidad está operativa o fuera de servicio
Los cambios de estado deben quedar registrados</t>
  </si>
  <si>
    <t>BSB-31</t>
  </si>
  <si>
    <t>Registrar kilometraje de la unidad</t>
  </si>
  <si>
    <t>RF-014, RNF-009, RNF-010</t>
  </si>
  <si>
    <t>Como usuario autorizado, debo registrar el kilometraje de una unidad para mantener actualizado su uso y apoyar el control de mantenimiento</t>
  </si>
  <si>
    <t>Permitir ingresar una nueva lectura de kilometraje
Registrar fecha y responsable
La nueva lectura no podrá ser menor que la lectura anterior
Si existe una corrección, deberá quedar registro del cambio
Permitir consultar el kilometraje actual de la unidad</t>
  </si>
  <si>
    <t>BSB-32</t>
  </si>
  <si>
    <t>Registrar horas de funcionamiento de componentes</t>
  </si>
  <si>
    <t>Como usuario autorizado, debo registrar las horas de funcionamiento de los componentes de una unidad para controlar equipos que funcionan aunque el vehículo permanezca detenido</t>
  </si>
  <si>
    <t>Permitir registrar horas de funcionamiento de bombas, escalas, brazos y otros componentes
Las horas deben registrarse de manera independiente al kilometraje
Asociar la lectura al componente correspondiente
Registrar fecha y responsable
Una nueva lectura no podrá ser menor a la anterior sin dejar registro de corrección</t>
  </si>
  <si>
    <t>BSB-33</t>
  </si>
  <si>
    <t>Realizar check in diario de una unidad</t>
  </si>
  <si>
    <t>RF-015, RNF-008, RNF-009, RNF-013, RNF-014</t>
  </si>
  <si>
    <t>Como usuario de una compañía, quiero realizar la revisión diaria de una unidad para registrar la condición antes de usar
Refinamiento de Product Backlog: reunión CBSB del 16/10/2026, F1, N-14/N-15, páginas 3, 6–7, RF-015, RNF-010.
El maquinista responsable deberá registrar el check in diario de la unidad, identificando compañía o dependencia, unidad, cuenta responsable, fecha y hora. Incluirá checklist por unidad, estado general, fallas y observaciones, además de kilometraje y/o horas según la unidad y sus componentes, ambos cuando sean aplicables. Las lecturas respetarán RNF-010 y sus correcciones trazables. Completar el registro no equivale a declarar la unidad operativa. Quedan pendientes los ítems obligatorios del checklist y las reglas por día, unidad o turno, excepciones, atrasos y duplicados. Las reglas por día, unidad o turno, excepciones, atrasos, duplicados y correcciones siguen pendientes de validación.
Se conservan los criterios previos con las precisiones del apartado de refinamiento. Las reglas pendientes no se consideran aprobadas ni verificadas. Esta actualización documental no asigna Sprint, estimación ni compromiso de ejecución.</t>
  </si>
  <si>
    <t>Seleccionar la unidad correspondiente
Registrar responsable, fecha y hora
Registrar kilometraje
Registrar horas de componentes cuando corresponda
Registrar estado general de la unidad
Registrar fallas detectadas
Permitir agregar observaciones
La revisión debe poder completarse mediante un flujo simple y directo
La compañía sobre la cual se está realizando el check in debe mostrarse claramente
Refinamiento de aceptación: reunión 16/10/2026 (RF-015, RNF-010).
Identificar maquinista mediante su cuenta responsable, compañía o dependencia, unidad, fecha y hora.
Incluir checklist por unidad, estado general, fallas y observaciones, sus ítems obligatorios se validarán con Bomberos.
El criterio existente de kilometraje se aplica según unidad: registrar kilometraje y/o horas, ambos cuando correspondan, con controles y correcciones trazables de RNF-010.
Completar el registro no declara automáticamente la unidad operativa.
Definiciones pendientes: las señaladas en la descripción y en el requisito. Deben resolverse antes de planificar y ejecutar los casos afectados, este registro no acredita pruebas realizadas.</t>
  </si>
  <si>
    <t>BSB-34</t>
  </si>
  <si>
    <t>Consultar historial de check in de una unidad</t>
  </si>
  <si>
    <t>RF-015, RF-016, RNF-008</t>
  </si>
  <si>
    <t>Como usuario autorizado, quiero consultar las revisiones diarias anteriores de una unidad para conocer el estado y los problemas detectados en el tiempo
Refinamiento de Product Backlog: reunión CBSB del 16/10/2026, F1/F2, N-16/N-17/N-19, páginas 3–4, 6–7, RF-016, RF-015.
Comandancia deberá supervisar el cumplimiento del check in por compañía, unidad y período, mostrando realización o pendiente, fecha, hora y maquinista responsable. La compañía y su capitán podrán consultar sus registros y historial dentro de su ámbito y detectar faltantes. El panel distinguirá cumplimiento del control, condición operativa y fallas o observaciones, las obligaciones, excepciones y criterio de atraso quedan pendientes de definición. Las reglas por día, unidad o turno, excepciones, atrasos, duplicados y correcciones siguen pendientes de validación.
Se conservan los criterios previos con las precisiones del apartado de refinamiento. Las reglas pendientes no se consideran aprobadas ni verificadas. Esta actualización documental no asigna Sprint, estimación ni compromiso de ejecución.</t>
  </si>
  <si>
    <t>Mostrar las revisiones anteriores en orden cronológico
Mostrar fecha y responsable
Mostrar kilometraje y horas registradas
Mostrar estado general
Mostrar fallas y observaciones registradas
Los registros históricos no deben eliminarse cuando se realice un nuevo check in
Refinamiento de aceptación: reunión 16/10/2026 (RF-016, RF-015).
La compañía y su capitán pueden consultar sus registros y historial dentro del ámbito autorizado.
Mostrar fecha, hora, maquinista responsable, fallas y observaciones, separar realización del control y condición operativa.
Definiciones pendientes: las señaladas en la descripción y en el requisito. Deben resolverse antes de planificar y ejecutar los casos afectados, este registro no acredita pruebas realizadas.</t>
  </si>
  <si>
    <t>BSB-35</t>
  </si>
  <si>
    <t>Supervisar cumplimiento del check in desde Comandancia</t>
  </si>
  <si>
    <t>RF-016, RNF-011, RNF-016</t>
  </si>
  <si>
    <t>Como usuario de Comandancia, debo revisar qué compañías realizaron el check in diario para identificar cuáles se encuentran al día y cuáles permanecen pendientes
Refinamiento de Product Backlog: reunión CBSB del 16/10/2026, F1/F2, N-16/N-17/N-19, páginas 3–4, 6–7, RF-016, RF-019.
Comandancia deberá supervisar el cumplimiento del check in por compañía, unidad y período, mostrando realización o pendiente, fecha, hora y maquinista responsable. La compañía y su capitán podrán consultar sus registros y historial dentro de su ámbito y detectar faltantes. El panel distinguirá cumplimiento del control, condición operativa y fallas o observaciones, las obligaciones, excepciones y criterio de atraso quedan pendientes de definición. Las reglas por día, unidad o turno, excepciones, atrasos, duplicados y correcciones siguen pendientes de validación.
Se conservan los criterios previos con las precisiones del apartado de refinamiento. Las reglas pendientes no se consideran aprobadas ni verificadas. Esta actualización documental no asigna Sprint, estimación ni compromiso de ejecución.</t>
  </si>
  <si>
    <t>Mostrar las compañías o unidades que completaron el check in del día
Mostrar cuáles se encuentran pendientes
Permitir seleccionar una fecha para consultar revisiones anteriores
Permitir acceder al detalle de la revisión cuando corresponda
La información debe estar disponible para Comandancia después de confirmarse el check in
Refinamiento de aceptación: reunión 16/10/2026 (RF-016, RF-019).
Mostrar cumplimiento por compañía, unidad y período, con fecha, hora y maquinista responsable.
La vista del capitán se limita a su ámbito, Comandancia conserva la supervisión consolidada según permisos.
Distinguir realización o pendiente, condición operativa y fallas o observaciones, sin inventar reglas de atraso ni excepciones.
Definiciones pendientes: las señaladas en la descripción y en el requisito. Deben resolverse antes de planificar y ejecutar los casos afectados, este registro no acredita pruebas realizadas.</t>
  </si>
  <si>
    <t>BSB-36</t>
  </si>
  <si>
    <t>Registrar mantenimiento preventivo</t>
  </si>
  <si>
    <t>RF-017, RNF-008, RNF-009</t>
  </si>
  <si>
    <t>Como usuario autorizado, quiero registrar los mantenimientos preventivos realizados a una unidad para mantener actualizado su historial y controlar las próximas mantenciones
Refinamiento de Product Backlog: reunión CBSB del 16/10/2026, F2, N-20–N-24, páginas 3–4, 6–7, RF-017, RNF-017.
El sistema deberá registrar mantenimientos preventivos y reparaciones correctivas por unidad, con fecha, tipo de intervención, descripción, responsable y estado del trabajo, kilometraje y horas aplicables, taller o proveedor cuando exista, observaciones iniciales y finales, trabajos y piezas intervenidas, pruebas efectuadas y sus resultados. Permitirá adjuntar fotografías anteriores y posteriores conservando las evidencias históricas. Se registrarán la revisión del inspector y la recepción o conformidad del capitán con fecha y responsable, diferenciadas de la ejecución técnica. El momento del cierre, campos obligatorios por etapa, rechazo, reapertura y facultades de corrección quedan pendientes de definición, la conformidad no establecerá automáticamente una regla de cierre no acordada. Límites, cantidad y retención de fotografías, infraestructura y restauración se validarán conforme RNF-017, 4 MB fue un ejemplo, no un límite aprobado.
Se conservan los criterios previos con las precisiones del apartado de refinamiento. Las reglas pendientes no se consideran aprobadas ni verificadas. Esta actualización documental no asigna Sprint, estimación ni compromiso de ejecución.</t>
  </si>
  <si>
    <t>Permitir seleccionar la unidad correspondiente
El mantenimiento preventivo debe permitir registrar fecha, tipo de intervención, descripción, kilometraje y horas cuando corresponda, observaciones y estado del trabajo
Cuando la información esté disponible, se podrá registrar taller y proveedor y antecedentes del servicio realizado
Registrar al responsable de la operación
El mantenimiento debe quedar asociado a la unidad correspondiente y conservarse en su historial técnico
Refinamiento de aceptación: reunión 16/10/2026 (RF-017, RNF-017).
Registrar observaciones iniciales y finales, trabajos y piezas intervenidas, pruebas y resultados.
Adjuntar fotografías anteriores y posteriores sin sustituir evidencias históricas.
Registrar revisión del inspector y recepción o conformidad del capitán con fecha y responsable, separadas de ejecución técnica.
El estado del trabajo y responsable ya exigidos se conservan, la conformidad no impone automáticamente un cierre no acordado.
Definiciones pendientes: las señaladas en la descripción y en el requisito. Deben resolverse antes de planificar y ejecutar los casos afectados, este registro no acredita pruebas realizadas.</t>
  </si>
  <si>
    <t>BSB-37</t>
  </si>
  <si>
    <t>Registrar mantenimiento correctivo</t>
  </si>
  <si>
    <t>Como usuario autorizado, quiero registrar reparaciones correctivas realizadas a una unidad para mantener trazabilidad de las fallas y soluciones aplicadas
Refinamiento de Product Backlog: reunión CBSB del 16/10/2026, F2, N-20–N-24, páginas 3–4, 6–7, RF-017, RNF-017.
El sistema deberá registrar mantenimientos preventivos y reparaciones correctivas por unidad, con fecha, tipo de intervención, descripción, responsable y estado del trabajo, kilometraje y horas aplicables, taller o proveedor cuando exista, observaciones iniciales y finales, trabajos y piezas intervenidas, pruebas efectuadas y sus resultados. Permitirá adjuntar fotografías anteriores y posteriores conservando las evidencias históricas. Se registrarán la revisión del inspector y la recepción o conformidad del capitán con fecha y responsable, diferenciadas de la ejecución técnica. El momento del cierre, campos obligatorios por etapa, rechazo, reapertura y facultades de corrección quedan pendientes de definición, la conformidad no establecerá automáticamente una regla de cierre no acordada. Límites, cantidad y retención de fotografías, infraestructura y restauración se validarán conforme RNF-017, 4 MB fue un ejemplo, no un límite aprobado.
Se conservan los criterios previos con las precisiones del apartado de refinamiento. Las reglas pendientes no se consideran aprobadas ni verificadas. Esta actualización documental no asigna Sprint, estimación ni compromiso de ejecución.</t>
  </si>
  <si>
    <t>Permitir seleccionar la unidad
La reparación correctiva debe permitir registrar fecha, descripción de la falla y problema detectado, intervención y reparación realizada
Registrar kilometraje y horas cuando corresponda, observaciones y estado del trabajo y de la intervención
Cuando corresponda, permitir registrar taller y proveedor y antecedentes del servicio efectuado
Registrar al responsable de la operación
La reparación debe quedar asociada a la unidad y formar parte de su historial técnico
Refinamiento de aceptación: reunión 16/10/2026 (RF-017, RNF-017).
Registrar observaciones iniciales y finales, reparación específica, piezas intervenidas, pruebas y resultados.
Adjuntar fotografías anteriores y posteriores preservando las imágenes y antecedentes históricos.
Registrar revisión del inspector y recepción o conformidad del capitán con fecha y responsable, separadas de ejecución técnica.
Conservar responsable y estado del trabajo, el cierre, rechazo y reapertura requieren definición, sin automatismos no acordados.
Definiciones pendientes: las señaladas en la descripción y en el requisito. Deben resolverse antes de planificar y ejecutar los casos afectados, este registro no acredita pruebas realizadas.</t>
  </si>
  <si>
    <t>BSB-38</t>
  </si>
  <si>
    <t>RF-018, RNF-008</t>
  </si>
  <si>
    <t>Como usuario autorizado, quiero consultar el historial técnico de una unidad para revisar los mantenimientos, fallas y reparaciones anteriores
Refinamiento de Product Backlog: reunión CBSB del 16/10/2026, F2, N-20–N-23, páginas 3–4, 6–7, RF-018, RNF-008.
La ficha de cada unidad deberá mostrar cronológicamente revisiones, lecturas de kilometraje y horas, mantenimientos preventivos, reparaciones correctivas, fallas y cambios relevantes de estado. Incluirá trabajos, pruebas y resultados, fotografías anteriores y posteriores, revisión y conformidad de recepción, con fechas y responsables, según permisos. Las intervenciones y fotografías nuevas no sustituirán los antecedentes anteriores, el historial permitirá identificar problemas recurrentes. Límites, cantidad y retención de fotografías, infraestructura y restauración se validarán conforme RNF-017, 4 MB fue un ejemplo, no un límite aprobado.
Se conservan los criterios previos con las precisiones del apartado de refinamiento. Las reglas pendientes no se consideran aprobadas ni verificadas. Esta actualización documental no asigna Sprint, estimación ni compromiso de ejecución.</t>
  </si>
  <si>
    <t>El historial debe mostrar cronológicamente revisiones, lecturas de kilometraje y horas, mantenimientos preventivos, mantenimientos correctivos, fallas y reparaciones
Debe conservar también los cambios relevantes de estado de la unidad
Mostrar fecha, kilometraje y horas cuando corresponda
Mostrar descripción y observaciones
Los registros históricos no deben desaparecer al actualizar el estado actual de la unidad ni al agregar un nuevo mantenimiento
Refinamiento de aceptación: reunión 16/10/2026 (RF-018, RNF-008).
Incluir trabajos, pruebas y resultados, fotografías anteriores y posteriores, revisión y conformidad de recepción, fechas y responsables según permisos.
Una intervención o fotografía nueva no sustituye antecedentes anteriores.
Relacionar evidencias con unidad y intervención, el respaldo y restauración abarcan archivos y vínculos conforme RNF-017.
Definiciones pendientes: las señaladas en la descripción y en el requisito. Deben resolverse antes de planificar y ejecutar los casos afectados, este registro no acredita pruebas realizadas.</t>
  </si>
  <si>
    <t>BSB-39</t>
  </si>
  <si>
    <t>Configurar intervalos de mantenimiento</t>
  </si>
  <si>
    <t>RF-019, RNF-015</t>
  </si>
  <si>
    <t>Como usuario autorizado, quiero configurar los intervalos de mantenimiento de cada unidad o componente para adaptarlos a sus características y necesidades reales</t>
  </si>
  <si>
    <t>Permitir configurar mantenimiento por kilometraje
Permitir configurar mantenimiento por horas de funcionamiento
Permitir configurar mantenimiento por fecha
Los intervalos deben poder variar según la unidad o componente
Los valores deben poder modificarse posteriormente
Los intervalos no deben quedar definidos de manera fija en el código del sistema</t>
  </si>
  <si>
    <t>BSB-40</t>
  </si>
  <si>
    <t>Generar alertas preventivas de mantenimiento</t>
  </si>
  <si>
    <t>Como usuario autorizado, quiero recibir alertas antes de que una unidad alcance su próximo mantenimiento para poder realizarlo de manera preventiva</t>
  </si>
  <si>
    <t>Generar alertas según kilometraje configurado
Generar alertas según horas de funcionamiento
Generar alertas según fecha
Considerar revisión técnica y otros vencimientos cuando corresponda
La alerta debe indicar la unidad afectada
La alerta debe indicar el motivo
Debe generarse antes de alcanzar el límite configurado
Una unidad puede tener más de un tipo de alerta activa</t>
  </si>
  <si>
    <t>BSB-41</t>
  </si>
  <si>
    <t>Consultar mantenimientos próximos y vencidos</t>
  </si>
  <si>
    <t>RF-019, RF-020, RNF-016</t>
  </si>
  <si>
    <t>Como usuario autorizado, quiero consultar los mantenimientos próximos y vencidos para identificar las unidades que requieren atención</t>
  </si>
  <si>
    <t>Mostrar mantenimientos próximos
Mostrar mantenimientos vencidos
Identificar claramente la unidad correspondiente
Mostrar si el vencimiento corresponde a kilometraje, horas o fecha
Permitir consultar el detalle de la alerta
El capitán podrá consultar mantenimientos próximos, vencidos y el detalle de las alertas únicamente de su compañía. Comandancia podrá consultar esta información dentro del ámbito autorizado según sus permisos
La información debe actualizarse cuando se registre el mantenimiento correspondiente</t>
  </si>
  <si>
    <t>BSB-42</t>
  </si>
  <si>
    <t>Consultar resumen general desde Comandancia</t>
  </si>
  <si>
    <t>RF-003, RF-020, RNF-001, RNF-016</t>
  </si>
  <si>
    <t>Como usuario de Comandancia, quiero visualizar un resumen consolidado de las compañías para conocer rápidamente el estado general de sus recursos y actividades
Refinamiento de Product Backlog: reunión CBSB del 16/10/2026, F1/F4, N-02/N-19, páginas 3–5, RF-003, RF-019.
Comandancia deberá poder seleccionar cualquier compañía y consultar inventario, unidades, revisiones, mantenimientos, alertas y observaciones desde una misma cuenta, según sus permisos. La vista consolidada deberá distinguir el stock propio de Comandancia de las existencias de cada compañía, evitando que la consolidación duplique el material distribuido.
Se conservan los criterios previos con las precisiones del apartado de refinamiento. Las reglas pendientes no se consideran aprobadas ni verificadas. Esta actualización documental no asigna Sprint, estimación ni compromiso de ejecución.</t>
  </si>
  <si>
    <t>Comandancia debe poder consultar un resumen consolidado que incluya inventario, estado de las unidades, cumplimiento de check in y mantenimientos realizados, próximos y vencidos
La información mostrada debe respetar los datos vigentes de todas las compañías según los permisos de Comandancia
Permitir acceder al detalle correspondiente
La información debe reflejar los últimos datos confirmados en el sistema
Refinamiento de aceptación: reunión 16/10/2026 (RF-003, RF-019).
Separar stock propio de Comandancia y consolidado de compañías evitando duplicar material distribuido.
Mostrar mantenimientos próximos, alertas críticas y observaciones relevantes de revisiones diarias.
La vista del capitán se limita a su ámbito, distinguir cumplimiento del check in y condición operativa.
Definiciones pendientes: las señaladas en la descripción y en el requisito. Deben resolverse antes de planificar y ejecutar los casos afectados, este registro no acredita pruebas realizadas.</t>
  </si>
  <si>
    <t>BSB-43</t>
  </si>
  <si>
    <t>Generar reporte de inventario</t>
  </si>
  <si>
    <t>RF-020, RNF-016</t>
  </si>
  <si>
    <t>Como usuario autorizado de Comandancia, puedo generar reportes de inventario para revisar los materiales disponibles y su distribución
Refinamiento de Product Backlog: reunión CBSB del 16/10/2026, F1/F4, N-16/N-17/N-27, páginas 3–5, RF-020, RF-005.
Comandancia deberá poder generar reportes de inventario por compañía, unidad o ubicación, inventario consolidado, estado de
unidades, cumplimiento de check in y mantenimientos realizados, próximos o vencidos. Los reportes deberán poder filtrarse por
fecha o rango de fechas y utilizar la información vigente y histórica registrada en el sistema. El inventario propio de Comandancia deberá distinguirse del consolidado, los reportes de cumplimiento separarán realización del check in y condición operativa. La consulta de cada capitán se limitará a su ámbito. Columnas, filtros adicionales y operaciones por rol quedan pendientes de definición.
Se conservan los criterios previos con las precisiones del apartado de refinamiento. Las reglas pendientes no se consideran aprobadas ni verificadas. Esta actualización documental no asigna Sprint, estimación ni compromiso de ejecución.</t>
  </si>
  <si>
    <t>Permitir generar reporte por compañía
Permitir consultar inventario consolidado
Permitir filtrar por carro o unidad cuando corresponda
Permitir filtrar por bodega o ubicación
Mostrar artículo, cantidad, estado y ubicación cuando corresponda
No modificar ningún registro al generar el reporte
Refinamiento de aceptación: reunión 16/10/2026 (RF-020, RF-005).
Distinguir inventario propio de Comandancia del consolidado y respetar ámbito autorizado.
Evitar doble conteo de material asignado, prestado o dañado cuando las categorías se superponen.
Definiciones pendientes: las señaladas en la descripción y en el requisito. Deben resolverse antes de planificar y ejecutar los casos afectados, este registro no acredita pruebas realizadas.</t>
  </si>
  <si>
    <t>BSB-44</t>
  </si>
  <si>
    <t>Generar reporte de cumplimiento de check in</t>
  </si>
  <si>
    <t>RF-016, RF-020, RNF-016</t>
  </si>
  <si>
    <t>Como usuario de Comandancia, quiero consultar reportes de check in para conocer qué compañías y unidades realizaron sus revisiones diarias
Refinamiento de Product Backlog: reunión CBSB del 16/10/2026, F1/F4, N-16/N-17/N-27, páginas 3–5, RF-020, RF-016.
Comandancia deberá poder generar reportes de inventario por compañía, unidad o ubicación, inventario consolidado, estado de
unidades, cumplimiento de check in y mantenimientos realizados, próximos o vencidos. Los reportes deberán poder filtrarse por
fecha o rango de fechas y utilizar la información vigente y histórica registrada en el sistema. El inventario propio de Comandancia deberá distinguirse del consolidado, los reportes de cumplimiento separarán realización del check in y condición operativa. La consulta de cada capitán se limitará a su ámbito. Columnas, filtros adicionales y operaciones por rol quedan pendientes de definición. Las reglas por día, unidad o turno, excepciones, atrasos, duplicados y correcciones siguen pendientes de validación.
Se conservan los criterios previos con las precisiones del apartado de refinamiento. Las reglas pendientes no se consideran aprobadas ni verificadas. Esta actualización documental no asigna Sprint, estimación ni compromiso de ejecución.</t>
  </si>
  <si>
    <t>Mostrar check in realizados
Mostrar check in pendientes
Permitir consultar por compañía
Permitir consultar por unidad
Permitir seleccionar una fecha o rango de fechas
Mostrar responsable y fecha de la revisión
Permitir acceder al detalle del check in
Refinamiento de aceptación: reunión 16/10/2026 (RF-020, RF-016).
Separar realización del check in, condición operativa y observaciones, mostrando responsable, fecha y hora.
La consulta del capitán se limita a su ámbito, comparación entre compañías para Comandancia según permisos.
Definiciones pendientes: las señaladas en la descripción y en el requisito. Deben resolverse antes de planificar y ejecutar los casos afectados, este registro no acredita pruebas realizadas.</t>
  </si>
  <si>
    <t>BSB-45</t>
  </si>
  <si>
    <t>Generar reporte de mantenimientos</t>
  </si>
  <si>
    <t>Como usuario de Comandancia, quiero generar reportes de mantenimiento para conocer las intervenciones realizadas y las que están próximas o vencidas</t>
  </si>
  <si>
    <t>Mostrar mantenimientos realizados
Mostrar mantenimientos próximos
Mostrar mantenimientos vencidos
Permitir filtrar por compañía y unidad
Permitir filtrar por mantenimiento preventivo o correctivo
Permitir seleccionar fecha o rango de fechas
Mostrar el estado correspondiente</t>
  </si>
  <si>
    <t>BSB-46</t>
  </si>
  <si>
    <t>Consultar movimientos y actividades por periodo</t>
  </si>
  <si>
    <t>RF-020, RNF-008, RNF-009</t>
  </si>
  <si>
    <t>Como usuario autorizado, puedo consultar los movimientos realizados durante una fecha o periodo para conocer qué ocurrió en el sistema, por ejemplo durante el día anterior
Refinamiento de Product Backlog: reunión CBSB del 16/10/2026, F2/F4, N-06/N-22/N-23, páginas 4, 7, RNF-008, RF-024.
Entregas, devoluciones, préstamos, ingresos, bajas, pérdidas, cambios de ubicación, cambios relevantes de estado, check in,
lecturas de kilometraje y horas y mantenimientos deberán conservarse históricamente aunque posteriormente cambie
el estado actual del artículo o unidad. Se incluirán salidas y recepciones vinculadas de transferencias definitivas, evidencias fotográficas, pruebas y conformidades de mantenimiento, preservando los antecedentes previos.
Se conservan los criterios previos con las precisiones del apartado de refinamiento. Las reglas pendientes no se consideran aprobadas ni verificadas. Esta actualización documental no asigna Sprint, estimación ni compromiso de ejecución.</t>
  </si>
  <si>
    <t>Permitir seleccionar una fecha y un rango de fechas
Permitir consultar una compañía específica y todas las compañías según los permisos del usuario
Mostrar fecha y hora de las operaciones y el usuario responsable cuando corresponda
La consulta por periodo debe permitir visualizar entregas, devoluciones, préstamos, ingresos, bajas, pérdidas y cambios de ubicación
Cuando corresponda, debe incluir cambios relevantes de estado, check in, mantenimientos y lecturas de kilometraje y horas registrados durante el periodo
Refinamiento de aceptación: reunión 16/10/2026 (RNF-008, RF-024).
Incluir salida y recepción vinculadas de transferencias definitivas, reubicaciones, pruebas y conformidades de mantenimiento, preservando antecedentes y responsables.
Definiciones pendientes: las señaladas en la descripción y en el requisito. Deben resolverse antes de planificar y ejecutar los casos afectados, este registro no acredita pruebas realizadas.</t>
  </si>
  <si>
    <t>BSB-47</t>
  </si>
  <si>
    <t>Aplicar filtros a los reportes</t>
  </si>
  <si>
    <t>RF-020, RF-023</t>
  </si>
  <si>
    <t>Como usuario autorizado, quiero filtrar la información de los reportes para consultar únicamente los datos que necesito analizar</t>
  </si>
  <si>
    <t>Los reportes deben permitir aplicar filtros por fecha, rango de fechas y compañía
Cuando el reporte lo permita, también debe poder filtrarse por unidad y ubicación
Permitir filtrar por tipo de información
Mostrar claramente los filtros aplicados
Permitir limpiar los filtros y volver a la vista general
Los filtros deben respetar los permisos del usuario y no mostrar información de compañías a las que no tenga acceso</t>
  </si>
  <si>
    <t>BSB-48</t>
  </si>
  <si>
    <t>Exportar reportes a Excel</t>
  </si>
  <si>
    <t>Como usuario autorizado, quiero exportar los reportes a Excel para revisar, respaldar o compartir la información obtenida desde el sistema
Refinamiento de Product Backlog: reunión CBSB del 16/10/2026, F4, N-27, páginas 4–5, RF-023, RF-020.
El sistema deberá permitir exportar reportes en formato Excel seleccionando una fecha o rango de fechas, para revisar los
movimientos y actividades realizadas durante un periodo determinado, por ejemplo lo ocurrido durante el día anterior.
La exportación podrá considerar una compañía específica o información consolidada de Comandancia. Incluirá inventario y comparación de cumplimiento de check in entre compañías, respetando los filtros y el ámbito autorizado de consulta. El diseño de columnas y la facultad de exportación de cada cargo quedan pendientes de definición.
Se conservan los criterios previos con las precisiones del apartado de refinamiento. Las reglas pendientes no se consideran aprobadas ni verificadas. Esta actualización documental no asigna Sprint, estimación ni compromiso de ejecución.</t>
  </si>
  <si>
    <t>Permitir exportar el reporte en formato Excel
La exportación debe respetar los filtros aplicados
Permitir exportar información correspondiente a una fecha o rango de fechas
Permitir exportar una compañía específica o información consolidada según los permisos del usuario
El archivo debe contener encabezados que permitan identificar correctamente la información
La exportación no debe modificar los datos del sistema
El archivo generado debe corresponder a la información mostrada en el reporte seleccionado
Refinamiento de aceptación: reunión 16/10/2026 (RF-023, RF-020).
Incluir inventario y comparación de cumplimiento de check in entre compañías según permisos.
La exportación conserva filtros y ámbito autorizado, diseño de columnas y facultad de exportación por cargo quedan pendientes.
Definiciones pendientes: las señaladas en la descripción y en el requisito. Deben resolverse antes de planificar y ejecutar los casos afectados, este registro no acredita pruebas realizadas.</t>
  </si>
  <si>
    <t>BSB-99</t>
  </si>
  <si>
    <t>RF-005, RF-008, RF-012, RF-022, RF-024, RNF-007, RNF-008, RNF-009</t>
  </si>
  <si>
    <t>Como personal autorizado de Comandancia, quiero registrar la entrega definitiva de material de su inventario propio a una compañía, vinculando la salida y la recepción para mantener las existencias y el historial coherentes.
Flujo implementado
Comandancia prepara el envío desde sus existencias propias. Al enviarlo queda pendiente y la cantidad se reserva, sin ingresar todavía al inventario de la destinataria. Una cuenta de la compañía receptora acepta o rechaza. Mientras no exista respuesta, el remitente autorizado puede cancelar.
Al aceptar se registra, en una misma transacción, la salida y la entrada vinculadas. El material pasa a ser propiedad de la destinataria. Se conservan el número de serie original, el lote y los antecedentes del ingreso. El rechazo o la cancelación liberan la reserva. Repetir una solicitud o responder otra vez no duplica movimientos ni existencias.
Inventario de origen
El inventario propio de Comandancia está representado de forma explícita y separado de la vista consolidada. No se asigna a la primera compañía ni se crea una compañía ficticia. Las bodegas reales se registran en Bodegas y ubicaciones y se eligen al ingresar el material.
Alcance de recepción
La operación habilitada acepta o rechaza la transferencia completa. No hay un formulario de recepción parcial ni se presenta como una función implementada. Los préstamos temporales y los traslados entre bodegas de una misma compañía mantienen sus flujos separados.
Verificación
La ejecución completa del proyecto terminó con 182 pruebas aprobadas en una base temporal, incluidos los 18 casos de TransferenciasDefinitivasTests y los 33 de EquipamientoTests. Incluye reservas, aceptación, rechazo, cancelación, respuestas repetidas, aislamiento por compañía, conservación de lotes y series y reversión ante errores. En el entorno de demostración se verificaron los estados aceptada, rechazada y cancelada, y se dejó una transferencia pendiente para revisión del usuario.
Dependencia documental
La conciliación documental quedó completada en BSB-102, que pasó a Listo. El DMD, sus 37 entidades y tablas, 386 campos, 110 relaciones y el SQL coinciden con las columnas de Django y la base local. Se actualizaron los diagramas completos. El DDL generado no se ejecutó contra Oracle.
Trazabilidad
Requisito principal: RF-024. Relacionados: RF-005, RF-008, RF-012, RF-022, RNF-007, RNF-008 y RNF-009.
Historias relacionadas: BSB-16, BSB-21, BSB-26, BSB-27 y BSB-28.
Documento de datos: ​
CBSB_DBA_COMPANIA.sql, en D:\CAPSTONE y en Imagen y esquema dba 37 tablas de Descargas. El detalle de cambios y verificaciones está en Cambios_y_verificacion_CBSB.md, en Descargas.</t>
  </si>
  <si>
    <t>BSB-100</t>
  </si>
  <si>
    <t>Iniciar sesión desde la interfaz de Bomberos</t>
  </si>
  <si>
    <t>Como usuario de Bomberos, quiero ingresar mi usuario y contraseña desde una pantalla de inicio de sesión para acceder a las funciones autorizadas según mi perfil y compañía.
Alcance frontend: pantalla de login, ingreso de credenciales, presentación de mensajes de autenticación y acceso a la navegación autorizada. Esta historia complementa [https://duocuc-team-lp9r2pyt.atlassian.net/browse/BSB-7|https://duocuc-team-lp9r2pyt.atlassian.net/browse/BSB-7|smart-link], Iniciar sesión en el sistema, que corresponde al backend, sin duplicar su lógica de autenticación.
Requerimientos relacionados: RF-002 y RNF-011.</t>
  </si>
  <si>
    <t>La pantalla de inicio de sesión debe permitir ingresar usuario y contraseña y ejecutar la acción de ingresar.
Las credenciales ingresadas deben enviarse al mecanismo de autenticación existente, correspondiente a [https://duocuc-team-lp9r2pyt.atlassian.net/browse/BSB-7|https://duocuc-team-lp9r2pyt.atlassian.net/browse/BSB-7|smart-link].
Cuando las credenciales sean válidas, la interfaz debe permitir acceder al sistema.
Cuando las credenciales sean incorrectas, la pantalla debe mostrar un mensaje de error y mantener al usuario sin acceso al sistema.
Luego del inicio de sesión, la navegación debe mostrar solo las funciones autorizadas según el perfil y la compañía del usuario.</t>
  </si>
  <si>
    <t>Resultados de pruebas del proyecto</t>
  </si>
  <si>
    <t>Registro de pruebas del proyecto</t>
  </si>
  <si>
    <t>Funciones de los Sprint 1 y 2, ordenadas por sprint e historia. Cada fila relaciona el criterio con los casos que lo comprueban.</t>
  </si>
  <si>
    <t>Pruebas sin fallos</t>
  </si>
  <si>
    <t>Resultado distingue criterios verificados, ajustes reproducidos y notas que delimitan el alcance. Detalle explica el resultado y las referencias identifican archivo, línea y caso.</t>
  </si>
  <si>
    <t>Ejecución completa del 25/10/2026: 209 pruebas sin fallos en 233,846 segundos. Se revisaron 23 historias y 188 criterios de los Sprint 1 y 2.</t>
  </si>
  <si>
    <t>Puntos revisados</t>
  </si>
  <si>
    <t>Con caso directo</t>
  </si>
  <si>
    <t>Ajustes detectados</t>
  </si>
  <si>
    <t>Abrir registro de ejecución y casos citados</t>
  </si>
  <si>
    <t>Sprint</t>
  </si>
  <si>
    <t>Requerimientos</t>
  </si>
  <si>
    <t>Criterio de aceptación</t>
  </si>
  <si>
    <t>Resultado</t>
  </si>
  <si>
    <t>Detalle de la comprobación</t>
  </si>
  <si>
    <t>Prueba del flujo válido</t>
  </si>
  <si>
    <t>Prueba de rechazo o límite relacionado</t>
  </si>
  <si>
    <t>Sprint 1</t>
  </si>
  <si>
    <t>Permitir ingresar usuario y contraseña</t>
  </si>
  <si>
    <t>Sprint 1: 49 criterios, 47 verificados y 2 ajustes del menú. Sprint 2: 139 puntos, 137 verificados y 2 notas de alcance. Total: 23 historias y 188 criterios.</t>
  </si>
  <si>
    <t>Herramienta</t>
  </si>
  <si>
    <t>Verificado</t>
  </si>
  <si>
    <t>Django TestCase, basado en unittest, y Client. Los casos prueban modelos y la integración de las vistas, comprueban respuestas, permisos y datos guardados.</t>
  </si>
  <si>
    <t>El caso citado comprueba el comportamiento indicado.</t>
  </si>
  <si>
    <t>apps/personal/tests.py:221
GestionCompaniasTests.test_usuario_compania_ingresa_correctamente_con_su_compania</t>
  </si>
  <si>
    <t>apps/personal/tests.py:208
GestionCompaniasTests.test_usuario_compania_no_puede_ingresar_como_comandancia</t>
  </si>
  <si>
    <t>Respaldo</t>
  </si>
  <si>
    <t>Abrir registro de la ejecución completa de 209 pruebas y sus evidencias</t>
  </si>
  <si>
    <t>Credenciales válidas permiten el acceso</t>
  </si>
  <si>
    <t>Credenciales incorrectas muestran un mensaje de error</t>
  </si>
  <si>
    <t>Se enviaron contraseñas incorrectas con usuario y correo para compañía y Comandancia. En los cuatro escenarios se mostró el mensaje de error, no se inició sesión y el dashboard siguió protegido. El caso está incluido en la ejecución completa de 209 pruebas.</t>
  </si>
  <si>
    <t>apps/personal/tests.py:244
GestionCompaniasTests.test_contrasena_incorrecta_rechaza_login_sin_iniciar_sesion</t>
  </si>
  <si>
    <t>El sistema identifica el rol y la compañía</t>
  </si>
  <si>
    <t>apps/personal/tests.py:233
GestionCompaniasTests.test_usuario_comandancia_ingresa_como_comandancia</t>
  </si>
  <si>
    <t>El usuario accede solo a las funciones autorizadas</t>
  </si>
  <si>
    <t>Ajustar navegación</t>
  </si>
  <si>
    <t>Una cuenta VOLUNTARIO ve el enlace Registrar ingreso en el menú del catálogo, pero al abrirlo recibe HTTP 403. El servidor bloquea el acceso. Falta ocultar ese enlace para el perfil de solo consulta. Comprobación reproducida en una base temporal.</t>
  </si>
  <si>
    <t>apps/core/tests.py:40
CoreDashboardTests.test_dashboard_acceso_comandancia_exitoso</t>
  </si>
  <si>
    <t>Repetir prueba</t>
  </si>
  <si>
    <t>apps/core/tests.py:58
CoreDashboardTests.test_dashboard_redirecciona_usuario_de_compania</t>
  </si>
  <si>
    <t>python manage.py test --noinput -v 2. La opción -v 2 muestra el nombre y resultado de cada caso en la consola.</t>
  </si>
  <si>
    <t>Se debe poder registrar una nueva compañía</t>
  </si>
  <si>
    <t>apps/personal/tests.py:69
GestionCompaniasTests.test_registrar_nueva_compania_exitosa</t>
  </si>
  <si>
    <t>apps/personal/tests.py:170
GestionCompaniasTests.test_rechazo_codigo_compania_duplicado</t>
  </si>
  <si>
    <t>Comprobaciones del Definition of Done</t>
  </si>
  <si>
    <t>Cada compañía debe contar con identificación, nombre y estado.</t>
  </si>
  <si>
    <t>Se debe poder consultar la información de una compañía registrada</t>
  </si>
  <si>
    <t>N.º</t>
  </si>
  <si>
    <t>apps/personal/tests.py:86
GestionCompaniasTests.test_consultar_informacion_companias_y_filtros</t>
  </si>
  <si>
    <t>Criterio</t>
  </si>
  <si>
    <t>Se debe poder actualizar la información de una compañía existente</t>
  </si>
  <si>
    <t>apps/personal/tests.py:111
GestionCompaniasTests.test_actualizar_informacion_compania</t>
  </si>
  <si>
    <t>apps/personal/tests.py:184
GestionCompaniasTests.test_solo_personal_comandancia_puede_administrar_companias</t>
  </si>
  <si>
    <t>La cantidad de compañías registradas no debe estar limitada a un número fijo</t>
  </si>
  <si>
    <t>apps/personal/tests.py:152
GestionCompaniasTests.test_creacion_sin_limite_fijo_de_companias</t>
  </si>
  <si>
    <t>No se debe permitir registrar dos compañías con el mismo identificador</t>
  </si>
  <si>
    <t>Resultado y siguiente comprobación</t>
  </si>
  <si>
    <t>Solo los usuarios autorizados de Comandancia podrán administrar las compañías</t>
  </si>
  <si>
    <t>Se debe poder registrar un nuevo usuario</t>
  </si>
  <si>
    <t>Cumple la funcionalidad solicitada y sus criterios de aceptación</t>
  </si>
  <si>
    <t>apps/cuentas/tests.py:76
GestionUsuariosTests.test_registrar_nuevo_usuario_exitoso</t>
  </si>
  <si>
    <t>Se revisaron 23 historias y 188 criterios. Hay 184 verificados, 2 ajustes de navegación y 2 notas que delimitan el alcance. Las diez pruebas nuevas completan las comprobaciones de formulario, búsquedas, catálogos, fechas, ubicaciones y observaciones.</t>
  </si>
  <si>
    <t>apps/cuentas/tests.py:235
GestionUsuariosTests.test_rechazo_usuario_con_mismo_identificador_de_acceso</t>
  </si>
  <si>
    <t>Se debe poder consultar la información de los usuarios registrados</t>
  </si>
  <si>
    <t>Está integrada al sistema y funciona con los componentes que necesita</t>
  </si>
  <si>
    <t>apps/cuentas/tests.py:103
GestionUsuariosTests.test_consultar_informacion_usuarios_y_filtros</t>
  </si>
  <si>
    <t>apps/cuentas/tests.py:281
GestionUsuariosTests.test_solo_personal_comandancia_puede_ejecutar_acciones_administrador</t>
  </si>
  <si>
    <t>Se debe poder actualizar la información de un usuario</t>
  </si>
  <si>
    <t>Se ejecutaron 209 pruebas de Django sobre modelos, formularios, vistas y servicios, incluidos los casos nuevos de los Sprint 1 y 2. La ejecución completa terminó sin fallos.</t>
  </si>
  <si>
    <t>apps/cuentas/tests.py:129
GestionUsuariosTests.test_actualizar_informacion_usuario</t>
  </si>
  <si>
    <t>Cada usuario debe quedar asociado a una compañía o a Comandancia</t>
  </si>
  <si>
    <t>Aplica correctamente los permisos por rol y compañía cuando corresponde</t>
  </si>
  <si>
    <t>apps/cuentas/tests.py:176
GestionUsuariosTests.test_asociacion_a_comandancia_o_compania</t>
  </si>
  <si>
    <t>apps/cuentas/tests.py:364
AsignarRolCompaniaTests.test_rol_compania_requiere_compania_y_comandancia_sin_compania_ficticia</t>
  </si>
  <si>
    <t>El backend bloquea las operaciones no autorizadas. La revisión detectó que VOLUNTARIO ve Registrar ingreso en el menú aunque esa ruta responde HTTP 403. El ajuste se señala en BSB-7 y BSB-100.</t>
  </si>
  <si>
    <t>Cada usuario debe tener un estado, ejemplo activo o inactivo</t>
  </si>
  <si>
    <t>Mantiene la integridad de los datos y no introduce problemas críticos de seguridad</t>
  </si>
  <si>
    <t>apps/cuentas/tests.py:214
GestionUsuariosTests.test_estado_activo_e_inactivo</t>
  </si>
  <si>
    <t>Las 209 pruebas terminaron sin fallos. Se comprobaron series únicas, saldos, conservación del historial, reversión ante errores y documentos privados. Los datos se prepararon en una base temporal.</t>
  </si>
  <si>
    <t>No se debe permitir registrar dos usuarios con el mismo identificador de acceso</t>
  </si>
  <si>
    <t>El cambio es reproducible y mantenible por el equipo</t>
  </si>
  <si>
    <t>Las credenciales no deben almacenarse en texto</t>
  </si>
  <si>
    <t>Los casos nuevos están en los archivos de pruebas existentes. El comando de ejecución y las referencias por archivo, línea y método están en el registro enlazado.</t>
  </si>
  <si>
    <t>apps/cuentas/tests.py:255
GestionUsuariosTests.test_credenciales_no_almacenadas_en_texto_plano</t>
  </si>
  <si>
    <t>La funcionalidad puede ejecutarse y demostrarse de principio a fin</t>
  </si>
  <si>
    <t>Cada usuario debe tener un rol asignado</t>
  </si>
  <si>
    <t>Las pruebas recorren ingreso, consulta, cambios de estado, bajas, ubicación, entregas, devoluciones, préstamos y transferencias completas. El menú de solo consulta conserva el ajuste señalado en los dos criterios de navegación.</t>
  </si>
  <si>
    <t>apps/cuentas/tests.py:389
AsignarRolCompaniaTests.test_usuario_comandancia_identificado_con_su_rol</t>
  </si>
  <si>
    <t>apps/cuentas/tests.py:351
AsignarRolCompaniaTests.test_asignacion_requiere_rol_obligatorio</t>
  </si>
  <si>
    <t>Cada usuario debe quedar enlazado a una compañía</t>
  </si>
  <si>
    <t>Un usuario de Comandancia debe poder identificarse con su rol correspondiente</t>
  </si>
  <si>
    <t>Pruebas automáticas y capturas de pantalla</t>
  </si>
  <si>
    <t>apps/cuentas/tests.py:402
AsignarRolCompaniaTests.test_permisos_segun_rol_y_restriccion_de_privilegios</t>
  </si>
  <si>
    <t>Ver código inicial: comando de ejecución</t>
  </si>
  <si>
    <t>Los permisos deben aplicarse según el rol asignado</t>
  </si>
  <si>
    <t>apps/cuentas/tests.py:415
AsignarRolCompaniaTests.test_cambios_de_rol_o_compania_quedan_actualizados</t>
  </si>
  <si>
    <t>Los cambios de rol o compañía deben quedar correctamente actualizados</t>
  </si>
  <si>
    <t>Un usuario no debe obtener permisos que no correspondan a su rol</t>
  </si>
  <si>
    <t>La información visible debe depender de la compañía y permisos asignados</t>
  </si>
  <si>
    <t>apps/cuentas/tests.py:431
AsignarRolCompaniaTests.test_informacion_visible_depende_de_compania_y_permisos</t>
  </si>
  <si>
    <t>Ver código: pruebas con TestCase</t>
  </si>
  <si>
    <t>Un usuario activo solo debe visualizar información correspondiente a su compañía</t>
  </si>
  <si>
    <t>apps/inventario/tests.py:558
RegistrarIngresoInventarioTests.test_aislamiento_de_existencias_por_compania_sin_mezclar_ambitos</t>
  </si>
  <si>
    <t>Un usuario activo no debe poder modificar información de otra compañía</t>
  </si>
  <si>
    <t>apps/inventario/tests.py:441
RegistrarIngresoInventarioTests.test_consultar_inventario_refleja_ingresos</t>
  </si>
  <si>
    <t>apps/inventario/tests_sprint2.py:1083
BackendPantallasInventarioTests.test_traslado_ajeno_y_mismo_destino_no_guardan</t>
  </si>
  <si>
    <t>El sistema debe validar los permisos antes de permitir una operación</t>
  </si>
  <si>
    <t>La compañía activa debe verse claramente en las pantallas principales</t>
  </si>
  <si>
    <t>Las capturas permiten ver los nombres, los resultados individuales y el resumen final</t>
  </si>
  <si>
    <t>Se comprobó el nombre y código de la compañía en inventario, ingreso, gestión de materiales, equipamiento, préstamos e historial. Comandancia cambia de compañía y la selección queda indicada en pantalla.</t>
  </si>
  <si>
    <t>apps/inventario/tests_sprint2.py:1603
CriteriosRegistroPruebasTests.test_compania_activa_y_seleccionada_se_muestran_en_pantalla</t>
  </si>
  <si>
    <t>Si un usuario intenta acceder a información no autorizada, el sistema debe impedir el acceso</t>
  </si>
  <si>
    <t>Ver consola: casos ejecutados y resultado individual</t>
  </si>
  <si>
    <t>Comandancia debe conservar los permisos superiores definidos para consultar información de las compañías</t>
  </si>
  <si>
    <t>Comandancia debe poder seleccionar una compañía.</t>
  </si>
  <si>
    <t>Ver consola: resultado final de las 209 pruebas</t>
  </si>
  <si>
    <t>Debe poder consultar la información correspondiente a la compañía seleccionada.</t>
  </si>
  <si>
    <t>Debe poder cambiar entre compañías sin cerrar sesión.</t>
  </si>
  <si>
    <t>El acceso debe respetar los permisos definidos para Comandancia.</t>
  </si>
  <si>
    <t>Ver consola: pruebas de transferencias definitivas</t>
  </si>
  <si>
    <t>La compañía seleccionada debe mostrarse claramente en pantalla.</t>
  </si>
  <si>
    <t>Se debe registrar un artículo</t>
  </si>
  <si>
    <t>apps/inventario/tests.py:94
CatalogoArticulosTests.test_registrar_articulo_maestro</t>
  </si>
  <si>
    <t>apps/inventario/tests.py:190
CatalogoArticulosTests.test_un_mismo_codigo_no_puede_representar_dos_articulos</t>
  </si>
  <si>
    <t>Ver interfaz: bodega en Inactivas</t>
  </si>
  <si>
    <t>El artículo maestro debe permitir registrar código, nombre, descripción, categoría, tipo, marca y modelo cuando corresponda</t>
  </si>
  <si>
    <t>Para los materiales que lo requieran, se debe permitir registrar talla, calidad y otros atributos configurables</t>
  </si>
  <si>
    <t>apps/inventario/tests.py:122
CatalogoArticulosTests.test_variantes_con_talla_calidad_atributos</t>
  </si>
  <si>
    <t>apps/inventario/tests.py:213
CatalogoArticulosTests.test_no_generar_duplicados_innecesarios_por_atributos</t>
  </si>
  <si>
    <t>Se debe poder consultar y actualizar un artículo existente</t>
  </si>
  <si>
    <t>Ver interfaz: bloqueo de un nombre repetido</t>
  </si>
  <si>
    <t>apps/inventario/tests.py:156
CatalogoArticulosTests.test_consultar_y_actualizar_articulo</t>
  </si>
  <si>
    <t>Un mismo código no puede representar dos artículos diferentes</t>
  </si>
  <si>
    <t>No se deben generar duplicados innecesarios del artículo base cuando diferencias como talla, calidad y condición puedan representarse mediante atributos</t>
  </si>
  <si>
    <t>Abrir Definition of Done</t>
  </si>
  <si>
    <t>Los artículos del catálogo deben estar disponibles para ser utilizados por bomberos</t>
  </si>
  <si>
    <t>apps/inventario/tests.py:245
CatalogoArticulosTests.test_disponibilidad_catalogo_para_bomberos</t>
  </si>
  <si>
    <t>La pantalla de inicio de sesión debe permitir ingresar usuario y contraseña y ejecutar la acción de ingresar.</t>
  </si>
  <si>
    <t>La respuesta incluye usuario, contraseña, botón de ingreso, formulario POST y protección CSRF. Los casos de ingreso válido e incorrecto comprueban el envío al servidor.</t>
  </si>
  <si>
    <t>apps/personal/tests.py:281
GestionCompaniasTests.test_formulario_login_presenta_campos_y_envio_protegido</t>
  </si>
  <si>
    <t>Las credenciales ingresadas deben enviarse al mecanismo de autenticación existente, correspondiente a [https://duocuc-team-lp9r2pyt.atlassian.net/browse/BSB-7|https://duocuc-team-lp9r2pyt.atlassian.net/browse/BSB-7|smart-link].</t>
  </si>
  <si>
    <t>Abrir tarea de verificación en Jira</t>
  </si>
  <si>
    <t>Cuando las credenciales sean válidas, la interfaz debe permitir acceder al sistema.</t>
  </si>
  <si>
    <t>Cuando las credenciales sean incorrectas, la pantalla debe mostrar un mensaje de error y mantener al usuario sin acceso al sistema.</t>
  </si>
  <si>
    <t>Luego del inicio de sesión, la navegación debe mostrar solo las funciones autorizadas según el perfil y la compañía del usuario.</t>
  </si>
  <si>
    <t>Sprint 2</t>
  </si>
  <si>
    <t>Mostrar únicamente el inventario correspondiente a la compañía del usuario</t>
  </si>
  <si>
    <t>Mostrar artículo, cantidad y estado</t>
  </si>
  <si>
    <t>Permitir buscar artículos dentro del inventario</t>
  </si>
  <si>
    <t>Se buscaron nombre, código y serie. El resultado conserva el inventario de la compañía, excluye las existencias ajenas y devuelve una lista vacía cuando no hay coincidencias.</t>
  </si>
  <si>
    <t>apps/inventario/tests_sprint2.py:1620
CriteriosRegistroPruebasTests.test_busqueda_inventario_por_nombre_codigo_y_serie_respeta_compania</t>
  </si>
  <si>
    <t>Mostrar la ubicación del artículo cuando exista</t>
  </si>
  <si>
    <t>La información de otras compañías no debe mezclarse con el inventario actual</t>
  </si>
  <si>
    <t>Los datos mostrados deben corresponder a la información registrada en el sistema</t>
  </si>
  <si>
    <t>Distinguir inventario propio de Comandancia y de cada compañía de la vista consolidada, sin mezclar ámbitos responsables.</t>
  </si>
  <si>
    <t>apps/inventario/tests_sprint2.py:550
TransferenciasDefinitivasTests.test_ingreso_propio_explicito_y_modelos_impiden_ambito_ambiguo</t>
  </si>
  <si>
    <t>apps/inventario/tests_sprint2.py:832
CorreccionesSprint2Tests.test_indicadores_de_otras_companias_no_se_mezclan</t>
  </si>
  <si>
    <t>Mostrar total, disponible, asignado, prestado y dañado como dimensiones que pueden superponerse, un artículo dañado y asignado no se cuenta dos veces en el total.</t>
  </si>
  <si>
    <t>apps/inventario/tests_sprint2.py:821
CorreccionesSprint2Tests.test_danado_y_asignado_no_se_suman_dos_veces</t>
  </si>
  <si>
    <t>apps/inventario/tests_sprint2.py:1160
BackendPantallasInventarioTests.test_no_hay_doble_conteo_de_serie_y_su_stock</t>
  </si>
  <si>
    <t>Se debe seleccionar un artículo del catálogo maestro</t>
  </si>
  <si>
    <t>apps/inventario/tests.py:368
RegistrarIngresoInventarioTests.test_registrar_ingreso_exitoso_actualiza_existencias_y_movimiento</t>
  </si>
  <si>
    <t>apps/inventario/tests_sprint2.py:715
CorreccionesSprint2Tests.test_cantidad_con_signos_letras_o_decimales_no_guarda</t>
  </si>
  <si>
    <t>Permitir ingresar la cantidad recibida</t>
  </si>
  <si>
    <t>Registrar la fecha de ingreso</t>
  </si>
  <si>
    <t>apps/inventario/tests_sprint2.py:600
CorreccionesSprint2Tests.test_fecha_ingreso_y_fecha_registro_se_conservan_por_separado</t>
  </si>
  <si>
    <t>apps/inventario/tests_sprint2.py:609
CorreccionesSprint2Tests.test_fecha_imposible_no_produce_500_ni_movimientos</t>
  </si>
  <si>
    <t>Registrar la compañía a la que pertenece el movimiento</t>
  </si>
  <si>
    <t>Permitir indicar la ubicación inicial del artículo</t>
  </si>
  <si>
    <t>Actualizar las existencias después de confirmar el ingreso</t>
  </si>
  <si>
    <t>El movimiento debe quedar registrado en el historial</t>
  </si>
  <si>
    <t>Identificar el ámbito responsable del ingreso: compañía o inventario propio de Comandancia.</t>
  </si>
  <si>
    <t>apps/inventario/tests_sprint2.py:625
CorreccionesSprint2Tests.test_oficial_sin_compania_no_puede_registrar_ingresos</t>
  </si>
  <si>
    <t>La recepción de una transferencia definitiva se vincula a su salida en BSB-99 (RF-024), no se representa como dos ingresos independientes.</t>
  </si>
  <si>
    <t>apps/inventario/tests_sprint2.py:341
TransferenciasDefinitivasTests.test_envio_reserva_sin_adelantar_existencias_y_recepcion_conserva_lote</t>
  </si>
  <si>
    <t>apps/inventario/tests_sprint2.py:363
TransferenciasDefinitivasTests.test_otra_compania_y_comandancia_no_pueden_aceptar_ni_rechazar</t>
  </si>
  <si>
    <t>El sistema debe diferenciar artículos controlados por cantidad de aquellos individualizados mediante número de serie</t>
  </si>
  <si>
    <t>apps/inventario/tests.py:461
RegistrarIngresoInventarioTests.test_registrar_articulo_por_serie_crea_equipo_seriado</t>
  </si>
  <si>
    <t>apps/inventario/tests.py:499
RegistrarIngresoInventarioTests.test_no_permitir_duplicar_numero_de_serie</t>
  </si>
  <si>
    <t>Los artículos controlados por cantidad deben poder registrar tipo, talla, calidad, estado y observaciones cuando corresponda</t>
  </si>
  <si>
    <t>apps/inventario/tests.py:529
RegistrarIngresoInventarioTests.test_registrar_articulo_por_cantidad_con_talla_calidad_y_estado</t>
  </si>
  <si>
    <t>apps/inventario/tests_sprint2.py:724
CorreccionesSprint2Tests.test_manguera_no_admite_talla_personal_y_si_ingreso_sin_talla</t>
  </si>
  <si>
    <t>El número de serie debe corresponder al número físico cuando exista</t>
  </si>
  <si>
    <t>No permitir registrar dos artículos con el mismo número de serie</t>
  </si>
  <si>
    <t>Cada artículo debe quedar asociado al inventario propio de una compañía o de Comandancia, según su ámbito responsable, sin mezclar existencias entre ámbitos</t>
  </si>
  <si>
    <t>Se podrá consultar el número de serie del artículo</t>
  </si>
  <si>
    <t>apps/mantenimiento/tests_equipamiento.py:450
EquipamientoTests.test_inventario_busca_responsable_por_nombre_apellidos_codigo_y_serie</t>
  </si>
  <si>
    <t>apps/mantenimiento/tests_equipamiento.py:465
EquipamientoTests.test_buscar_responsable_respeta_compania_y_devolucion</t>
  </si>
  <si>
    <t>El usuario debe poder registrar el estado y condición actual del artículo y agregar observaciones</t>
  </si>
  <si>
    <t>apps/inventario/tests_sprint2.py:1036
BackendPantallasInventarioTests.test_cambio_estado_parcial_conserva_total_fecha_y_historial</t>
  </si>
  <si>
    <t>apps/inventario/tests_sprint2.py:1138
BackendPantallasInventarioTests.test_dano_no_quita_asignacion_del_equipo</t>
  </si>
  <si>
    <t>Los estados deben ser configurables y permitir representar situaciones utilizadas por Bomberos como Operativo, En uso, Usado, Sin revisión, Fuera de servicio y Propuesto para baja</t>
  </si>
  <si>
    <t>En la base de pruebas se añadieron los seis estados citados desde Django Admin. Aparecen en la selección y cada cambio queda guardado sin alterar el total. Esto comprueba la configuración, no carga esos valores en la base de uso.</t>
  </si>
  <si>
    <t>apps/inventario/tests_sprint2.py:1651
CriteriosRegistroPruebasTests.test_estados_citados_se_configuran_y_aplican_desde_catalogo</t>
  </si>
  <si>
    <t>Mostrar el estado actual al consultar el artículo</t>
  </si>
  <si>
    <t>Los cambios de estado deben conservarse en el historial sin eliminar los registros anteriores del elemento</t>
  </si>
  <si>
    <t>Registrar condición dañada separada de custodia, préstamo y ubicación.</t>
  </si>
  <si>
    <t>apps/mantenimiento/tests_equipamiento.py:297
EquipamientoTests.test_no_modificar_reservas_a_granel_desde_gestion_materiales</t>
  </si>
  <si>
    <t>Un daño no genera baja automática ni doble conteo del material.</t>
  </si>
  <si>
    <t>Permitir seleccionar un artículo o equipo</t>
  </si>
  <si>
    <t>apps/inventario/tests_sprint2.py:1127
BackendPantallasInventarioTests.test_equipo_retirado_se_conserva_y_no_esta_disponible</t>
  </si>
  <si>
    <t>apps/inventario/tests_sprint2.py:1048
BackendPantallasInventarioTests.test_baja_no_admite_cantidad_mayor_al_saldo</t>
  </si>
  <si>
    <t>Registrar si corresponde a una baja o pérdida</t>
  </si>
  <si>
    <t>apps/inventario/tests_sprint2.py:1054
BackendPantallasInventarioTests.test_baja_y_perdida_conservan_historial_y_saldo</t>
  </si>
  <si>
    <t>Registrar fecha</t>
  </si>
  <si>
    <t>Se registraron una baja y una pérdida. Se comprobaron fecha, motivo, usuario y observaciones guardados, además de su relación con el historial y la consulta posterior.</t>
  </si>
  <si>
    <t>apps/inventario/tests_sprint2.py:1666
CriteriosRegistroPruebasTests.test_baja_y_perdida_conservan_fecha_motivo_responsable_y_observaciones</t>
  </si>
  <si>
    <t>Registrar motivo</t>
  </si>
  <si>
    <t>Registrar responsable</t>
  </si>
  <si>
    <t>Permitir agregar observaciones</t>
  </si>
  <si>
    <t>Actualizar la disponibilidad del elemento</t>
  </si>
  <si>
    <t>No permitir que el movimiento genere existencias negativas</t>
  </si>
  <si>
    <t>Mantener el historial después de realizar la operación</t>
  </si>
  <si>
    <t>Conservar respaldo asociado, fecha, motivo, responsable y historial de la baja o pérdida.</t>
  </si>
  <si>
    <t>apps/inventario/tests_sprint2.py:1286
BackendPantallasInventarioTests.test_respaldo_privado_verifica_compania_y_archivo</t>
  </si>
  <si>
    <t>apps/inventario/tests_sprint2.py:1309
BackendPantallasInventarioTests.test_respaldo_invalido_no_guarda</t>
  </si>
  <si>
    <t>Una diferencia de inventario o daño no produce baja automática, documentos obligatorios y autorizadores requieren definición.</t>
  </si>
  <si>
    <t>Alcance documentado</t>
  </si>
  <si>
    <t>El daño no genera una baja automática y el sistema conserva el historial. El respaldo es opcional. El propio criterio deja sin definir qué documentos serían obligatorios y qué cargos autorizarían una baja. Esa definición no se presenta como una prueba fallida.</t>
  </si>
  <si>
    <t>Permitir asociar un artículo a una ubicación</t>
  </si>
  <si>
    <t>apps/inventario/tests_sprint2.py:1071
BackendPantallasInventarioTests.test_traslado_interno_conserva_total_y_registra_destino</t>
  </si>
  <si>
    <t>La ubicación podrá corresponder a un carro, unidad, bodega, cabina, compartimento o otra ubicación</t>
  </si>
  <si>
    <t>Se trasladó material a ubicaciones asociadas a un carro, unidad, bodega, cabina y compartimento. También se probó un traslado entre bodegas del inventario propio de Comandancia, conservando ámbito y total.</t>
  </si>
  <si>
    <t>apps/inventario/tests_sprint2.py:1690
CriteriosRegistroPruebasTests.test_traslados_admiten_unidad_dependencias_y_comandancia</t>
  </si>
  <si>
    <t>Permitir modificar la ubicación cuando un artículo sea trasladado</t>
  </si>
  <si>
    <t>Permitir consultar inventario según ubicación</t>
  </si>
  <si>
    <t>Los cambios de ubicación deben conservarse en el historial</t>
  </si>
  <si>
    <t>La ubicación debe pertenecer a la compañía correspondiente</t>
  </si>
  <si>
    <t>Seleccionar destino entre unidades, bodegas o dependencias habilitadas, incluidas las de Comandancia, mostrando el ámbito responsable.</t>
  </si>
  <si>
    <t>No exigir cabina, bandeja ni compartimento en la captura habitual, conservar los detalles históricos existentes.</t>
  </si>
  <si>
    <t>apps/inventario/tests_sprint2.py:147
DocumentosAdquisicionTests.test_crear_lugar_desde_bodegas_sin_registrar_material</t>
  </si>
  <si>
    <t>apps/inventario/tests_sprint2.py:228
DocumentosAdquisicionTests.test_no_se_borra_bodega_ajena_ni_con_ubicaciones_dependientes</t>
  </si>
  <si>
    <t>Registrar origen, destino, artículo, cantidad o serie, fecha y usuario en la reubicación.</t>
  </si>
  <si>
    <t>apps/inventario/tests_sprint2.py:1116
BackendPantallasInventarioTests.test_serie_no_cambia_al_modificar_estado_y_ubicacion</t>
  </si>
  <si>
    <t>El traslado interno, incluido retiro temporal por mantenimiento, conserva el total y el historial, no se registra como baja y nuevo ingreso.</t>
  </si>
  <si>
    <t>RF-021, RNF-008, RNF-011</t>
  </si>
  <si>
    <t>Desactivar una bodega usada después de trasladar todo el material y recuperarla con la misma identidad.</t>
  </si>
  <si>
    <t>Comprobación adicional de bodegas solicitada durante la revisión.</t>
  </si>
  <si>
    <t>apps/inventario/tests_sprint2.py:1381
CicloBodegasTests.test_trasladar_desactivar_recuperar_y_devolver_material_conserva_historial</t>
  </si>
  <si>
    <t>apps/inventario/tests_sprint2.py:1418
CicloBodegasTests.test_bodega_con_material_no_se_desactiva</t>
  </si>
  <si>
    <t>No crear otra bodega con el mismo nombre dentro del mismo ámbito, aunque esté inactiva.</t>
  </si>
  <si>
    <t>apps/inventario/tests_sprint2.py:1443
CicloBodegasTests.test_nombre_o_codigo_de_inactiva_ofrece_recuperar_la_misma</t>
  </si>
  <si>
    <t>apps/inventario/tests_sprint2.py:1433
CicloBodegasTests.test_no_repite_nombre_activo_aunque_cambien_codigo_mayusculas_y_espacios</t>
  </si>
  <si>
    <t>Conservar los datos y el responsable en auditoría al eliminar una bodega sin uso.</t>
  </si>
  <si>
    <t>apps/inventario/tests_sprint2.py:239
DocumentosAdquisicionTests.test_eliminar_bodega_conserva_datos_y_responsable_en_bitacora</t>
  </si>
  <si>
    <t>apps/inventario/tests_sprint2.py:281
DocumentosAdquisicionTests.test_fallo_al_registrar_eliminacion_conserva_la_bodega</t>
  </si>
  <si>
    <t>Impedir que una bodega inactiva reciba ingresos o traslados.</t>
  </si>
  <si>
    <t>apps/inventario/tests_sprint2.py:1558
CicloBodegasTests.test_bodega_inactiva_no_recibe_ingresos_ni_traslados</t>
  </si>
  <si>
    <t>apps/inventario/tests_sprint2.py:1582
CicloBodegasTests.test_traslado_revalida_destino_si_se_desactiva_despues_de_validar</t>
  </si>
  <si>
    <t>Respetar la compañía y los permisos al cambiar el estado de una bodega.</t>
  </si>
  <si>
    <t>apps/inventario/tests_sprint2.py:1465
CicloBodegasTests.test_comandancia_recupera_su_bodega_sin_crear_otra</t>
  </si>
  <si>
    <t>apps/inventario/tests_sprint2.py:1510
CicloBodegasTests.test_no_modifica_bodegas_ajenas_y_voluntario_no_cambia_estados</t>
  </si>
  <si>
    <t>Permitir registrar el origen del artículo</t>
  </si>
  <si>
    <t>apps/inventario/tests_sprint2.py:1096
BackendPantallasInventarioTests.test_origen_persiste_y_nuevo_ingreso_no_lo_hereda</t>
  </si>
  <si>
    <t>apps/inventario/tests_sprint2.py:1265
BackendPantallasInventarioTests.test_datos_invalidos_no_crean_movimientos</t>
  </si>
  <si>
    <t>Poder indicar opciones como compra de compañía, entrega de Comandancia, llegada con un carro, proyecto o otro origen</t>
  </si>
  <si>
    <t>Se añadieron en Django Admin los orígenes citados y una opción nueva de donación. Cada opción aparece en el formulario, queda asociada al material y conserva las existencias.</t>
  </si>
  <si>
    <t>apps/inventario/tests_sprint2.py:1720
CriteriosRegistroPruebasTests.test_origenes_citados_y_nueva_opcion_desde_administracion</t>
  </si>
  <si>
    <t>Permitir consultar el origen posteriormente</t>
  </si>
  <si>
    <t>El dato podrá quedar vacío cuando no corresponda o no exista información</t>
  </si>
  <si>
    <t>apps/inventario/tests_sprint2.py:1112
BackendPantallasInventarioTests.test_origen_opcional_puede_quedar_vacio</t>
  </si>
  <si>
    <t>Las opciones de origen deben poder ampliarse en el futuro</t>
  </si>
  <si>
    <t>El dato de origen o financiamiento no sustituye la salida y recepción vinculadas de una transferencia definitiva (BSB-99).</t>
  </si>
  <si>
    <t>Permitir buscar por código</t>
  </si>
  <si>
    <t>apps/inventario/tests_sprint2.py:1166
BackendPantallasInventarioTests.test_consulta_global_y_filtros_sin_escrituras</t>
  </si>
  <si>
    <t>apps/inventario/tests_sprint2.py:1176
BackendPantallasInventarioTests.test_compania_no_ve_consulta_global_ni_ficha_ajena</t>
  </si>
  <si>
    <t>Permitir buscar por nombre</t>
  </si>
  <si>
    <t>La búsqueda por nombre devuelve las posiciones de ambas compañías. Cada fila muestra el ámbito responsable, la ubicación y su cantidad, sin modificar existencias.</t>
  </si>
  <si>
    <t>apps/inventario/tests_sprint2.py:1734
CriteriosRegistroPruebasTests.test_consulta_consolidada_busca_nombre_y_muestra_compania_y_ubicacion</t>
  </si>
  <si>
    <t>Permitir buscar por número de serie cuando corresponda</t>
  </si>
  <si>
    <t>Mostrar en qué compañía se encuentra el artículo</t>
  </si>
  <si>
    <t>Mostrar la ubicación dentro de la compañía</t>
  </si>
  <si>
    <t>Mostrar cantidad existente y cantidad disponible cuando corresponda</t>
  </si>
  <si>
    <t>La consulta no debe modificar las existencias</t>
  </si>
  <si>
    <t>Solo usuarios autorizados de Comandancia podrán realizar la consulta consolidada</t>
  </si>
  <si>
    <t>Incluir inventario propio de Comandancia y de compañías, diferenciando ámbito responsable, custodia y ubicación actual.</t>
  </si>
  <si>
    <t>apps/inventario/tests_sprint2.py:495
TransferenciasDefinitivasTests.test_vista_inventario_propio_distingue_total_disponible_y_reservado</t>
  </si>
  <si>
    <t>Permitir consultar detalle de total, disponible, asignado, prestado y dañado sin sumar categorías superpuestas.</t>
  </si>
  <si>
    <t>apps/mantenimiento/tests_equipamiento.py:288
EquipamientoTests.test_inventario_consolidado_mantiene_total_y_disponibilidad</t>
  </si>
  <si>
    <t>Permitir seleccionar al bombero</t>
  </si>
  <si>
    <t>apps/mantenimiento/tests_equipamiento.py:90
EquipamientoTests.test_entrega_sin_cuenta_reserva_sin_restar_total</t>
  </si>
  <si>
    <t>apps/mantenimiento/tests_equipamiento.py:124
EquipamientoTests.test_ambito_y_bombero_de_otra_compania</t>
  </si>
  <si>
    <t>Permitir seleccionar un artículo o número de serie específico</t>
  </si>
  <si>
    <t>Registrar fecha de entrega</t>
  </si>
  <si>
    <t>Registrar estado del elemento al momento de la entrega</t>
  </si>
  <si>
    <t>Se comprobaron la fecha de entrega, la condición inicial y las observaciones guardadas. La consulta muestra fecha y estado. La devolución guarda su fecha y observaciones, y ambas operaciones aparecen en el historial.</t>
  </si>
  <si>
    <t>apps/mantenimiento/tests_equipamiento.py:600
CriteriosDatosEquipamientoTests.test_entrega_personal_y_devolucion_conservan_datos_y_los_muestran</t>
  </si>
  <si>
    <t>El elemento entregado debe quedar asociado al bombero</t>
  </si>
  <si>
    <t>No se debe poder entregar un equipo que ya se encuentre asignado a otra persona</t>
  </si>
  <si>
    <t>apps/mantenimiento/tests_equipamiento.py:114
EquipamientoTests.test_serie_no_puede_asignarse_ni_prestarse_dos_veces</t>
  </si>
  <si>
    <t>El bombero receptor es un registro de persona y no necesita una cuenta de acceso para recibir equipamiento.</t>
  </si>
  <si>
    <t>Registrar automáticamente el usuario que realiza la entrega, fecha y hora, conservando el historial.</t>
  </si>
  <si>
    <t>Validar el ámbito autorizado y disponibilidad, sin generar cantidades negativas. Mantener separados responsable del inventario, receptor o custodia, ubicación y condición del material.</t>
  </si>
  <si>
    <t>Permitir seleccionar un elemento actualmente asignado</t>
  </si>
  <si>
    <t>apps/mantenimiento/tests_equipamiento.py:133
EquipamientoTests.test_devolucion_parcial_danada_y_final</t>
  </si>
  <si>
    <t>apps/mantenimiento/tests_equipamiento.py:151
EquipamientoTests.test_no_devolver_antes_de_entrega_ni_exceder_saldo</t>
  </si>
  <si>
    <t>Registrar fecha de devolución</t>
  </si>
  <si>
    <t>Registrar estado del elemento al momento de recibirlo</t>
  </si>
  <si>
    <t>Permitir ingresar observaciones sobre daños o deterioro</t>
  </si>
  <si>
    <t>El elemento debe dejar de aparecer como asignado al bombero</t>
  </si>
  <si>
    <t>apps/mantenimiento/tests_equipamiento.py:158
EquipamientoTests.test_devolucion_serial_preserva_identidad_y_libera_custodia</t>
  </si>
  <si>
    <t>El equipo debe volver a estar disponible cuando su estado lo permita</t>
  </si>
  <si>
    <t>La entrega y devolución deben mantenerse en el historial</t>
  </si>
  <si>
    <t>Identificar al bombero receptor mediante su registro de persona, aunque no tenga cuenta de acceso.</t>
  </si>
  <si>
    <t>Conservar la condición del material y registrar su custodia y ubicación resultantes. La devolución de un elemento dañado no lo convierte automáticamente en disponible ni elimina el daño registrado.</t>
  </si>
  <si>
    <t>Registrar automáticamente usuario, fecha y hora de la devolución y conservar la relación con la entrega original.</t>
  </si>
  <si>
    <t>Aplicar ámbito y permisos autorizados, sin duplicar existencias ni generar saldos negativos.</t>
  </si>
  <si>
    <t>Mostrar los equipos actualmente asignados</t>
  </si>
  <si>
    <t>apps/mantenimiento/tests_equipamiento.py:245
EquipamientoTests.test_consulta_ficha_historial_y_aislamiento</t>
  </si>
  <si>
    <t>apps/mantenimiento/tests_equipamiento.py:341
EquipamientoTests.test_historial_no_expone_compania_o_bombero_fuera_del_ambito</t>
  </si>
  <si>
    <t>Mostrar artículo y número de serie cuando corresponda</t>
  </si>
  <si>
    <t>apps/mantenimiento/tests_equipamiento.py:307
EquipamientoTests.test_historial_central_filtra_tipo_bombero_y_serie</t>
  </si>
  <si>
    <t>Mostrar fecha de entrega</t>
  </si>
  <si>
    <t>Mostrar estado del elemento</t>
  </si>
  <si>
    <t>Permitir revisar entregas y devoluciones anteriores</t>
  </si>
  <si>
    <t>Consultar equipamiento del bombero mediante su registro de persona, aunque no tenga cuenta de acceso.</t>
  </si>
  <si>
    <t>Mostrar claramente el ámbito responsable y distinguir condición del material, custodia o asignación y ubicación. Un elemento dañado puede continuar asignado y no debe ocultarse por esa condición.</t>
  </si>
  <si>
    <t>apps/mantenimiento/tests_equipamiento.py:201
EquipamientoTests.test_prestamo_serie_condicion_danada_visible_y_devolucion</t>
  </si>
  <si>
    <t>Conservar la consulta del historial de entregas y devoluciones, respetando el ámbito y los permisos autorizados.</t>
  </si>
  <si>
    <t>Registrar compañía de origen.</t>
  </si>
  <si>
    <t>apps/mantenimiento/tests_equipamiento.py:168
EquipamientoTests.test_prestamo_mueve_custodia_y_reserva_destino_sin_duplicados</t>
  </si>
  <si>
    <t>apps/mantenimiento/tests_equipamiento.py:221
EquipamientoTests.test_destino_invalido_y_sobrestock_no_guardan</t>
  </si>
  <si>
    <t>Registrar compañía receptora</t>
  </si>
  <si>
    <t>Permitir seleccionar artículo, cantidad o número de serie</t>
  </si>
  <si>
    <t>Se comprobaron fecha y estado de entrega, fecha de devolución y observaciones. El historial muestra ambas fechas y los detalles del préstamo a las dos compañías participantes.</t>
  </si>
  <si>
    <t>apps/mantenimiento/tests_equipamiento.py:603
CriteriosDatosEquipamientoTests.test_prestamo_y_devolucion_conservan_datos_y_los_muestran_a_ambas_companias</t>
  </si>
  <si>
    <t>Registrar estado del material al realizar el préstamo</t>
  </si>
  <si>
    <t>No permitir prestar una cantidad superior a la disponible</t>
  </si>
  <si>
    <t>El préstamo debe quedar registrado como pendiente mientras no sea devuelto</t>
  </si>
  <si>
    <t>Conservar responsables, custodia y ubicación actual del material prestado.</t>
  </si>
  <si>
    <t>Mantener la obligación de devolución del préstamo, distinguirlo de la transferencia definitiva BSB-99.</t>
  </si>
  <si>
    <t>Permitir seleccionar un préstamo pendiente</t>
  </si>
  <si>
    <t>apps/mantenimiento/tests_equipamiento.py:185
EquipamientoTests.test_devolucion_prestamo_parcial_danada_y_cierre</t>
  </si>
  <si>
    <t>Registrar cantidad o número de serie devuelto</t>
  </si>
  <si>
    <t>apps/mantenimiento/tests_equipamiento.py:542
EquipamientoTests.test_prestamo_seriado_conserva_lote_y_serie_al_devolver</t>
  </si>
  <si>
    <t>Registrar estado del elemento al regresar</t>
  </si>
  <si>
    <t>Actualizar la disponibilidad en la compañía de origen</t>
  </si>
  <si>
    <t>El préstamo debe quedar marcado como devuelto o finalizado</t>
  </si>
  <si>
    <t>Mantener el historial completo del préstamo</t>
  </si>
  <si>
    <t>Vincular la devolución con el préstamo original, conservando ámbito responsable, custodia, ubicación y condición del material.</t>
  </si>
  <si>
    <t>Actualizar la disponibilidad de origen solo cuando el estado lo permita. El material devuelto dañado no se convierte automáticamente en disponible y su daño permanece visible en el historial.</t>
  </si>
  <si>
    <t>Registrar automáticamente usuario, fecha y hora, sin duplicar existencias ni producir saldos negativos, respetando los permisos del ámbito.</t>
  </si>
  <si>
    <t>No confundir el cierre de un préstamo con una transferencia definitiva de Comandancia, tratada en BSB-99.</t>
  </si>
  <si>
    <t>Mostrar préstamos actualmente pendientes</t>
  </si>
  <si>
    <t>apps/mantenimiento/tests_equipamiento.py:351
EquipamientoTests.test_historial_situacion_pendiente_y_devolucion_completa</t>
  </si>
  <si>
    <t>apps/mantenimiento/tests_equipamiento.py:378
EquipamientoTests.test_historial_valida_fechas_y_rechaza_post</t>
  </si>
  <si>
    <t>Mostrar préstamos finalizados</t>
  </si>
  <si>
    <t>Mostrar compañía de origen y compañía receptora</t>
  </si>
  <si>
    <t>apps/mantenimiento/tests_equipamiento.py:322
EquipamientoTests.test_historial_central_prestamo_visible_a_ambas_companias</t>
  </si>
  <si>
    <t>Mostrar artículo, cantidad o número de serie</t>
  </si>
  <si>
    <t>Mostrar fecha de devolución cuando corresponda</t>
  </si>
  <si>
    <t>Mostrar estado del préstamo</t>
  </si>
  <si>
    <t>Permitir consultar observaciones registradas</t>
  </si>
  <si>
    <t>Mantener el historial aunque el préstamo ya haya finalizado</t>
  </si>
  <si>
    <t>Comandancia podrá consultar los préstamos de las distintas compañías según sus permisos</t>
  </si>
  <si>
    <t>Identificar el inventario propio de Comandancia de origen y la compañía receptora, el artículo y sus características, la cantidad o el número de serie y la procedencia. La consulta consolidada de otras compañías no se utiliza como inventario propio.</t>
  </si>
  <si>
    <t>Relacionar la salida y la recepción con una misma transferencia, conservando sus fechas y responsables. Un error durante el guardado no debe dejar una salida sin su recepción correspondiente.</t>
  </si>
  <si>
    <t>apps/inventario/tests_sprint2.py:429
TransferenciasDefinitivasTests.test_fallo_de_auditoria_deshace_recepcion_y_ambos_movimientos</t>
  </si>
  <si>
    <t>Conservar la identidad del material y su número de serie. Cuando exista un lote de ingreso, mantener su relación y los antecedentes de adquisición asociados. La entrega definitiva debe distinguirse del préstamo temporal y del traslado interno.</t>
  </si>
  <si>
    <t>apps/inventario/tests_sprint2.py:442
TransferenciasDefinitivasTests.test_serie_original_se_conserva_y_no_se_recrea_equipo</t>
  </si>
  <si>
    <t>apps/inventario/tests_sprint2.py:398
TransferenciasDefinitivasTests.test_envio_y_respuesta_repetidos_no_duplican_saldos</t>
  </si>
  <si>
    <t>Evitar existencias negativas y la duplicación del material en el consolidado. Comprobar los saldos de origen y destino antes y después de la operación.</t>
  </si>
  <si>
    <t>apps/inventario/tests_sprint2.py:410
TransferenciasDefinitivasTests.test_no_permite_reservar_mas_del_saldo_y_no_usa_material_de_compania</t>
  </si>
  <si>
    <t>Aplicar las autorizaciones y el ámbito de cada usuario en el backend. La operación no debe permitir utilizar existencias de una compañía como si pertenecieran a Comandancia.</t>
  </si>
  <si>
    <t>Conservar el historial de la transferencia, el usuario que registra cada operación, su fecha y los movimientos relacionados.</t>
  </si>
  <si>
    <t>La transferencia queda pendiente y reserva el material. Solo una cuenta autorizada de la compañía destinataria puede aceptarla o rechazarla. Comandancia puede cancelarla mientras está pendiente. Al aceptar se guardan juntos la salida y la entrada y cambia la propiedad. Al rechazar o cancelar se libera la reserva.</t>
  </si>
  <si>
    <t>apps/inventario/tests_sprint2.py:374
TransferenciasDefinitivasTests.test_rechazo_y_cancelacion_liberan_reserva_sin_movimientos</t>
  </si>
  <si>
    <t>apps/inventario/tests_sprint2.py:388
TransferenciasDefinitivasTests.test_solo_remitente_cancela_y_no_puede_cancelar_aceptada</t>
  </si>
  <si>
    <t>La recepción habilitada es de la transferencia completa. La recepción parcial y su conciliación no están implementadas y requieren una definición antes de habilitar esos casos.</t>
  </si>
  <si>
    <t>Jira BSB-99 limita el flujo habilitado a aceptar o rechazar el envío completo. Las pruebas comprueban esa recepción completa. La recepción fraccionada queda fuera del flujo actual y no se cuenta como una prueba pendiente.</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</si>
</sst>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
  </numFmts>
  <fonts count="17">
    <font>
      <sz val="11.0"/>
      <color rgb="FF000000"/>
      <name val="Carlito"/>
      <scheme val="minor"/>
    </font>
    <font>
      <b/>
      <sz val="11.0"/>
      <color rgb="FFFFFFFF"/>
      <name val="Calibri"/>
    </font>
    <font>
      <color theme="1"/>
      <name val="Calibri"/>
    </font>
    <font>
      <sz val="11.0"/>
      <color theme="1"/>
      <name val="Calibri"/>
    </font>
    <font>
      <b/>
      <sz val="11.0"/>
      <color theme="1"/>
      <name val="Calibri"/>
    </font>
    <font>
      <b/>
      <sz val="16.0"/>
      <color rgb="FFFFFFFF"/>
      <name val="Calibri"/>
    </font>
    <font>
      <sz val="13.0"/>
      <color rgb="FF123F35"/>
      <name val="Calibri"/>
    </font>
    <font>
      <sz val="10.0"/>
      <color rgb="FF333333"/>
      <name val="Arial"/>
    </font>
    <font>
      <b/>
      <sz val="16.0"/>
      <color rgb="FF333333"/>
      <name val="Arial"/>
    </font>
    <font>
      <b/>
      <sz val="10.0"/>
      <color rgb="FFFFFFFF"/>
      <name val="Arial"/>
    </font>
    <font>
      <u/>
      <sz val="10.0"/>
      <color rgb="FF0563C1"/>
      <name val="Arial"/>
    </font>
    <font>
      <b/>
      <sz val="10.0"/>
      <color rgb="FF126544"/>
      <name val="Arial"/>
    </font>
    <font>
      <u/>
      <sz val="10.0"/>
      <color rgb="FF0563C1"/>
      <name val="Arial"/>
    </font>
    <font>
      <b/>
      <sz val="10.0"/>
      <color rgb="FF914A00"/>
      <name val="Arial"/>
    </font>
    <font>
      <b/>
      <sz val="13.0"/>
      <color rgb="FF333333"/>
      <name val="Arial"/>
    </font>
    <font/>
    <font>
      <color theme="1"/>
      <name val="Carlito"/>
      <scheme val="minor"/>
    </font>
  </fonts>
  <fills count="6">
    <fill>
      <patternFill patternType="none"/>
    </fill>
    <fill>
      <patternFill patternType="lightGray"/>
    </fill>
    <fill>
      <patternFill patternType="solid">
        <fgColor rgb="FF123F35"/>
        <bgColor rgb="FF123F35"/>
      </patternFill>
    </fill>
    <fill>
      <patternFill patternType="solid">
        <fgColor rgb="FF2F6B56"/>
        <bgColor rgb="FF2F6B56"/>
      </patternFill>
    </fill>
    <fill>
      <patternFill patternType="solid">
        <fgColor rgb="FFE8F3EE"/>
        <bgColor rgb="FFE8F3EE"/>
      </patternFill>
    </fill>
    <fill>
      <patternFill patternType="solid">
        <fgColor rgb="FFF2F2F2"/>
        <bgColor rgb="FFF2F2F2"/>
      </patternFill>
    </fill>
  </fills>
  <borders count="4">
    <border/>
    <border>
      <left/>
      <right/>
      <top/>
      <bottom/>
    </border>
    <border>
      <left/>
      <top/>
      <bottom/>
    </border>
    <border>
      <top/>
      <bottom/>
    </border>
  </borders>
  <cellStyleXfs count="1">
    <xf borderId="0" fillId="0" fontId="0" numFmtId="0" applyAlignment="1" applyFont="1"/>
  </cellStyleXfs>
  <cellXfs count="43">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0" fontId="2" numFmtId="0" xfId="0" applyFont="1"/>
    <xf borderId="0" fillId="0" fontId="2" numFmtId="0" xfId="0" applyAlignment="1" applyFont="1">
      <alignment horizontal="center"/>
    </xf>
    <xf borderId="0" fillId="0" fontId="3" numFmtId="0" xfId="0" applyAlignment="1" applyFont="1">
      <alignment horizontal="center" shrinkToFit="0" vertical="top" wrapText="1"/>
    </xf>
    <xf borderId="0" fillId="0" fontId="3" numFmtId="0" xfId="0" applyAlignment="1" applyFont="1">
      <alignment shrinkToFit="0" vertical="top" wrapText="1"/>
    </xf>
    <xf borderId="0" fillId="0" fontId="4" numFmtId="0" xfId="0" applyAlignment="1" applyFont="1">
      <alignment horizontal="center" readingOrder="0" shrinkToFit="0" vertical="center" wrapText="1"/>
    </xf>
    <xf borderId="0" fillId="0" fontId="3" numFmtId="0" xfId="0" applyAlignment="1" applyFont="1">
      <alignment horizontal="center" shrinkToFit="0" vertical="top" wrapText="1"/>
    </xf>
    <xf borderId="0" fillId="0" fontId="3" numFmtId="0" xfId="0" applyAlignment="1" applyFont="1">
      <alignment shrinkToFit="0" vertical="top" wrapText="1"/>
    </xf>
    <xf borderId="0" fillId="2" fontId="5" numFmtId="0" xfId="0" applyAlignment="1" applyFill="1" applyFont="1">
      <alignment horizontal="center" vertical="center"/>
    </xf>
    <xf borderId="0" fillId="0" fontId="2" numFmtId="0" xfId="0" applyAlignment="1" applyFont="1">
      <alignment shrinkToFit="0" vertical="center" wrapText="1"/>
    </xf>
    <xf borderId="0" fillId="2" fontId="1" numFmtId="0" xfId="0" applyAlignment="1" applyFill="1" applyFont="1">
      <alignment horizontal="center"/>
    </xf>
    <xf borderId="0" fillId="3" fontId="1" numFmtId="0" xfId="0" applyAlignment="1" applyFill="1" applyFont="1">
      <alignment horizontal="center"/>
    </xf>
    <xf borderId="0" fillId="0" fontId="3" numFmtId="164" xfId="0" applyAlignment="1" applyFont="1" applyNumberFormat="1">
      <alignment horizontal="center"/>
    </xf>
    <xf borderId="0" fillId="0" fontId="4" numFmtId="0" xfId="0" applyAlignment="1" applyFont="1">
      <alignment shrinkToFit="0" wrapText="1"/>
    </xf>
    <xf borderId="0" fillId="0" fontId="6" numFmtId="0" xfId="0" applyAlignment="1" applyFont="1">
      <alignment horizontal="center" shrinkToFit="0" vertical="center" wrapText="1"/>
    </xf>
    <xf borderId="0" fillId="0" fontId="3" numFmtId="0" xfId="0" applyAlignment="1" applyFont="1">
      <alignment shrinkToFit="0" wrapText="1"/>
    </xf>
    <xf borderId="0" fillId="2" fontId="1" numFmtId="0" xfId="0" applyFill="1" applyFont="1"/>
    <xf borderId="0" fillId="4" fontId="3" numFmtId="0" xfId="0" applyAlignment="1" applyFill="1" applyFont="1">
      <alignment shrinkToFit="0" vertical="top" wrapText="1"/>
    </xf>
    <xf borderId="0" fillId="0" fontId="2" numFmtId="0" xfId="0" applyAlignment="1" applyFont="1">
      <alignment shrinkToFit="0" vertical="center" wrapText="0"/>
    </xf>
    <xf borderId="0" fillId="0" fontId="2" numFmtId="0" xfId="0" applyAlignment="1" applyFont="1">
      <alignment horizontal="center" shrinkToFit="0" vertical="center" wrapText="0"/>
    </xf>
    <xf borderId="0" fillId="0" fontId="7" numFmtId="0" xfId="0" applyAlignment="1" applyFont="1">
      <alignment vertical="top"/>
    </xf>
    <xf borderId="0" fillId="0" fontId="7" numFmtId="0" xfId="0" applyAlignment="1" applyFont="1">
      <alignment horizontal="center" vertical="top"/>
    </xf>
    <xf borderId="0" fillId="0" fontId="8" numFmtId="0" xfId="0" applyAlignment="1" applyFont="1">
      <alignment shrinkToFit="0" vertical="top" wrapText="1"/>
    </xf>
    <xf borderId="0" fillId="0" fontId="8" numFmtId="0" xfId="0" applyAlignment="1" applyFont="1">
      <alignment horizontal="center" shrinkToFit="0" vertical="top" wrapText="1"/>
    </xf>
    <xf borderId="0" fillId="0" fontId="7" numFmtId="0" xfId="0" applyAlignment="1" applyFont="1">
      <alignment horizontal="center" shrinkToFit="0" vertical="top" wrapText="1"/>
    </xf>
    <xf borderId="1" fillId="2" fontId="9" numFmtId="0" xfId="0" applyAlignment="1" applyBorder="1" applyFill="1" applyFont="1">
      <alignment shrinkToFit="0" vertical="top" wrapText="1"/>
    </xf>
    <xf borderId="0" fillId="0" fontId="7" numFmtId="0" xfId="0" applyAlignment="1" applyFont="1">
      <alignment shrinkToFit="0" vertical="top" wrapText="1"/>
    </xf>
    <xf borderId="0" fillId="0" fontId="8" numFmtId="0" xfId="0" applyAlignment="1" applyFont="1">
      <alignment vertical="top"/>
    </xf>
    <xf borderId="0" fillId="0" fontId="10" numFmtId="0" xfId="0" applyAlignment="1" applyFont="1">
      <alignment horizontal="center" shrinkToFit="0" vertical="top" wrapText="1"/>
    </xf>
    <xf borderId="1" fillId="2" fontId="9" numFmtId="0" xfId="0" applyAlignment="1" applyBorder="1" applyFill="1" applyFont="1">
      <alignment horizontal="center" shrinkToFit="0" vertical="top" wrapText="1"/>
    </xf>
    <xf borderId="0" fillId="0" fontId="11" numFmtId="0" xfId="0" applyAlignment="1" applyFont="1">
      <alignment horizontal="center" shrinkToFit="0" vertical="top" wrapText="1"/>
    </xf>
    <xf borderId="1" fillId="5" fontId="7" numFmtId="0" xfId="0" applyAlignment="1" applyBorder="1" applyFill="1" applyFont="1">
      <alignment horizontal="center" shrinkToFit="0" vertical="top" wrapText="1"/>
    </xf>
    <xf borderId="1" fillId="5" fontId="7" numFmtId="0" xfId="0" applyAlignment="1" applyBorder="1" applyFill="1" applyFont="1">
      <alignment shrinkToFit="0" vertical="top" wrapText="1"/>
    </xf>
    <xf borderId="1" fillId="5" fontId="11" numFmtId="0" xfId="0" applyAlignment="1" applyBorder="1" applyFill="1" applyFont="1">
      <alignment horizontal="center" shrinkToFit="0" vertical="top" wrapText="1"/>
    </xf>
    <xf borderId="0" fillId="0" fontId="12" numFmtId="0" xfId="0" applyAlignment="1" applyFont="1">
      <alignment shrinkToFit="0" vertical="top" wrapText="1"/>
    </xf>
    <xf borderId="0" fillId="0" fontId="13" numFmtId="0" xfId="0" applyAlignment="1" applyFont="1">
      <alignment horizontal="center" shrinkToFit="0" vertical="top" wrapText="1"/>
    </xf>
    <xf borderId="0" fillId="0" fontId="14" numFmtId="0" xfId="0" applyAlignment="1" applyFont="1">
      <alignment shrinkToFit="0" vertical="top" wrapText="1"/>
    </xf>
    <xf borderId="2" fillId="2" fontId="9" numFmtId="0" xfId="0" applyAlignment="1" applyBorder="1" applyFill="1" applyFont="1">
      <alignment shrinkToFit="0" vertical="top" wrapText="1"/>
    </xf>
    <xf borderId="3" fillId="0" fontId="15" numFmtId="0" xfId="0" applyBorder="1" applyFont="1"/>
    <xf borderId="2" fillId="5" fontId="7" numFmtId="0" xfId="0" applyAlignment="1" applyBorder="1" applyFill="1" applyFont="1">
      <alignment shrinkToFit="0" vertical="top" wrapText="1"/>
    </xf>
    <xf borderId="1" fillId="5" fontId="13" numFmtId="0" xfId="0" applyAlignment="1" applyBorder="1" applyFill="1" applyFont="1">
      <alignment horizontal="center" shrinkToFit="0" vertical="top" wrapText="1"/>
    </xf>
    <xf borderId="0" fillId="0" fontId="16" numFmtId="0" xfId="0" applyAlignment="1" applyFont="1">
      <alignment horizontal="center"/>
    </xf>
  </cellXfs>
  <cellStyles count="1">
    <cellStyle xfId="0" name="Normal" builtinId="0"/>
  </cellStyles>
  <dxfs count="10">
    <dxf>
      <font/>
      <fill>
        <patternFill patternType="none"/>
      </fill>
      <border/>
    </dxf>
    <dxf>
      <font/>
      <fill>
        <patternFill patternType="solid">
          <fgColor rgb="FF356854"/>
          <bgColor rgb="FF356854"/>
        </patternFill>
      </fill>
      <border/>
    </dxf>
    <dxf>
      <font/>
      <fill>
        <patternFill patternType="solid">
          <fgColor rgb="FFFFFFFF"/>
          <bgColor rgb="FFFFFFFF"/>
        </patternFill>
      </fill>
      <border/>
    </dxf>
    <dxf>
      <font/>
      <fill>
        <patternFill patternType="solid">
          <fgColor rgb="FFF6F8F9"/>
          <bgColor rgb="FFF6F8F9"/>
        </patternFill>
      </fill>
      <border/>
    </dxf>
    <dxf>
      <border>
        <left style="thin">
          <color rgb="FF356854"/>
        </left>
        <right style="thin">
          <color rgb="FF356854"/>
        </right>
        <top style="thin">
          <color rgb="FF356854"/>
        </top>
        <bottom style="thin">
          <color rgb="FF356854"/>
        </bottom>
      </border>
    </dxf>
    <dxf>
      <font>
        <b/>
        <color rgb="FFB91C1C"/>
      </font>
      <fill>
        <patternFill patternType="solid">
          <fgColor rgb="FFFDECEC"/>
          <bgColor rgb="FFFDECEC"/>
        </patternFill>
      </fill>
      <border/>
    </dxf>
    <dxf>
      <font>
        <b/>
        <color rgb="FF92400E"/>
      </font>
      <fill>
        <patternFill patternType="solid">
          <fgColor rgb="FFFFF4CC"/>
          <bgColor rgb="FFFFF4CC"/>
        </patternFill>
      </fill>
      <border/>
    </dxf>
    <dxf>
      <font>
        <b/>
        <color rgb="FF166534"/>
      </font>
      <fill>
        <patternFill patternType="solid">
          <fgColor rgb="FFE8F3EE"/>
          <bgColor rgb="FFE8F3EE"/>
        </patternFill>
      </fill>
      <border/>
    </dxf>
    <dxf>
      <font>
        <color rgb="FF166534"/>
      </font>
      <fill>
        <patternFill patternType="solid">
          <fgColor rgb="FFE8F5E9"/>
          <bgColor rgb="FFE8F5E9"/>
        </patternFill>
      </fill>
      <border/>
    </dxf>
    <dxf>
      <font>
        <color rgb="FF991B1B"/>
      </font>
      <fill>
        <patternFill patternType="solid">
          <fgColor rgb="FFFCE8E8"/>
          <bgColor rgb="FFFCE8E8"/>
        </patternFill>
      </fill>
      <border/>
    </dxf>
  </dxfs>
  <tableStyles count="1">
    <tableStyle count="4" pivot="0" name="Historias Jira-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0" Type="http://customschemas.google.com/relationships/workbookmetadata" Target="metadata"/><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i="0">
                <a:solidFill>
                  <a:srgbClr val="757575"/>
                </a:solidFill>
                <a:latin typeface="+mn-lt"/>
              </a:defRPr>
            </a:pPr>
            <a:r>
              <a:rPr b="0" i="0">
                <a:solidFill>
                  <a:srgbClr val="757575"/>
                </a:solidFill>
                <a:latin typeface="+mn-lt"/>
              </a:rPr>
              <a:t>Prioridad de los requerimientos</a:t>
            </a:r>
          </a:p>
        </c:rich>
      </c:tx>
      <c:overlay val="0"/>
    </c:title>
    <c:plotArea>
      <c:layout/>
      <c:pieChart>
        <c:varyColors val="1"/>
        <c:ser>
          <c:idx val="0"/>
          <c:order val="0"/>
          <c:dPt>
            <c:idx val="0"/>
            <c:spPr>
              <a:solidFill>
                <a:srgbClr val="156082"/>
              </a:solidFill>
            </c:spPr>
          </c:dPt>
          <c:dPt>
            <c:idx val="1"/>
            <c:spPr>
              <a:solidFill>
                <a:srgbClr val="E97132"/>
              </a:solidFill>
            </c:spPr>
          </c:dPt>
          <c:dPt>
            <c:idx val="2"/>
            <c:spPr>
              <a:solidFill>
                <a:srgbClr val="196B24"/>
              </a:solidFill>
            </c:spPr>
          </c:dPt>
          <c:dPt>
            <c:idx val="3"/>
            <c:spPr>
              <a:solidFill>
                <a:srgbClr val="0F9ED5"/>
              </a:solidFill>
            </c:spPr>
          </c:dPt>
          <c:dLbls>
            <c:showLegendKey val="0"/>
            <c:showVal val="0"/>
            <c:showCatName val="0"/>
            <c:showSerName val="0"/>
            <c:showPercent val="0"/>
            <c:showBubbleSize val="0"/>
            <c:showLeaderLines val="1"/>
          </c:dLbls>
          <c:cat>
            <c:strRef>
              <c:f>Resumen!$K$3:$K$6</c:f>
            </c:strRef>
          </c:cat>
          <c:val>
            <c:numRef>
              <c:f>Resumen!$K$3:$K$6</c:f>
              <c:numCache/>
            </c:numRef>
          </c:val>
        </c:ser>
        <c:dLbls>
          <c:showLegendKey val="0"/>
          <c:showVal val="0"/>
          <c:showCatName val="0"/>
          <c:showSerName val="0"/>
          <c:showPercent val="0"/>
          <c:showBubbleSize val="0"/>
        </c:dLbls>
        <c:firstSliceAng val="0"/>
      </c:pieChart>
    </c:plotArea>
    <c:legend>
      <c:legendPos val="r"/>
      <c:overlay val="0"/>
      <c:txPr>
        <a:bodyPr/>
        <a:lstStyle/>
        <a:p>
          <a:pPr lvl="0">
            <a:defRPr b="0" i="0">
              <a:solidFill>
                <a:srgbClr val="1A1A1A"/>
              </a:solidFill>
              <a:latin typeface="Calibri"/>
            </a:defRPr>
          </a:pPr>
        </a:p>
      </c:txPr>
    </c:legend>
    <c:plotVisOnly val="1"/>
  </c:char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8</xdr:col>
      <xdr:colOff>476250</xdr:colOff>
      <xdr:row>6</xdr:row>
      <xdr:rowOff>28575</xdr:rowOff>
    </xdr:from>
    <xdr:ext cx="7639050" cy="3381375"/>
    <xdr:graphicFrame>
      <xdr:nvGraphicFramePr>
        <xdr:cNvPr id="1023466152" name="Chart 1" title="Gráfico"/>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I44" displayName="Tabla_1" name="Tabla_1" id="1">
  <tableColumns count="9">
    <tableColumn name="Clave" id="1"/>
    <tableColumn name="Historia" id="2"/>
    <tableColumn name="Epica" id="3"/>
    <tableColumn name="Estado" id="4"/>
    <tableColumn name="Prioridad" id="5"/>
    <tableColumn name="Requerimientos relacionados" id="6"/>
    <tableColumn name="Descripción" id="7"/>
    <tableColumn name="Criterios de aceptación" id="8"/>
    <tableColumn name="Persona asignada" id="9"/>
  </tableColumns>
  <tableStyleInfo name="Historias Jira-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hyperlink" Target="https://docs.google.com/document/d/1uRNaGlRNIvtIJ_-qNqd56diyY754MC5lXYHB1o1I30U/edit" TargetMode="External"/><Relationship Id="rId2" Type="http://schemas.openxmlformats.org/officeDocument/2006/relationships/hyperlink" Target="https://drive.google.com/file/d/1bWaMZrfLKADfgnXP4BIfk36YKWhqIm2n/view" TargetMode="External"/><Relationship Id="rId3" Type="http://schemas.openxmlformats.org/officeDocument/2006/relationships/hyperlink" Target="https://drive.google.com/file/d/1GiZEd_PWHR6VlZ6SUwcCvCwAIMn7KSni/view" TargetMode="External"/><Relationship Id="rId4" Type="http://schemas.openxmlformats.org/officeDocument/2006/relationships/hyperlink" Target="https://drive.google.com/file/d/1PCwm7MQ0k4IdDfCAsOWcuMuxaDi7mDbD/view" TargetMode="External"/><Relationship Id="rId11" Type="http://schemas.openxmlformats.org/officeDocument/2006/relationships/drawing" Target="../drawings/drawing5.xml"/><Relationship Id="rId10" Type="http://schemas.openxmlformats.org/officeDocument/2006/relationships/hyperlink" Target="https://duocuc-team-lp9r2pyt.atlassian.net/browse/BSB-101" TargetMode="External"/><Relationship Id="rId9" Type="http://schemas.openxmlformats.org/officeDocument/2006/relationships/hyperlink" Target="https://docs.google.com/spreadsheets/d/1p-x1zs43-UnBFxBXcwtQ_HjTPx8Z-TtU0Gr6tn-B_Ds/edit" TargetMode="External"/><Relationship Id="rId5" Type="http://schemas.openxmlformats.org/officeDocument/2006/relationships/hyperlink" Target="https://drive.google.com/file/d/16LN8NHAezIQPp-fx1LgPREomfqJB2JQq/view" TargetMode="External"/><Relationship Id="rId6" Type="http://schemas.openxmlformats.org/officeDocument/2006/relationships/hyperlink" Target="https://drive.google.com/file/d/1NlCRAQBHmrvnTpo05Dse7hDssCBuv9Cf/view" TargetMode="External"/><Relationship Id="rId7" Type="http://schemas.openxmlformats.org/officeDocument/2006/relationships/hyperlink" Target="https://drive.google.com/file/d/1eNI-D1xuJ3TZzzDYTnBDQskDMYEpdGs_/view" TargetMode="External"/><Relationship Id="rId8" Type="http://schemas.openxmlformats.org/officeDocument/2006/relationships/hyperlink" Target="https://drive.google.com/file/d/1Q8-j4e98K_-Ffs3W_z9UXUtZN2HYbeV9/view"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docs.google.com/document/d/1uRNaGlRNIvtIJ_-qNqd56diyY754MC5lXYHB1o1I30U/edit" TargetMode="External"/><Relationship Id="rId2"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19.0"/>
    <col customWidth="1" min="3" max="4" width="11.0"/>
    <col customWidth="1" min="5" max="8" width="20.0"/>
    <col customWidth="1" min="9" max="9" width="8.63"/>
    <col customWidth="1" min="10" max="10" width="14.0"/>
    <col customWidth="1" min="11" max="11" width="12.0"/>
    <col customWidth="1" min="12" max="12" width="14.0"/>
    <col customWidth="1" min="13" max="26" width="8.63"/>
  </cols>
  <sheetData>
    <row r="1" ht="30.0" customHeight="1">
      <c r="A1" s="9" t="s">
        <v>89</v>
      </c>
      <c r="I1" s="2"/>
      <c r="J1" s="2"/>
      <c r="K1" s="2"/>
      <c r="L1" s="2"/>
      <c r="M1" s="2"/>
      <c r="N1" s="2"/>
      <c r="O1" s="2"/>
      <c r="P1" s="2"/>
      <c r="Q1" s="2"/>
      <c r="R1" s="2"/>
      <c r="S1" s="2"/>
      <c r="T1" s="2"/>
      <c r="U1" s="2"/>
      <c r="V1" s="2"/>
      <c r="W1" s="2"/>
      <c r="X1" s="2"/>
      <c r="Y1" s="2"/>
      <c r="Z1" s="2"/>
    </row>
    <row r="2">
      <c r="A2" s="2"/>
      <c r="B2" s="2"/>
      <c r="C2" s="2"/>
      <c r="D2" s="2"/>
      <c r="E2" s="2"/>
      <c r="F2" s="2"/>
      <c r="G2" s="2"/>
      <c r="H2" s="2"/>
      <c r="I2" s="2"/>
      <c r="J2" s="11" t="s">
        <v>5</v>
      </c>
      <c r="K2" s="11" t="s">
        <v>111</v>
      </c>
      <c r="L2" s="11" t="s">
        <v>113</v>
      </c>
      <c r="M2" s="2"/>
      <c r="N2" s="2"/>
      <c r="O2" s="2"/>
      <c r="P2" s="2"/>
      <c r="Q2" s="2"/>
      <c r="R2" s="2"/>
      <c r="S2" s="2"/>
      <c r="T2" s="2"/>
      <c r="U2" s="2"/>
      <c r="V2" s="2"/>
      <c r="W2" s="2"/>
      <c r="X2" s="2"/>
      <c r="Y2" s="2"/>
      <c r="Z2" s="2"/>
    </row>
    <row r="3">
      <c r="A3" s="12" t="s">
        <v>121</v>
      </c>
      <c r="C3" s="12" t="s">
        <v>125</v>
      </c>
      <c r="E3" s="12" t="s">
        <v>127</v>
      </c>
      <c r="I3" s="2"/>
      <c r="J3" s="3" t="s">
        <v>27</v>
      </c>
      <c r="K3" s="3">
        <f>COUNTIF('Catálogo requisitos'!$F$2:$F$45,J3)</f>
        <v>36</v>
      </c>
      <c r="L3" s="13">
        <f t="shared" ref="L3:L6" si="1">IFERROR(K3/SUM($K$3:$K$6),0)</f>
        <v>0.8181818182</v>
      </c>
      <c r="M3" s="2"/>
      <c r="N3" s="2"/>
      <c r="O3" s="2"/>
      <c r="P3" s="2"/>
      <c r="Q3" s="2"/>
      <c r="R3" s="2"/>
      <c r="S3" s="2"/>
      <c r="T3" s="2"/>
      <c r="U3" s="2"/>
      <c r="V3" s="2"/>
      <c r="W3" s="2"/>
      <c r="X3" s="2"/>
      <c r="Y3" s="2"/>
      <c r="Z3" s="2"/>
    </row>
    <row r="4">
      <c r="A4" s="14" t="s">
        <v>184</v>
      </c>
      <c r="C4" s="15">
        <f>COUNTA('Catálogo requisitos'!$A$2:$A$45)</f>
        <v>44</v>
      </c>
      <c r="E4" s="16" t="str">
        <f>C5&amp;" funcionales + "&amp;C6&amp;" no funcionales"</f>
        <v>24 funcionales + 20 no funcionales</v>
      </c>
      <c r="I4" s="2"/>
      <c r="J4" s="3" t="s">
        <v>169</v>
      </c>
      <c r="K4" s="3">
        <f>COUNTIF('Catálogo requisitos'!$F$2:$F$45,J4)</f>
        <v>7</v>
      </c>
      <c r="L4" s="13">
        <f t="shared" si="1"/>
        <v>0.1590909091</v>
      </c>
      <c r="M4" s="2"/>
      <c r="N4" s="2"/>
      <c r="O4" s="2"/>
      <c r="P4" s="2"/>
      <c r="Q4" s="2"/>
      <c r="R4" s="2"/>
      <c r="S4" s="2"/>
      <c r="T4" s="2"/>
      <c r="U4" s="2"/>
      <c r="V4" s="2"/>
      <c r="W4" s="2"/>
      <c r="X4" s="2"/>
      <c r="Y4" s="2"/>
      <c r="Z4" s="2"/>
    </row>
    <row r="5">
      <c r="A5" s="14" t="s">
        <v>261</v>
      </c>
      <c r="C5" s="15">
        <f>COUNTIF('Catálogo requisitos'!$B$2:$B$45,"Funcional")</f>
        <v>24</v>
      </c>
      <c r="E5" s="16" t="s">
        <v>278</v>
      </c>
      <c r="I5" s="2"/>
      <c r="J5" s="3" t="s">
        <v>280</v>
      </c>
      <c r="K5" s="3">
        <f>COUNTIF('Catálogo requisitos'!$F$2:$F$45,J5)</f>
        <v>1</v>
      </c>
      <c r="L5" s="13">
        <f t="shared" si="1"/>
        <v>0.02272727273</v>
      </c>
      <c r="M5" s="2"/>
      <c r="N5" s="2"/>
      <c r="O5" s="2"/>
      <c r="P5" s="2"/>
      <c r="Q5" s="2"/>
      <c r="R5" s="2"/>
      <c r="S5" s="2"/>
      <c r="T5" s="2"/>
      <c r="U5" s="2"/>
      <c r="V5" s="2"/>
      <c r="W5" s="2"/>
      <c r="X5" s="2"/>
      <c r="Y5" s="2"/>
      <c r="Z5" s="2"/>
    </row>
    <row r="6">
      <c r="A6" s="14" t="s">
        <v>297</v>
      </c>
      <c r="C6" s="15">
        <f>COUNTIF('Catálogo requisitos'!$B$2:$B$45,"No funcional")</f>
        <v>20</v>
      </c>
      <c r="E6" s="16" t="s">
        <v>307</v>
      </c>
      <c r="I6" s="2"/>
      <c r="J6" s="3" t="s">
        <v>311</v>
      </c>
      <c r="K6" s="3">
        <f>COUNTIF('Catálogo requisitos'!$F$2:$F$45,J6)</f>
        <v>0</v>
      </c>
      <c r="L6" s="13">
        <f t="shared" si="1"/>
        <v>0</v>
      </c>
      <c r="M6" s="2"/>
      <c r="N6" s="2"/>
      <c r="O6" s="2"/>
      <c r="P6" s="2"/>
      <c r="Q6" s="2"/>
      <c r="R6" s="2"/>
      <c r="S6" s="2"/>
      <c r="T6" s="2"/>
      <c r="U6" s="2"/>
      <c r="V6" s="2"/>
      <c r="W6" s="2"/>
      <c r="X6" s="2"/>
      <c r="Y6" s="2"/>
      <c r="Z6" s="2"/>
    </row>
    <row r="7">
      <c r="A7" s="14" t="s">
        <v>326</v>
      </c>
      <c r="C7" s="15">
        <f>COUNTA('Historias Jira'!$A$2:$A$44)</f>
        <v>43</v>
      </c>
      <c r="E7" s="16" t="s">
        <v>336</v>
      </c>
      <c r="I7" s="2"/>
      <c r="J7" s="2"/>
      <c r="K7" s="2"/>
      <c r="L7" s="2"/>
      <c r="M7" s="2"/>
      <c r="N7" s="2"/>
      <c r="O7" s="2"/>
      <c r="P7" s="2"/>
      <c r="Q7" s="2"/>
      <c r="R7" s="2"/>
      <c r="S7" s="2"/>
      <c r="T7" s="2"/>
      <c r="U7" s="2"/>
      <c r="V7" s="2"/>
      <c r="W7" s="2"/>
      <c r="X7" s="2"/>
      <c r="Y7" s="2"/>
      <c r="Z7" s="2"/>
    </row>
    <row r="8">
      <c r="A8" s="2"/>
      <c r="B8" s="2"/>
      <c r="C8" s="2"/>
      <c r="D8" s="2"/>
      <c r="E8" s="2"/>
      <c r="F8" s="2"/>
      <c r="G8" s="2"/>
      <c r="H8" s="2"/>
      <c r="I8" s="2"/>
      <c r="J8" s="2"/>
      <c r="K8" s="2"/>
      <c r="L8" s="2"/>
      <c r="M8" s="2"/>
      <c r="N8" s="2"/>
      <c r="O8" s="2"/>
      <c r="P8" s="2"/>
      <c r="Q8" s="2"/>
      <c r="R8" s="2"/>
      <c r="S8" s="2"/>
      <c r="T8" s="2"/>
      <c r="U8" s="2"/>
      <c r="V8" s="2"/>
      <c r="W8" s="2"/>
      <c r="X8" s="2"/>
      <c r="Y8" s="2"/>
      <c r="Z8" s="2"/>
    </row>
    <row r="9">
      <c r="A9" s="17" t="s">
        <v>359</v>
      </c>
      <c r="I9" s="2"/>
      <c r="J9" s="2"/>
      <c r="K9" s="2"/>
      <c r="L9" s="2"/>
      <c r="M9" s="2"/>
      <c r="N9" s="2"/>
      <c r="O9" s="2"/>
      <c r="P9" s="2"/>
      <c r="Q9" s="2"/>
      <c r="R9" s="2"/>
      <c r="S9" s="2"/>
      <c r="T9" s="2"/>
      <c r="U9" s="2"/>
      <c r="V9" s="2"/>
      <c r="W9" s="2"/>
      <c r="X9" s="2"/>
      <c r="Y9" s="2"/>
      <c r="Z9" s="2"/>
    </row>
    <row r="10">
      <c r="A10" s="18" t="s">
        <v>368</v>
      </c>
      <c r="I10" s="2"/>
      <c r="J10" s="2"/>
      <c r="K10" s="2"/>
      <c r="L10" s="2"/>
      <c r="M10" s="2"/>
      <c r="N10" s="2"/>
      <c r="O10" s="2"/>
      <c r="P10" s="2"/>
      <c r="Q10" s="2"/>
      <c r="R10" s="2"/>
      <c r="S10" s="2"/>
      <c r="T10" s="2"/>
      <c r="U10" s="2"/>
      <c r="V10" s="2"/>
      <c r="W10" s="2"/>
      <c r="X10" s="2"/>
      <c r="Y10" s="2"/>
      <c r="Z10" s="2"/>
    </row>
    <row r="11">
      <c r="I11" s="2"/>
      <c r="J11" s="2"/>
      <c r="K11" s="2"/>
      <c r="L11" s="2"/>
      <c r="M11" s="2"/>
      <c r="N11" s="2"/>
      <c r="O11" s="2"/>
      <c r="P11" s="2"/>
      <c r="Q11" s="2"/>
      <c r="R11" s="2"/>
      <c r="S11" s="2"/>
      <c r="T11" s="2"/>
      <c r="U11" s="2"/>
      <c r="V11" s="2"/>
      <c r="W11" s="2"/>
      <c r="X11" s="2"/>
      <c r="Y11" s="2"/>
      <c r="Z11" s="2"/>
    </row>
    <row r="12">
      <c r="I12" s="2"/>
      <c r="J12" s="2"/>
      <c r="K12" s="2"/>
      <c r="L12" s="2"/>
      <c r="M12" s="2"/>
      <c r="N12" s="2"/>
      <c r="O12" s="2"/>
      <c r="P12" s="2"/>
      <c r="Q12" s="2"/>
      <c r="R12" s="2"/>
      <c r="S12" s="2"/>
      <c r="T12" s="2"/>
      <c r="U12" s="2"/>
      <c r="V12" s="2"/>
      <c r="W12" s="2"/>
      <c r="X12" s="2"/>
      <c r="Y12" s="2"/>
      <c r="Z12" s="2"/>
    </row>
    <row r="13">
      <c r="A13" s="2"/>
      <c r="B13" s="2"/>
      <c r="C13" s="2"/>
      <c r="D13" s="2"/>
      <c r="E13" s="2"/>
      <c r="F13" s="2"/>
      <c r="G13" s="2"/>
      <c r="H13" s="2"/>
      <c r="I13" s="2"/>
      <c r="J13" s="2"/>
      <c r="K13" s="2"/>
      <c r="L13" s="2"/>
      <c r="M13" s="2"/>
      <c r="N13" s="2"/>
      <c r="O13" s="2"/>
      <c r="P13" s="2"/>
      <c r="Q13" s="2"/>
      <c r="R13" s="2"/>
      <c r="S13" s="2"/>
      <c r="T13" s="2"/>
      <c r="U13" s="2"/>
      <c r="V13" s="2"/>
      <c r="W13" s="2"/>
      <c r="X13" s="2"/>
      <c r="Y13" s="2"/>
      <c r="Z13" s="2"/>
    </row>
    <row r="14">
      <c r="A14" s="2"/>
      <c r="B14" s="2"/>
      <c r="C14" s="2"/>
      <c r="D14" s="2"/>
      <c r="E14" s="2"/>
      <c r="F14" s="2"/>
      <c r="G14" s="2"/>
      <c r="H14" s="2"/>
      <c r="I14" s="2"/>
      <c r="J14" s="2"/>
      <c r="K14" s="2"/>
      <c r="L14" s="2"/>
      <c r="M14" s="2"/>
      <c r="N14" s="2"/>
      <c r="O14" s="2"/>
      <c r="P14" s="2"/>
      <c r="Q14" s="2"/>
      <c r="R14" s="2"/>
      <c r="S14" s="2"/>
      <c r="T14" s="2"/>
      <c r="U14" s="2"/>
      <c r="V14" s="2"/>
      <c r="W14" s="2"/>
      <c r="X14" s="2"/>
      <c r="Y14" s="2"/>
      <c r="Z14" s="2"/>
    </row>
    <row r="15">
      <c r="A15" s="2"/>
      <c r="B15" s="2"/>
      <c r="C15" s="2"/>
      <c r="D15" s="2"/>
      <c r="E15" s="2"/>
      <c r="F15" s="2"/>
      <c r="G15" s="2"/>
      <c r="H15" s="2"/>
      <c r="I15" s="2"/>
      <c r="J15" s="2"/>
      <c r="K15" s="2"/>
      <c r="L15" s="2"/>
      <c r="M15" s="2"/>
      <c r="N15" s="2"/>
      <c r="O15" s="2"/>
      <c r="P15" s="2"/>
      <c r="Q15" s="2"/>
      <c r="R15" s="2"/>
      <c r="S15" s="2"/>
      <c r="T15" s="2"/>
      <c r="U15" s="2"/>
      <c r="V15" s="2"/>
      <c r="W15" s="2"/>
      <c r="X15" s="2"/>
      <c r="Y15" s="2"/>
      <c r="Z15" s="2"/>
    </row>
    <row r="16">
      <c r="A16" s="2"/>
      <c r="B16" s="2"/>
      <c r="C16" s="2"/>
      <c r="D16" s="2"/>
      <c r="E16" s="2"/>
      <c r="F16" s="2"/>
      <c r="G16" s="2"/>
      <c r="H16" s="2"/>
      <c r="I16" s="2"/>
      <c r="J16" s="2"/>
      <c r="K16" s="2"/>
      <c r="L16" s="2"/>
      <c r="M16" s="2"/>
      <c r="N16" s="2"/>
      <c r="O16" s="2"/>
      <c r="P16" s="2"/>
      <c r="Q16" s="2"/>
      <c r="R16" s="2"/>
      <c r="S16" s="2"/>
      <c r="T16" s="2"/>
      <c r="U16" s="2"/>
      <c r="V16" s="2"/>
      <c r="W16" s="2"/>
      <c r="X16" s="2"/>
      <c r="Y16" s="2"/>
      <c r="Z16" s="2"/>
    </row>
    <row r="17">
      <c r="A17" s="2"/>
      <c r="B17" s="2"/>
      <c r="C17" s="2"/>
      <c r="D17" s="2"/>
      <c r="E17" s="2"/>
      <c r="F17" s="2"/>
      <c r="G17" s="2"/>
      <c r="H17" s="2"/>
      <c r="I17" s="2"/>
      <c r="J17" s="2"/>
      <c r="K17" s="2"/>
      <c r="L17" s="2"/>
      <c r="M17" s="2"/>
      <c r="N17" s="2"/>
      <c r="O17" s="2"/>
      <c r="P17" s="2"/>
      <c r="Q17" s="2"/>
      <c r="R17" s="2"/>
      <c r="S17" s="2"/>
      <c r="T17" s="2"/>
      <c r="U17" s="2"/>
      <c r="V17" s="2"/>
      <c r="W17" s="2"/>
      <c r="X17" s="2"/>
      <c r="Y17" s="2"/>
      <c r="Z17" s="2"/>
    </row>
    <row r="18">
      <c r="A18" s="2"/>
      <c r="B18" s="2"/>
      <c r="C18" s="2"/>
      <c r="D18" s="2"/>
      <c r="E18" s="2"/>
      <c r="F18" s="2"/>
      <c r="G18" s="2"/>
      <c r="H18" s="2"/>
      <c r="I18" s="2"/>
      <c r="J18" s="2"/>
      <c r="K18" s="2"/>
      <c r="L18" s="2"/>
      <c r="M18" s="2"/>
      <c r="N18" s="2"/>
      <c r="O18" s="2"/>
      <c r="P18" s="2"/>
      <c r="Q18" s="2"/>
      <c r="R18" s="2"/>
      <c r="S18" s="2"/>
      <c r="T18" s="2"/>
      <c r="U18" s="2"/>
      <c r="V18" s="2"/>
      <c r="W18" s="2"/>
      <c r="X18" s="2"/>
      <c r="Y18" s="2"/>
      <c r="Z18" s="2"/>
    </row>
    <row r="19">
      <c r="A19" s="2"/>
      <c r="B19" s="2"/>
      <c r="C19" s="2"/>
      <c r="D19" s="2"/>
      <c r="E19" s="2"/>
      <c r="F19" s="2"/>
      <c r="G19" s="2"/>
      <c r="H19" s="2"/>
      <c r="I19" s="2"/>
      <c r="J19" s="2"/>
      <c r="K19" s="2"/>
      <c r="L19" s="2"/>
      <c r="M19" s="2"/>
      <c r="N19" s="2"/>
      <c r="O19" s="2"/>
      <c r="P19" s="2"/>
      <c r="Q19" s="2"/>
      <c r="R19" s="2"/>
      <c r="S19" s="2"/>
      <c r="T19" s="2"/>
      <c r="U19" s="2"/>
      <c r="V19" s="2"/>
      <c r="W19" s="2"/>
      <c r="X19" s="2"/>
      <c r="Y19" s="2"/>
      <c r="Z19" s="2"/>
    </row>
    <row r="20">
      <c r="A20" s="2"/>
      <c r="B20" s="2"/>
      <c r="C20" s="2"/>
      <c r="D20" s="2"/>
      <c r="E20" s="2"/>
      <c r="F20" s="2"/>
      <c r="G20" s="2"/>
      <c r="H20" s="2"/>
      <c r="I20" s="2"/>
      <c r="J20" s="2"/>
      <c r="K20" s="2"/>
      <c r="L20" s="2"/>
      <c r="M20" s="2"/>
      <c r="N20" s="2"/>
      <c r="O20" s="2"/>
      <c r="P20" s="2"/>
      <c r="Q20" s="2"/>
      <c r="R20" s="2"/>
      <c r="S20" s="2"/>
      <c r="T20" s="2"/>
      <c r="U20" s="2"/>
      <c r="V20" s="2"/>
      <c r="W20" s="2"/>
      <c r="X20" s="2"/>
      <c r="Y20" s="2"/>
      <c r="Z20" s="2"/>
    </row>
    <row r="21" ht="15.75" customHeight="1">
      <c r="A21" s="2"/>
      <c r="B21" s="2"/>
      <c r="C21" s="2"/>
      <c r="D21" s="2"/>
      <c r="E21" s="2"/>
      <c r="F21" s="2"/>
      <c r="G21" s="2"/>
      <c r="H21" s="2"/>
      <c r="I21" s="2"/>
      <c r="J21" s="2"/>
      <c r="K21" s="2"/>
      <c r="L21" s="2"/>
      <c r="M21" s="2"/>
      <c r="N21" s="2"/>
      <c r="O21" s="2"/>
      <c r="P21" s="2"/>
      <c r="Q21" s="2"/>
      <c r="R21" s="2"/>
      <c r="S21" s="2"/>
      <c r="T21" s="2"/>
      <c r="U21" s="2"/>
      <c r="V21" s="2"/>
      <c r="W21" s="2"/>
      <c r="X21" s="2"/>
      <c r="Y21" s="2"/>
      <c r="Z21" s="2"/>
    </row>
    <row r="22" ht="15.75" customHeight="1">
      <c r="A22" s="2"/>
      <c r="B22" s="2"/>
      <c r="C22" s="2"/>
      <c r="D22" s="2"/>
      <c r="E22" s="2"/>
      <c r="F22" s="2"/>
      <c r="G22" s="2"/>
      <c r="H22" s="2"/>
      <c r="I22" s="2"/>
      <c r="J22" s="2"/>
      <c r="K22" s="2"/>
      <c r="L22" s="2"/>
      <c r="M22" s="2"/>
      <c r="N22" s="2"/>
      <c r="O22" s="2"/>
      <c r="P22" s="2"/>
      <c r="Q22" s="2"/>
      <c r="R22" s="2"/>
      <c r="S22" s="2"/>
      <c r="T22" s="2"/>
      <c r="U22" s="2"/>
      <c r="V22" s="2"/>
      <c r="W22" s="2"/>
      <c r="X22" s="2"/>
      <c r="Y22" s="2"/>
      <c r="Z22" s="2"/>
    </row>
    <row r="23" ht="15.75"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ht="15.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5.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ht="15.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5.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5.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5.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5.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5.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5.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5.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5.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5.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5.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5.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5.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5.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5.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5.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5.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5.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5.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5.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5.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5.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5.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5.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5.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5.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5.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5.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5.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5.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5.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5.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8">
    <mergeCell ref="A1:H1"/>
    <mergeCell ref="A3:B3"/>
    <mergeCell ref="C3:D3"/>
    <mergeCell ref="E3:H3"/>
    <mergeCell ref="A4:B4"/>
    <mergeCell ref="C4:D4"/>
    <mergeCell ref="E4:H4"/>
    <mergeCell ref="C7:D7"/>
    <mergeCell ref="E7:H7"/>
    <mergeCell ref="A9:H9"/>
    <mergeCell ref="A10:H12"/>
    <mergeCell ref="A5:B5"/>
    <mergeCell ref="C5:D5"/>
    <mergeCell ref="E5:H5"/>
    <mergeCell ref="A6:B6"/>
    <mergeCell ref="C6:D6"/>
    <mergeCell ref="E6:H6"/>
    <mergeCell ref="A7:B7"/>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3.0"/>
    <col customWidth="1" min="2" max="2" width="18.75"/>
    <col customWidth="1" min="3" max="3" width="23.0"/>
    <col customWidth="1" min="4" max="4" width="34.0"/>
    <col customWidth="1" min="5" max="5" width="11.88"/>
    <col customWidth="1" min="6" max="6" width="28.0"/>
    <col customWidth="1" min="7" max="7" width="27.0"/>
    <col customWidth="1" min="8" max="8" width="42.88"/>
    <col customWidth="1" min="9" max="9" width="53.13"/>
    <col customWidth="1" min="10" max="11" width="18.0"/>
    <col customWidth="1" min="12" max="17" width="35.0"/>
    <col customWidth="1" min="18" max="25" width="8.63"/>
  </cols>
  <sheetData>
    <row r="1" ht="34.5" customHeight="1">
      <c r="A1" s="1" t="s">
        <v>0</v>
      </c>
      <c r="B1" s="1" t="s">
        <v>2</v>
      </c>
      <c r="C1" s="1" t="s">
        <v>3</v>
      </c>
      <c r="D1" s="1" t="s">
        <v>4</v>
      </c>
      <c r="E1" s="1" t="s">
        <v>5</v>
      </c>
      <c r="F1" s="1" t="s">
        <v>7</v>
      </c>
      <c r="G1" s="1" t="s">
        <v>8</v>
      </c>
      <c r="H1" s="1" t="s">
        <v>9</v>
      </c>
      <c r="I1" s="1" t="s">
        <v>10</v>
      </c>
      <c r="J1" s="1" t="s">
        <v>12</v>
      </c>
      <c r="K1" s="1" t="s">
        <v>13</v>
      </c>
      <c r="L1" s="1" t="s">
        <v>14</v>
      </c>
      <c r="M1" s="1" t="s">
        <v>15</v>
      </c>
      <c r="N1" s="1" t="s">
        <v>16</v>
      </c>
      <c r="O1" s="1" t="s">
        <v>17</v>
      </c>
      <c r="P1" s="1" t="s">
        <v>18</v>
      </c>
      <c r="Q1" s="1" t="s">
        <v>19</v>
      </c>
      <c r="R1" s="3"/>
      <c r="S1" s="3"/>
      <c r="T1" s="3"/>
      <c r="U1" s="3"/>
      <c r="V1" s="3"/>
      <c r="W1" s="3"/>
      <c r="X1" s="3"/>
      <c r="Y1" s="3"/>
    </row>
    <row r="2" ht="39.0" customHeight="1">
      <c r="A2" s="4" t="s">
        <v>20</v>
      </c>
      <c r="B2" s="4" t="s">
        <v>22</v>
      </c>
      <c r="C2" s="4" t="s">
        <v>23</v>
      </c>
      <c r="D2" s="5" t="s">
        <v>24</v>
      </c>
      <c r="E2" s="4" t="s">
        <v>27</v>
      </c>
      <c r="F2" s="5" t="s">
        <v>28</v>
      </c>
      <c r="G2" s="5" t="s">
        <v>29</v>
      </c>
      <c r="H2" s="5" t="s">
        <v>31</v>
      </c>
      <c r="I2" s="5" t="s">
        <v>32</v>
      </c>
      <c r="J2" s="4" t="s">
        <v>33</v>
      </c>
      <c r="K2" s="4" t="str">
        <v>Ejecución completa de 210 pruebas. Ver Resultados de pruebas.</v>
      </c>
      <c r="L2" s="5" t="s">
        <v>36</v>
      </c>
      <c r="M2" s="5" t="s">
        <v>37</v>
      </c>
      <c r="N2" s="5" t="s">
        <v>38</v>
      </c>
      <c r="O2" s="5" t="s">
        <v>39</v>
      </c>
      <c r="P2" s="5" t="s">
        <v>40</v>
      </c>
      <c r="Q2" s="5" t="s">
        <v>41</v>
      </c>
      <c r="R2" s="2"/>
      <c r="S2" s="2"/>
      <c r="T2" s="2"/>
      <c r="U2" s="2"/>
      <c r="V2" s="2"/>
      <c r="W2" s="2"/>
      <c r="X2" s="2"/>
      <c r="Y2" s="2"/>
    </row>
    <row r="3" ht="120.0" customHeight="1">
      <c r="A3" s="4" t="s">
        <v>42</v>
      </c>
      <c r="B3" s="4" t="s">
        <v>22</v>
      </c>
      <c r="C3" s="4" t="s">
        <v>44</v>
      </c>
      <c r="D3" s="5" t="s">
        <v>45</v>
      </c>
      <c r="E3" s="4" t="s">
        <v>27</v>
      </c>
      <c r="F3" s="5" t="s">
        <v>28</v>
      </c>
      <c r="G3" s="5" t="s">
        <v>29</v>
      </c>
      <c r="H3" s="5" t="s">
        <v>49</v>
      </c>
      <c r="I3" s="5" t="s">
        <v>50</v>
      </c>
      <c r="J3" s="4" t="s">
        <v>51</v>
      </c>
      <c r="K3" s="4" t="str">
        <v>Ejecución completa de 210 pruebas. Ver Resultados de pruebas.</v>
      </c>
      <c r="L3" s="5" t="s">
        <v>53</v>
      </c>
      <c r="M3" s="5" t="s">
        <v>54</v>
      </c>
      <c r="N3" s="5" t="s">
        <v>55</v>
      </c>
      <c r="O3" s="5" t="s">
        <v>56</v>
      </c>
      <c r="P3" s="5" t="s">
        <v>58</v>
      </c>
      <c r="Q3" s="5" t="s">
        <v>59</v>
      </c>
      <c r="R3" s="2"/>
      <c r="S3" s="2"/>
      <c r="T3" s="2"/>
      <c r="U3" s="2"/>
      <c r="V3" s="2"/>
      <c r="W3" s="2"/>
      <c r="X3" s="2"/>
      <c r="Y3" s="2"/>
    </row>
    <row r="4" ht="85.5" customHeight="1">
      <c r="A4" s="4" t="s">
        <v>57</v>
      </c>
      <c r="B4" s="4" t="s">
        <v>22</v>
      </c>
      <c r="C4" s="4" t="s">
        <v>23</v>
      </c>
      <c r="D4" s="5" t="s">
        <v>60</v>
      </c>
      <c r="E4" s="4" t="s">
        <v>27</v>
      </c>
      <c r="F4" s="5" t="s">
        <v>28</v>
      </c>
      <c r="G4" s="5" t="s">
        <v>66</v>
      </c>
      <c r="H4" s="5" t="s">
        <v>67</v>
      </c>
      <c r="I4" s="5" t="s">
        <v>69</v>
      </c>
      <c r="J4" s="4" t="s">
        <v>70</v>
      </c>
      <c r="K4" s="4" t="str">
        <v>Ejecución completa de 210 pruebas. Ver Resultados de pruebas.</v>
      </c>
      <c r="L4" s="5" t="s">
        <v>71</v>
      </c>
      <c r="M4" s="5" t="s">
        <v>72</v>
      </c>
      <c r="N4" s="5" t="s">
        <v>73</v>
      </c>
      <c r="O4" s="5" t="s">
        <v>74</v>
      </c>
      <c r="P4" s="5" t="s">
        <v>40</v>
      </c>
      <c r="Q4" s="5" t="s">
        <v>75</v>
      </c>
      <c r="R4" s="2"/>
      <c r="S4" s="2"/>
      <c r="T4" s="2"/>
      <c r="U4" s="2"/>
      <c r="V4" s="2"/>
      <c r="W4" s="2"/>
      <c r="X4" s="2"/>
      <c r="Y4" s="2"/>
    </row>
    <row r="5" ht="114.0" customHeight="1">
      <c r="A5" s="4" t="s">
        <v>62</v>
      </c>
      <c r="B5" s="4" t="s">
        <v>22</v>
      </c>
      <c r="C5" s="4" t="s">
        <v>63</v>
      </c>
      <c r="D5" s="5" t="s">
        <v>64</v>
      </c>
      <c r="E5" s="4" t="s">
        <v>27</v>
      </c>
      <c r="F5" s="5" t="s">
        <v>28</v>
      </c>
      <c r="G5" s="5" t="s">
        <v>82</v>
      </c>
      <c r="H5" s="5" t="s">
        <v>84</v>
      </c>
      <c r="I5" s="5" t="s">
        <v>85</v>
      </c>
      <c r="J5" s="4" t="s">
        <v>86</v>
      </c>
      <c r="K5" s="4" t="str">
        <v>Ejecución completa de 210 pruebas. Ver Resultados de pruebas.</v>
      </c>
      <c r="L5" s="5" t="s">
        <v>87</v>
      </c>
      <c r="M5" s="5" t="s">
        <v>88</v>
      </c>
      <c r="N5" s="5" t="s">
        <v>91</v>
      </c>
      <c r="O5" s="5" t="s">
        <v>92</v>
      </c>
      <c r="P5" s="5" t="s">
        <v>40</v>
      </c>
      <c r="Q5" s="5" t="s">
        <v>41</v>
      </c>
      <c r="R5" s="2"/>
      <c r="S5" s="2"/>
      <c r="T5" s="2"/>
      <c r="U5" s="2"/>
      <c r="V5" s="2"/>
      <c r="W5" s="2"/>
      <c r="X5" s="2"/>
      <c r="Y5" s="2"/>
    </row>
    <row r="6" ht="51.75" customHeight="1">
      <c r="A6" s="4" t="s">
        <v>76</v>
      </c>
      <c r="B6" s="4" t="s">
        <v>22</v>
      </c>
      <c r="C6" s="4" t="s">
        <v>78</v>
      </c>
      <c r="D6" s="5" t="s">
        <v>80</v>
      </c>
      <c r="E6" s="4" t="s">
        <v>27</v>
      </c>
      <c r="F6" s="5" t="s">
        <v>28</v>
      </c>
      <c r="G6" s="5" t="s">
        <v>82</v>
      </c>
      <c r="H6" s="5" t="s">
        <v>98</v>
      </c>
      <c r="I6" s="5" t="s">
        <v>100</v>
      </c>
      <c r="J6" s="4" t="s">
        <v>101</v>
      </c>
      <c r="K6" s="4" t="str">
        <v>Ejecución completa de 210 pruebas. Ver Resultados de pruebas.</v>
      </c>
      <c r="L6" s="5" t="s">
        <v>102</v>
      </c>
      <c r="M6" s="5" t="s">
        <v>103</v>
      </c>
      <c r="N6" s="5" t="s">
        <v>104</v>
      </c>
      <c r="O6" s="5" t="s">
        <v>105</v>
      </c>
      <c r="P6" s="5" t="s">
        <v>40</v>
      </c>
      <c r="Q6" s="5" t="s">
        <v>106</v>
      </c>
      <c r="R6" s="2"/>
      <c r="S6" s="2"/>
      <c r="T6" s="2"/>
      <c r="U6" s="2"/>
      <c r="V6" s="2"/>
      <c r="W6" s="2"/>
      <c r="X6" s="2"/>
      <c r="Y6" s="2"/>
    </row>
    <row r="7" ht="195.0" customHeight="1">
      <c r="A7" s="4" t="s">
        <v>94</v>
      </c>
      <c r="B7" s="4" t="s">
        <v>22</v>
      </c>
      <c r="C7" s="4" t="s">
        <v>78</v>
      </c>
      <c r="D7" s="5" t="s">
        <v>96</v>
      </c>
      <c r="E7" s="4" t="s">
        <v>27</v>
      </c>
      <c r="F7" s="5" t="s">
        <v>109</v>
      </c>
      <c r="G7" s="5" t="s">
        <v>82</v>
      </c>
      <c r="H7" s="5" t="s">
        <v>112</v>
      </c>
      <c r="I7" s="5" t="s">
        <v>114</v>
      </c>
      <c r="J7" s="4" t="s">
        <v>115</v>
      </c>
      <c r="K7" s="4" t="str">
        <v>Ejecución completa de 210 pruebas. Ver Resultados de pruebas.</v>
      </c>
      <c r="L7" s="5" t="s">
        <v>116</v>
      </c>
      <c r="M7" s="5" t="s">
        <v>117</v>
      </c>
      <c r="N7" s="5" t="s">
        <v>119</v>
      </c>
      <c r="O7" s="5" t="s">
        <v>120</v>
      </c>
      <c r="P7" s="5" t="s">
        <v>40</v>
      </c>
      <c r="Q7" s="5" t="s">
        <v>122</v>
      </c>
      <c r="R7" s="2"/>
      <c r="S7" s="2"/>
      <c r="T7" s="2"/>
      <c r="U7" s="2"/>
      <c r="V7" s="2"/>
      <c r="W7" s="2"/>
      <c r="X7" s="2"/>
      <c r="Y7" s="2"/>
    </row>
    <row r="8" ht="108.0" customHeight="1">
      <c r="A8" s="4" t="s">
        <v>107</v>
      </c>
      <c r="B8" s="4" t="s">
        <v>22</v>
      </c>
      <c r="C8" s="4" t="s">
        <v>78</v>
      </c>
      <c r="D8" s="5" t="s">
        <v>108</v>
      </c>
      <c r="E8" s="4" t="s">
        <v>27</v>
      </c>
      <c r="F8" s="5" t="s">
        <v>28</v>
      </c>
      <c r="G8" s="5" t="s">
        <v>82</v>
      </c>
      <c r="H8" s="5" t="s">
        <v>129</v>
      </c>
      <c r="I8" s="5" t="s">
        <v>130</v>
      </c>
      <c r="J8" s="4" t="s">
        <v>131</v>
      </c>
      <c r="K8" s="4" t="str">
        <v>Ejecución completa de 210 pruebas. Ver Resultados de pruebas.</v>
      </c>
      <c r="L8" s="5" t="s">
        <v>132</v>
      </c>
      <c r="M8" s="5" t="s">
        <v>133</v>
      </c>
      <c r="N8" s="5" t="s">
        <v>135</v>
      </c>
      <c r="O8" s="5" t="s">
        <v>136</v>
      </c>
      <c r="P8" s="5" t="s">
        <v>40</v>
      </c>
      <c r="Q8" s="5" t="s">
        <v>122</v>
      </c>
      <c r="R8" s="2"/>
      <c r="S8" s="2"/>
      <c r="T8" s="2"/>
      <c r="U8" s="2"/>
      <c r="V8" s="2"/>
      <c r="W8" s="2"/>
      <c r="X8" s="2"/>
      <c r="Y8" s="2"/>
    </row>
    <row r="9" ht="51.75" customHeight="1">
      <c r="A9" s="4" t="s">
        <v>124</v>
      </c>
      <c r="B9" s="4" t="s">
        <v>22</v>
      </c>
      <c r="C9" s="4" t="s">
        <v>78</v>
      </c>
      <c r="D9" s="5" t="s">
        <v>126</v>
      </c>
      <c r="E9" s="4" t="s">
        <v>27</v>
      </c>
      <c r="F9" s="5" t="s">
        <v>28</v>
      </c>
      <c r="G9" s="5" t="s">
        <v>82</v>
      </c>
      <c r="H9" s="5" t="s">
        <v>143</v>
      </c>
      <c r="I9" s="5" t="s">
        <v>144</v>
      </c>
      <c r="J9" s="4" t="s">
        <v>145</v>
      </c>
      <c r="K9" s="4" t="str">
        <v>Ejecución completa de 210 pruebas. Ver Resultados de pruebas.</v>
      </c>
      <c r="L9" s="5" t="s">
        <v>146</v>
      </c>
      <c r="M9" s="5" t="s">
        <v>147</v>
      </c>
      <c r="N9" s="5" t="s">
        <v>148</v>
      </c>
      <c r="O9" s="5" t="s">
        <v>149</v>
      </c>
      <c r="P9" s="5" t="s">
        <v>40</v>
      </c>
      <c r="Q9" s="5" t="s">
        <v>150</v>
      </c>
      <c r="R9" s="2"/>
      <c r="S9" s="2"/>
      <c r="T9" s="2"/>
      <c r="U9" s="2"/>
      <c r="V9" s="2"/>
      <c r="W9" s="2"/>
      <c r="X9" s="2"/>
      <c r="Y9" s="2"/>
    </row>
    <row r="10" ht="39.0" customHeight="1">
      <c r="A10" s="4" t="s">
        <v>138</v>
      </c>
      <c r="B10" s="4" t="s">
        <v>22</v>
      </c>
      <c r="C10" s="4" t="s">
        <v>139</v>
      </c>
      <c r="D10" s="5" t="s">
        <v>141</v>
      </c>
      <c r="E10" s="4" t="s">
        <v>27</v>
      </c>
      <c r="F10" s="5" t="s">
        <v>28</v>
      </c>
      <c r="G10" s="5" t="s">
        <v>82</v>
      </c>
      <c r="H10" s="5" t="s">
        <v>156</v>
      </c>
      <c r="I10" s="5" t="s">
        <v>157</v>
      </c>
      <c r="J10" s="4" t="s">
        <v>158</v>
      </c>
      <c r="K10" s="4" t="str">
        <v>Ejecución completa de 210 pruebas. Ver Resultados de pruebas.</v>
      </c>
      <c r="L10" s="5" t="s">
        <v>159</v>
      </c>
      <c r="M10" s="5" t="s">
        <v>161</v>
      </c>
      <c r="N10" s="5" t="s">
        <v>135</v>
      </c>
      <c r="O10" s="5" t="s">
        <v>162</v>
      </c>
      <c r="P10" s="5" t="s">
        <v>40</v>
      </c>
      <c r="Q10" s="5" t="s">
        <v>163</v>
      </c>
      <c r="R10" s="2"/>
      <c r="S10" s="2"/>
      <c r="T10" s="2"/>
      <c r="U10" s="2"/>
      <c r="V10" s="2"/>
      <c r="W10" s="2"/>
      <c r="X10" s="2"/>
      <c r="Y10" s="2"/>
    </row>
    <row r="11" ht="47.25" customHeight="1">
      <c r="A11" s="4" t="s">
        <v>151</v>
      </c>
      <c r="B11" s="4" t="s">
        <v>22</v>
      </c>
      <c r="C11" s="4" t="s">
        <v>152</v>
      </c>
      <c r="D11" s="5" t="s">
        <v>153</v>
      </c>
      <c r="E11" s="4" t="s">
        <v>27</v>
      </c>
      <c r="F11" s="5" t="s">
        <v>28</v>
      </c>
      <c r="G11" s="5" t="s">
        <v>168</v>
      </c>
      <c r="H11" s="5" t="s">
        <v>170</v>
      </c>
      <c r="I11" s="5" t="s">
        <v>171</v>
      </c>
      <c r="J11" s="4" t="s">
        <v>172</v>
      </c>
      <c r="K11" s="4" t="str">
        <v>Ejecución completa de 210 pruebas. Ver Resultados de pruebas.</v>
      </c>
      <c r="L11" s="5" t="s">
        <v>174</v>
      </c>
      <c r="M11" s="5" t="s">
        <v>175</v>
      </c>
      <c r="N11" s="5" t="s">
        <v>176</v>
      </c>
      <c r="O11" s="5" t="s">
        <v>177</v>
      </c>
      <c r="P11" s="5" t="s">
        <v>40</v>
      </c>
      <c r="Q11" s="5" t="s">
        <v>178</v>
      </c>
      <c r="R11" s="2"/>
      <c r="S11" s="2"/>
      <c r="T11" s="2"/>
      <c r="U11" s="2"/>
      <c r="V11" s="2"/>
      <c r="W11" s="2"/>
      <c r="X11" s="2"/>
      <c r="Y11" s="2"/>
    </row>
    <row r="12" ht="47.25" customHeight="1">
      <c r="A12" s="4" t="s">
        <v>164</v>
      </c>
      <c r="B12" s="4" t="s">
        <v>22</v>
      </c>
      <c r="C12" s="4" t="s">
        <v>152</v>
      </c>
      <c r="D12" s="5" t="s">
        <v>165</v>
      </c>
      <c r="E12" s="4" t="s">
        <v>169</v>
      </c>
      <c r="F12" s="5" t="s">
        <v>28</v>
      </c>
      <c r="G12" s="5" t="s">
        <v>168</v>
      </c>
      <c r="H12" s="5" t="s">
        <v>185</v>
      </c>
      <c r="I12" s="5" t="s">
        <v>186</v>
      </c>
      <c r="J12" s="4" t="s">
        <v>187</v>
      </c>
      <c r="K12" s="4" t="str">
        <v>Ejecución completa de 210 pruebas. Ver Resultados de pruebas.</v>
      </c>
      <c r="L12" s="5" t="s">
        <v>188</v>
      </c>
      <c r="M12" s="5" t="s">
        <v>190</v>
      </c>
      <c r="N12" s="5" t="s">
        <v>191</v>
      </c>
      <c r="O12" s="5" t="s">
        <v>192</v>
      </c>
      <c r="P12" s="5" t="s">
        <v>40</v>
      </c>
      <c r="Q12" s="5" t="s">
        <v>196</v>
      </c>
      <c r="R12" s="2"/>
      <c r="S12" s="2"/>
      <c r="T12" s="2"/>
      <c r="U12" s="2"/>
      <c r="V12" s="2"/>
      <c r="W12" s="2"/>
      <c r="X12" s="2"/>
      <c r="Y12" s="2"/>
    </row>
    <row r="13" ht="72.0" customHeight="1">
      <c r="A13" s="4" t="s">
        <v>180</v>
      </c>
      <c r="B13" s="4" t="s">
        <v>22</v>
      </c>
      <c r="C13" s="4" t="s">
        <v>181</v>
      </c>
      <c r="D13" s="5" t="s">
        <v>182</v>
      </c>
      <c r="E13" s="4" t="s">
        <v>27</v>
      </c>
      <c r="F13" s="5" t="s">
        <v>28</v>
      </c>
      <c r="G13" s="5" t="s">
        <v>168</v>
      </c>
      <c r="H13" s="5" t="s">
        <v>200</v>
      </c>
      <c r="I13" s="5" t="s">
        <v>201</v>
      </c>
      <c r="J13" s="4" t="s">
        <v>203</v>
      </c>
      <c r="K13" s="4" t="str">
        <v>Ejecución completa de 210 pruebas. Ver Resultados de pruebas.</v>
      </c>
      <c r="L13" s="5" t="s">
        <v>205</v>
      </c>
      <c r="M13" s="5" t="s">
        <v>207</v>
      </c>
      <c r="N13" s="5" t="s">
        <v>176</v>
      </c>
      <c r="O13" s="5" t="s">
        <v>208</v>
      </c>
      <c r="P13" s="5" t="s">
        <v>40</v>
      </c>
      <c r="Q13" s="5" t="s">
        <v>209</v>
      </c>
      <c r="R13" s="2"/>
      <c r="S13" s="2"/>
      <c r="T13" s="2"/>
      <c r="U13" s="2"/>
      <c r="V13" s="2"/>
      <c r="W13" s="2"/>
      <c r="X13" s="2"/>
      <c r="Y13" s="2"/>
    </row>
    <row r="14" ht="207.75" customHeight="1">
      <c r="A14" s="4" t="s">
        <v>189</v>
      </c>
      <c r="B14" s="4" t="s">
        <v>22</v>
      </c>
      <c r="C14" s="4" t="s">
        <v>193</v>
      </c>
      <c r="D14" s="5" t="s">
        <v>195</v>
      </c>
      <c r="E14" s="4" t="s">
        <v>27</v>
      </c>
      <c r="F14" s="5" t="s">
        <v>109</v>
      </c>
      <c r="G14" s="5" t="s">
        <v>216</v>
      </c>
      <c r="H14" s="5" t="s">
        <v>217</v>
      </c>
      <c r="I14" s="5" t="s">
        <v>218</v>
      </c>
      <c r="J14" s="4" t="s">
        <v>220</v>
      </c>
      <c r="K14" s="4" t="s">
        <v>220</v>
      </c>
      <c r="L14" s="5" t="s">
        <v>223</v>
      </c>
      <c r="M14" s="5" t="s">
        <v>224</v>
      </c>
      <c r="N14" s="5" t="s">
        <v>226</v>
      </c>
      <c r="O14" s="5" t="s">
        <v>227</v>
      </c>
      <c r="P14" s="5" t="s">
        <v>229</v>
      </c>
      <c r="Q14" s="5" t="s">
        <v>230</v>
      </c>
      <c r="R14" s="2"/>
      <c r="S14" s="2"/>
      <c r="T14" s="2"/>
      <c r="U14" s="2"/>
      <c r="V14" s="2"/>
      <c r="W14" s="2"/>
      <c r="X14" s="2"/>
      <c r="Y14" s="2"/>
    </row>
    <row r="15" ht="181.5" customHeight="1">
      <c r="A15" s="4" t="s">
        <v>199</v>
      </c>
      <c r="B15" s="4" t="s">
        <v>22</v>
      </c>
      <c r="C15" s="4" t="s">
        <v>193</v>
      </c>
      <c r="D15" s="5" t="s">
        <v>202</v>
      </c>
      <c r="E15" s="4" t="s">
        <v>27</v>
      </c>
      <c r="F15" s="5" t="s">
        <v>109</v>
      </c>
      <c r="G15" s="5" t="s">
        <v>216</v>
      </c>
      <c r="H15" s="5" t="s">
        <v>236</v>
      </c>
      <c r="I15" s="5" t="s">
        <v>238</v>
      </c>
      <c r="J15" s="4" t="s">
        <v>220</v>
      </c>
      <c r="K15" s="4" t="s">
        <v>220</v>
      </c>
      <c r="L15" s="5" t="s">
        <v>239</v>
      </c>
      <c r="M15" s="5" t="s">
        <v>240</v>
      </c>
      <c r="N15" s="5" t="s">
        <v>242</v>
      </c>
      <c r="O15" s="5" t="s">
        <v>243</v>
      </c>
      <c r="P15" s="5" t="s">
        <v>244</v>
      </c>
      <c r="Q15" s="5" t="s">
        <v>247</v>
      </c>
      <c r="R15" s="2"/>
      <c r="S15" s="2"/>
      <c r="T15" s="2"/>
      <c r="U15" s="2"/>
      <c r="V15" s="2"/>
      <c r="W15" s="2"/>
      <c r="X15" s="2"/>
      <c r="Y15" s="2"/>
    </row>
    <row r="16" ht="65.25" customHeight="1">
      <c r="A16" s="4" t="s">
        <v>211</v>
      </c>
      <c r="B16" s="4" t="s">
        <v>22</v>
      </c>
      <c r="C16" s="4" t="s">
        <v>213</v>
      </c>
      <c r="D16" s="5" t="s">
        <v>214</v>
      </c>
      <c r="E16" s="4" t="s">
        <v>27</v>
      </c>
      <c r="F16" s="5" t="s">
        <v>28</v>
      </c>
      <c r="G16" s="5" t="s">
        <v>216</v>
      </c>
      <c r="H16" s="5" t="s">
        <v>250</v>
      </c>
      <c r="I16" s="5" t="s">
        <v>251</v>
      </c>
      <c r="J16" s="4" t="s">
        <v>220</v>
      </c>
      <c r="K16" s="4" t="s">
        <v>220</v>
      </c>
      <c r="L16" s="5" t="s">
        <v>252</v>
      </c>
      <c r="M16" s="5" t="s">
        <v>254</v>
      </c>
      <c r="N16" s="5" t="s">
        <v>255</v>
      </c>
      <c r="O16" s="5" t="s">
        <v>256</v>
      </c>
      <c r="P16" s="5" t="s">
        <v>244</v>
      </c>
      <c r="Q16" s="5" t="s">
        <v>258</v>
      </c>
      <c r="R16" s="2"/>
      <c r="S16" s="2"/>
      <c r="T16" s="2"/>
      <c r="U16" s="2"/>
      <c r="V16" s="2"/>
      <c r="W16" s="2"/>
      <c r="X16" s="2"/>
      <c r="Y16" s="2"/>
    </row>
    <row r="17" ht="56.25" customHeight="1">
      <c r="A17" s="4" t="s">
        <v>219</v>
      </c>
      <c r="B17" s="4" t="s">
        <v>22</v>
      </c>
      <c r="C17" s="4" t="s">
        <v>221</v>
      </c>
      <c r="D17" s="5" t="s">
        <v>222</v>
      </c>
      <c r="E17" s="4" t="s">
        <v>27</v>
      </c>
      <c r="F17" s="5" t="s">
        <v>28</v>
      </c>
      <c r="G17" s="5" t="s">
        <v>264</v>
      </c>
      <c r="H17" s="5" t="s">
        <v>265</v>
      </c>
      <c r="I17" s="5" t="s">
        <v>266</v>
      </c>
      <c r="J17" s="4" t="s">
        <v>220</v>
      </c>
      <c r="K17" s="4" t="s">
        <v>220</v>
      </c>
      <c r="L17" s="5" t="s">
        <v>268</v>
      </c>
      <c r="M17" s="5" t="s">
        <v>270</v>
      </c>
      <c r="N17" s="5" t="s">
        <v>272</v>
      </c>
      <c r="O17" s="5" t="s">
        <v>273</v>
      </c>
      <c r="P17" s="5" t="s">
        <v>275</v>
      </c>
      <c r="Q17" s="5" t="s">
        <v>276</v>
      </c>
      <c r="R17" s="2"/>
      <c r="S17" s="2"/>
      <c r="T17" s="2"/>
      <c r="U17" s="2"/>
      <c r="V17" s="2"/>
      <c r="W17" s="2"/>
      <c r="X17" s="2"/>
      <c r="Y17" s="2"/>
    </row>
    <row r="18" ht="324.75" customHeight="1">
      <c r="A18" s="4" t="s">
        <v>232</v>
      </c>
      <c r="B18" s="4" t="s">
        <v>22</v>
      </c>
      <c r="C18" s="4" t="s">
        <v>233</v>
      </c>
      <c r="D18" s="5" t="s">
        <v>234</v>
      </c>
      <c r="E18" s="4" t="s">
        <v>27</v>
      </c>
      <c r="F18" s="5" t="s">
        <v>109</v>
      </c>
      <c r="G18" s="5" t="s">
        <v>284</v>
      </c>
      <c r="H18" s="5" t="s">
        <v>286</v>
      </c>
      <c r="I18" s="5" t="s">
        <v>289</v>
      </c>
      <c r="J18" s="4" t="s">
        <v>220</v>
      </c>
      <c r="K18" s="4" t="s">
        <v>220</v>
      </c>
      <c r="L18" s="5" t="s">
        <v>290</v>
      </c>
      <c r="M18" s="5" t="s">
        <v>291</v>
      </c>
      <c r="N18" s="5" t="s">
        <v>292</v>
      </c>
      <c r="O18" s="5" t="s">
        <v>293</v>
      </c>
      <c r="P18" s="5" t="s">
        <v>294</v>
      </c>
      <c r="Q18" s="5" t="s">
        <v>295</v>
      </c>
      <c r="R18" s="2"/>
      <c r="S18" s="2"/>
      <c r="T18" s="2"/>
      <c r="U18" s="2"/>
      <c r="V18" s="2"/>
      <c r="W18" s="2"/>
      <c r="X18" s="2"/>
      <c r="Y18" s="2"/>
    </row>
    <row r="19" ht="246.75" customHeight="1">
      <c r="A19" s="4" t="s">
        <v>245</v>
      </c>
      <c r="B19" s="4" t="s">
        <v>22</v>
      </c>
      <c r="C19" s="4" t="s">
        <v>233</v>
      </c>
      <c r="D19" s="5" t="s">
        <v>248</v>
      </c>
      <c r="E19" s="4" t="s">
        <v>169</v>
      </c>
      <c r="F19" s="5" t="s">
        <v>109</v>
      </c>
      <c r="G19" s="5" t="s">
        <v>284</v>
      </c>
      <c r="H19" s="5" t="s">
        <v>302</v>
      </c>
      <c r="I19" s="5" t="s">
        <v>303</v>
      </c>
      <c r="J19" s="4" t="s">
        <v>220</v>
      </c>
      <c r="K19" s="4" t="s">
        <v>220</v>
      </c>
      <c r="L19" s="5" t="s">
        <v>304</v>
      </c>
      <c r="M19" s="5" t="s">
        <v>306</v>
      </c>
      <c r="N19" s="5" t="s">
        <v>308</v>
      </c>
      <c r="O19" s="5" t="s">
        <v>309</v>
      </c>
      <c r="P19" s="5" t="s">
        <v>310</v>
      </c>
      <c r="Q19" s="5" t="s">
        <v>313</v>
      </c>
      <c r="R19" s="2"/>
      <c r="S19" s="2"/>
      <c r="T19" s="2"/>
      <c r="U19" s="2"/>
      <c r="V19" s="2"/>
      <c r="W19" s="2"/>
      <c r="X19" s="2"/>
      <c r="Y19" s="2"/>
    </row>
    <row r="20" ht="246.75" customHeight="1">
      <c r="A20" s="4" t="s">
        <v>253</v>
      </c>
      <c r="B20" s="4" t="s">
        <v>22</v>
      </c>
      <c r="C20" s="4" t="s">
        <v>257</v>
      </c>
      <c r="D20" s="5" t="s">
        <v>260</v>
      </c>
      <c r="E20" s="4" t="s">
        <v>27</v>
      </c>
      <c r="F20" s="5" t="s">
        <v>109</v>
      </c>
      <c r="G20" s="5" t="s">
        <v>284</v>
      </c>
      <c r="H20" s="5" t="s">
        <v>318</v>
      </c>
      <c r="I20" s="5" t="s">
        <v>320</v>
      </c>
      <c r="J20" s="4" t="s">
        <v>220</v>
      </c>
      <c r="K20" s="4" t="s">
        <v>220</v>
      </c>
      <c r="L20" s="5" t="s">
        <v>322</v>
      </c>
      <c r="M20" s="5" t="s">
        <v>323</v>
      </c>
      <c r="N20" s="5" t="s">
        <v>324</v>
      </c>
      <c r="O20" s="5" t="s">
        <v>327</v>
      </c>
      <c r="P20" s="5" t="s">
        <v>329</v>
      </c>
      <c r="Q20" s="5" t="s">
        <v>331</v>
      </c>
      <c r="R20" s="2"/>
      <c r="S20" s="2"/>
      <c r="T20" s="2"/>
      <c r="U20" s="2"/>
      <c r="V20" s="2"/>
      <c r="W20" s="2"/>
      <c r="X20" s="2"/>
      <c r="Y20" s="2"/>
    </row>
    <row r="21" ht="390.0" customHeight="1">
      <c r="A21" s="4" t="s">
        <v>267</v>
      </c>
      <c r="B21" s="4" t="s">
        <v>22</v>
      </c>
      <c r="C21" s="4" t="s">
        <v>269</v>
      </c>
      <c r="D21" s="5" t="s">
        <v>271</v>
      </c>
      <c r="E21" s="4" t="s">
        <v>169</v>
      </c>
      <c r="F21" s="5" t="s">
        <v>109</v>
      </c>
      <c r="G21" s="5" t="s">
        <v>333</v>
      </c>
      <c r="H21" s="5" t="s">
        <v>334</v>
      </c>
      <c r="I21" s="5" t="s">
        <v>337</v>
      </c>
      <c r="J21" s="4" t="s">
        <v>220</v>
      </c>
      <c r="K21" s="4" t="s">
        <v>220</v>
      </c>
      <c r="L21" s="5" t="s">
        <v>340</v>
      </c>
      <c r="M21" s="5" t="s">
        <v>341</v>
      </c>
      <c r="N21" s="5" t="s">
        <v>342</v>
      </c>
      <c r="O21" s="5" t="s">
        <v>344</v>
      </c>
      <c r="P21" s="5" t="s">
        <v>275</v>
      </c>
      <c r="Q21" s="5" t="s">
        <v>346</v>
      </c>
      <c r="R21" s="2"/>
      <c r="S21" s="2"/>
      <c r="T21" s="2"/>
      <c r="U21" s="2"/>
      <c r="V21" s="2"/>
      <c r="W21" s="2"/>
      <c r="X21" s="2"/>
      <c r="Y21" s="2"/>
    </row>
    <row r="22" ht="51.75" customHeight="1">
      <c r="A22" s="4" t="s">
        <v>283</v>
      </c>
      <c r="B22" s="4" t="s">
        <v>22</v>
      </c>
      <c r="C22" s="4" t="s">
        <v>285</v>
      </c>
      <c r="D22" s="5" t="s">
        <v>287</v>
      </c>
      <c r="E22" s="4" t="s">
        <v>27</v>
      </c>
      <c r="F22" s="5" t="s">
        <v>28</v>
      </c>
      <c r="G22" s="5" t="s">
        <v>82</v>
      </c>
      <c r="H22" s="5" t="s">
        <v>349</v>
      </c>
      <c r="I22" s="5" t="s">
        <v>350</v>
      </c>
      <c r="J22" s="4" t="s">
        <v>351</v>
      </c>
      <c r="K22" s="4" t="str">
        <v>Ejecución completa de 210 pruebas. Ver Resultados de pruebas.</v>
      </c>
      <c r="L22" s="5" t="s">
        <v>353</v>
      </c>
      <c r="M22" s="5" t="s">
        <v>354</v>
      </c>
      <c r="N22" s="5" t="s">
        <v>135</v>
      </c>
      <c r="O22" s="5" t="s">
        <v>355</v>
      </c>
      <c r="P22" s="5" t="s">
        <v>40</v>
      </c>
      <c r="Q22" s="5" t="s">
        <v>357</v>
      </c>
      <c r="R22" s="2"/>
      <c r="S22" s="2"/>
      <c r="T22" s="2"/>
      <c r="U22" s="2"/>
      <c r="V22" s="2"/>
      <c r="W22" s="2"/>
      <c r="X22" s="2"/>
      <c r="Y22" s="2"/>
    </row>
    <row r="23" ht="51.75" customHeight="1">
      <c r="A23" s="4" t="s">
        <v>296</v>
      </c>
      <c r="B23" s="4" t="s">
        <v>22</v>
      </c>
      <c r="C23" s="4" t="s">
        <v>78</v>
      </c>
      <c r="D23" s="5" t="s">
        <v>299</v>
      </c>
      <c r="E23" s="4" t="s">
        <v>169</v>
      </c>
      <c r="F23" s="5" t="s">
        <v>28</v>
      </c>
      <c r="G23" s="5" t="s">
        <v>82</v>
      </c>
      <c r="H23" s="5" t="s">
        <v>363</v>
      </c>
      <c r="I23" s="5" t="s">
        <v>364</v>
      </c>
      <c r="J23" s="4" t="s">
        <v>365</v>
      </c>
      <c r="K23" s="4" t="str">
        <v>Ejecución completa de 210 pruebas. Ver Resultados de pruebas.</v>
      </c>
      <c r="L23" s="5" t="s">
        <v>366</v>
      </c>
      <c r="M23" s="5" t="s">
        <v>367</v>
      </c>
      <c r="N23" s="5" t="s">
        <v>135</v>
      </c>
      <c r="O23" s="5" t="s">
        <v>369</v>
      </c>
      <c r="P23" s="5" t="s">
        <v>40</v>
      </c>
      <c r="Q23" s="5" t="s">
        <v>122</v>
      </c>
      <c r="R23" s="2"/>
      <c r="S23" s="2"/>
      <c r="T23" s="2"/>
      <c r="U23" s="2"/>
      <c r="V23" s="2"/>
      <c r="W23" s="2"/>
      <c r="X23" s="2"/>
      <c r="Y23" s="2"/>
    </row>
    <row r="24" ht="83.25" customHeight="1">
      <c r="A24" s="4" t="s">
        <v>305</v>
      </c>
      <c r="B24" s="4" t="s">
        <v>22</v>
      </c>
      <c r="C24" s="4" t="s">
        <v>312</v>
      </c>
      <c r="D24" s="5" t="s">
        <v>314</v>
      </c>
      <c r="E24" s="4" t="s">
        <v>27</v>
      </c>
      <c r="F24" s="5" t="s">
        <v>28</v>
      </c>
      <c r="G24" s="5" t="s">
        <v>377</v>
      </c>
      <c r="H24" s="5" t="s">
        <v>378</v>
      </c>
      <c r="I24" s="5" t="s">
        <v>379</v>
      </c>
      <c r="J24" s="4" t="s">
        <v>220</v>
      </c>
      <c r="K24" s="4" t="s">
        <v>220</v>
      </c>
      <c r="L24" s="5" t="s">
        <v>383</v>
      </c>
      <c r="M24" s="5" t="s">
        <v>384</v>
      </c>
      <c r="N24" s="5" t="s">
        <v>386</v>
      </c>
      <c r="O24" s="5" t="s">
        <v>388</v>
      </c>
      <c r="P24" s="5" t="s">
        <v>275</v>
      </c>
      <c r="Q24" s="5" t="s">
        <v>389</v>
      </c>
      <c r="R24" s="2"/>
      <c r="S24" s="2"/>
      <c r="T24" s="2"/>
      <c r="U24" s="2"/>
      <c r="V24" s="2"/>
      <c r="W24" s="2"/>
      <c r="X24" s="2"/>
      <c r="Y24" s="2"/>
    </row>
    <row r="25" ht="147.0" customHeight="1">
      <c r="A25" s="4" t="s">
        <v>321</v>
      </c>
      <c r="B25" s="4" t="s">
        <v>325</v>
      </c>
      <c r="C25" s="4" t="s">
        <v>328</v>
      </c>
      <c r="D25" s="5" t="s">
        <v>330</v>
      </c>
      <c r="E25" s="4" t="s">
        <v>27</v>
      </c>
      <c r="F25" s="5" t="s">
        <v>28</v>
      </c>
      <c r="G25" s="5" t="s">
        <v>66</v>
      </c>
      <c r="H25" s="5" t="s">
        <v>67</v>
      </c>
      <c r="I25" s="5" t="s">
        <v>394</v>
      </c>
      <c r="J25" s="4" t="s">
        <v>70</v>
      </c>
      <c r="K25" s="4" t="str">
        <v>Ejecución completa de 210 pruebas. Ver Resultados de pruebas.</v>
      </c>
      <c r="L25" s="5" t="s">
        <v>395</v>
      </c>
      <c r="M25" s="5" t="s">
        <v>396</v>
      </c>
      <c r="N25" s="5" t="s">
        <v>397</v>
      </c>
      <c r="O25" s="5" t="s">
        <v>398</v>
      </c>
      <c r="P25" s="5" t="s">
        <v>40</v>
      </c>
      <c r="Q25" s="5" t="s">
        <v>75</v>
      </c>
      <c r="R25" s="2"/>
      <c r="S25" s="2"/>
      <c r="T25" s="2"/>
      <c r="U25" s="2"/>
      <c r="V25" s="2"/>
      <c r="W25" s="2"/>
      <c r="X25" s="2"/>
      <c r="Y25" s="2"/>
    </row>
    <row r="26" ht="41.25" customHeight="1">
      <c r="A26" s="4" t="s">
        <v>339</v>
      </c>
      <c r="B26" s="4" t="s">
        <v>325</v>
      </c>
      <c r="C26" s="4" t="s">
        <v>343</v>
      </c>
      <c r="D26" s="5" t="s">
        <v>345</v>
      </c>
      <c r="E26" s="4" t="s">
        <v>27</v>
      </c>
      <c r="F26" s="5" t="s">
        <v>404</v>
      </c>
      <c r="G26" s="5"/>
      <c r="H26" s="5"/>
      <c r="I26" s="5"/>
      <c r="J26" s="4" t="s">
        <v>220</v>
      </c>
      <c r="K26" s="4" t="s">
        <v>220</v>
      </c>
      <c r="L26" s="5" t="s">
        <v>405</v>
      </c>
      <c r="M26" s="5" t="s">
        <v>406</v>
      </c>
      <c r="N26" s="5" t="s">
        <v>397</v>
      </c>
      <c r="O26" s="5" t="s">
        <v>407</v>
      </c>
      <c r="P26" s="5" t="s">
        <v>408</v>
      </c>
      <c r="Q26" s="5" t="s">
        <v>409</v>
      </c>
      <c r="R26" s="2"/>
      <c r="S26" s="2"/>
      <c r="T26" s="2"/>
      <c r="U26" s="2"/>
      <c r="V26" s="2"/>
      <c r="W26" s="2"/>
      <c r="X26" s="2"/>
      <c r="Y26" s="2"/>
    </row>
    <row r="27" ht="41.25" customHeight="1">
      <c r="A27" s="4" t="s">
        <v>356</v>
      </c>
      <c r="B27" s="4" t="s">
        <v>325</v>
      </c>
      <c r="C27" s="4" t="s">
        <v>360</v>
      </c>
      <c r="D27" s="5" t="s">
        <v>361</v>
      </c>
      <c r="E27" s="4" t="s">
        <v>27</v>
      </c>
      <c r="F27" s="5" t="s">
        <v>28</v>
      </c>
      <c r="G27" s="5" t="s">
        <v>29</v>
      </c>
      <c r="H27" s="5" t="s">
        <v>31</v>
      </c>
      <c r="I27" s="5" t="s">
        <v>32</v>
      </c>
      <c r="J27" s="4" t="s">
        <v>33</v>
      </c>
      <c r="K27" s="4" t="str">
        <v>Ejecución completa de 210 pruebas. Ver Resultados de pruebas.</v>
      </c>
      <c r="L27" s="5" t="s">
        <v>417</v>
      </c>
      <c r="M27" s="5" t="s">
        <v>418</v>
      </c>
      <c r="N27" s="5" t="s">
        <v>397</v>
      </c>
      <c r="O27" s="5" t="s">
        <v>420</v>
      </c>
      <c r="P27" s="5" t="s">
        <v>40</v>
      </c>
      <c r="Q27" s="5" t="s">
        <v>41</v>
      </c>
      <c r="R27" s="2"/>
      <c r="S27" s="2"/>
      <c r="T27" s="2"/>
      <c r="U27" s="2"/>
      <c r="V27" s="2"/>
      <c r="W27" s="2"/>
      <c r="X27" s="2"/>
      <c r="Y27" s="2"/>
    </row>
    <row r="28" ht="111.75" customHeight="1">
      <c r="A28" s="4" t="s">
        <v>370</v>
      </c>
      <c r="B28" s="4" t="s">
        <v>325</v>
      </c>
      <c r="C28" s="4" t="s">
        <v>372</v>
      </c>
      <c r="D28" s="5" t="s">
        <v>373</v>
      </c>
      <c r="E28" s="4" t="s">
        <v>169</v>
      </c>
      <c r="F28" s="5" t="s">
        <v>28</v>
      </c>
      <c r="G28" s="5" t="s">
        <v>82</v>
      </c>
      <c r="H28" s="5" t="s">
        <v>425</v>
      </c>
      <c r="I28" s="5" t="s">
        <v>426</v>
      </c>
      <c r="J28" s="4" t="s">
        <v>427</v>
      </c>
      <c r="K28" s="4" t="str">
        <v>Ejecución completa de 210 pruebas. Ver Resultados de pruebas.</v>
      </c>
      <c r="L28" s="5" t="s">
        <v>428</v>
      </c>
      <c r="M28" s="5" t="s">
        <v>429</v>
      </c>
      <c r="N28" s="5" t="s">
        <v>397</v>
      </c>
      <c r="O28" s="5" t="s">
        <v>430</v>
      </c>
      <c r="P28" s="5" t="s">
        <v>40</v>
      </c>
      <c r="Q28" s="5" t="s">
        <v>432</v>
      </c>
      <c r="R28" s="2"/>
      <c r="S28" s="2"/>
      <c r="T28" s="2"/>
      <c r="U28" s="2"/>
      <c r="V28" s="2"/>
      <c r="W28" s="2"/>
      <c r="X28" s="2"/>
      <c r="Y28" s="2"/>
    </row>
    <row r="29" ht="70.5" customHeight="1">
      <c r="A29" s="4" t="s">
        <v>376</v>
      </c>
      <c r="B29" s="4" t="s">
        <v>325</v>
      </c>
      <c r="C29" s="4" t="s">
        <v>380</v>
      </c>
      <c r="D29" s="5" t="s">
        <v>382</v>
      </c>
      <c r="E29" s="4" t="s">
        <v>27</v>
      </c>
      <c r="F29" s="5" t="s">
        <v>28</v>
      </c>
      <c r="G29" s="5" t="s">
        <v>82</v>
      </c>
      <c r="H29" s="5" t="s">
        <v>84</v>
      </c>
      <c r="I29" s="5" t="s">
        <v>437</v>
      </c>
      <c r="J29" s="4" t="s">
        <v>86</v>
      </c>
      <c r="K29" s="4" t="str">
        <v>Ejecución completa de 210 pruebas. Ver Resultados de pruebas.</v>
      </c>
      <c r="L29" s="5" t="s">
        <v>439</v>
      </c>
      <c r="M29" s="5" t="s">
        <v>440</v>
      </c>
      <c r="N29" s="5" t="s">
        <v>397</v>
      </c>
      <c r="O29" s="5" t="s">
        <v>442</v>
      </c>
      <c r="P29" s="5" t="s">
        <v>40</v>
      </c>
      <c r="Q29" s="5" t="s">
        <v>41</v>
      </c>
      <c r="R29" s="2"/>
      <c r="S29" s="2"/>
      <c r="T29" s="2"/>
      <c r="U29" s="2"/>
      <c r="V29" s="2"/>
      <c r="W29" s="2"/>
      <c r="X29" s="2"/>
      <c r="Y29" s="2"/>
    </row>
    <row r="30" ht="39.75" customHeight="1">
      <c r="A30" s="4" t="s">
        <v>391</v>
      </c>
      <c r="B30" s="4" t="s">
        <v>325</v>
      </c>
      <c r="C30" s="4" t="s">
        <v>380</v>
      </c>
      <c r="D30" s="5" t="s">
        <v>392</v>
      </c>
      <c r="E30" s="4" t="s">
        <v>27</v>
      </c>
      <c r="F30" s="5" t="s">
        <v>28</v>
      </c>
      <c r="G30" s="5" t="s">
        <v>82</v>
      </c>
      <c r="H30" s="5" t="s">
        <v>112</v>
      </c>
      <c r="I30" s="5" t="s">
        <v>447</v>
      </c>
      <c r="J30" s="4" t="s">
        <v>115</v>
      </c>
      <c r="K30" s="4" t="str">
        <v>Ejecución completa de 210 pruebas. Ver Resultados de pruebas.</v>
      </c>
      <c r="L30" s="5" t="s">
        <v>448</v>
      </c>
      <c r="M30" s="5" t="s">
        <v>450</v>
      </c>
      <c r="N30" s="5" t="s">
        <v>397</v>
      </c>
      <c r="O30" s="5" t="s">
        <v>452</v>
      </c>
      <c r="P30" s="5" t="s">
        <v>40</v>
      </c>
      <c r="Q30" s="5" t="s">
        <v>122</v>
      </c>
      <c r="R30" s="2"/>
      <c r="S30" s="2"/>
      <c r="T30" s="2"/>
      <c r="U30" s="2"/>
      <c r="V30" s="2"/>
      <c r="W30" s="2"/>
      <c r="X30" s="2"/>
      <c r="Y30" s="2"/>
    </row>
    <row r="31" ht="39.75" customHeight="1">
      <c r="A31" s="4" t="s">
        <v>400</v>
      </c>
      <c r="B31" s="4" t="s">
        <v>325</v>
      </c>
      <c r="C31" s="4" t="s">
        <v>380</v>
      </c>
      <c r="D31" s="5" t="s">
        <v>402</v>
      </c>
      <c r="E31" s="4" t="s">
        <v>27</v>
      </c>
      <c r="F31" s="5" t="s">
        <v>28</v>
      </c>
      <c r="G31" s="5" t="s">
        <v>458</v>
      </c>
      <c r="H31" s="5" t="s">
        <v>459</v>
      </c>
      <c r="I31" s="5" t="s">
        <v>461</v>
      </c>
      <c r="J31" s="4" t="s">
        <v>462</v>
      </c>
      <c r="K31" s="4" t="str">
        <v>Ejecución completa de 210 pruebas. Ver Resultados de pruebas.</v>
      </c>
      <c r="L31" s="5" t="s">
        <v>463</v>
      </c>
      <c r="M31" s="5" t="s">
        <v>464</v>
      </c>
      <c r="N31" s="5" t="s">
        <v>397</v>
      </c>
      <c r="O31" s="5" t="s">
        <v>465</v>
      </c>
      <c r="P31" s="5" t="s">
        <v>40</v>
      </c>
      <c r="Q31" s="5" t="s">
        <v>150</v>
      </c>
      <c r="R31" s="2"/>
      <c r="S31" s="2"/>
      <c r="T31" s="2"/>
      <c r="U31" s="2"/>
      <c r="V31" s="2"/>
      <c r="W31" s="2"/>
      <c r="X31" s="2"/>
      <c r="Y31" s="2"/>
    </row>
    <row r="32" ht="298.5" customHeight="1">
      <c r="A32" s="4" t="s">
        <v>411</v>
      </c>
      <c r="B32" s="4" t="s">
        <v>325</v>
      </c>
      <c r="C32" s="4" t="s">
        <v>412</v>
      </c>
      <c r="D32" s="5" t="s">
        <v>414</v>
      </c>
      <c r="E32" s="4" t="s">
        <v>27</v>
      </c>
      <c r="F32" s="5" t="s">
        <v>28</v>
      </c>
      <c r="G32" s="5" t="s">
        <v>469</v>
      </c>
      <c r="H32" s="5" t="s">
        <v>470</v>
      </c>
      <c r="I32" s="5" t="s">
        <v>472</v>
      </c>
      <c r="J32" s="4" t="s">
        <v>473</v>
      </c>
      <c r="K32" s="4" t="str">
        <v>Ejecución completa de 210 pruebas. Ver Resultados de pruebas.</v>
      </c>
      <c r="L32" s="5" t="s">
        <v>475</v>
      </c>
      <c r="M32" s="5" t="s">
        <v>476</v>
      </c>
      <c r="N32" s="5" t="s">
        <v>397</v>
      </c>
      <c r="O32" s="5" t="s">
        <v>478</v>
      </c>
      <c r="P32" s="5" t="s">
        <v>40</v>
      </c>
      <c r="Q32" s="5" t="s">
        <v>479</v>
      </c>
      <c r="R32" s="2"/>
      <c r="S32" s="2"/>
      <c r="T32" s="2"/>
      <c r="U32" s="2"/>
      <c r="V32" s="2"/>
      <c r="W32" s="2"/>
      <c r="X32" s="2"/>
      <c r="Y32" s="2"/>
    </row>
    <row r="33" ht="218.25" customHeight="1">
      <c r="A33" s="4" t="s">
        <v>419</v>
      </c>
      <c r="B33" s="4" t="s">
        <v>325</v>
      </c>
      <c r="C33" s="4" t="s">
        <v>421</v>
      </c>
      <c r="D33" s="5" t="s">
        <v>422</v>
      </c>
      <c r="E33" s="4" t="s">
        <v>27</v>
      </c>
      <c r="F33" s="5" t="s">
        <v>28</v>
      </c>
      <c r="G33" s="5" t="s">
        <v>469</v>
      </c>
      <c r="H33" s="5" t="s">
        <v>482</v>
      </c>
      <c r="I33" s="5" t="s">
        <v>485</v>
      </c>
      <c r="J33" s="4" t="s">
        <v>486</v>
      </c>
      <c r="K33" s="4" t="str">
        <v>Ejecución completa de 210 pruebas. Ver Resultados de pruebas.</v>
      </c>
      <c r="L33" s="5" t="s">
        <v>487</v>
      </c>
      <c r="M33" s="5" t="s">
        <v>488</v>
      </c>
      <c r="N33" s="5" t="s">
        <v>397</v>
      </c>
      <c r="O33" s="5" t="s">
        <v>489</v>
      </c>
      <c r="P33" s="5" t="s">
        <v>40</v>
      </c>
      <c r="Q33" s="5" t="s">
        <v>491</v>
      </c>
      <c r="R33" s="2"/>
      <c r="S33" s="2"/>
      <c r="T33" s="2"/>
      <c r="U33" s="2"/>
      <c r="V33" s="2"/>
      <c r="W33" s="2"/>
      <c r="X33" s="2"/>
      <c r="Y33" s="2"/>
    </row>
    <row r="34" ht="111.75" customHeight="1">
      <c r="A34" s="4" t="s">
        <v>431</v>
      </c>
      <c r="B34" s="4" t="s">
        <v>325</v>
      </c>
      <c r="C34" s="4" t="s">
        <v>380</v>
      </c>
      <c r="D34" s="5" t="s">
        <v>433</v>
      </c>
      <c r="E34" s="4" t="s">
        <v>27</v>
      </c>
      <c r="F34" s="5" t="s">
        <v>28</v>
      </c>
      <c r="G34" s="5" t="s">
        <v>216</v>
      </c>
      <c r="H34" s="5" t="s">
        <v>236</v>
      </c>
      <c r="I34" s="5" t="s">
        <v>498</v>
      </c>
      <c r="J34" s="4" t="s">
        <v>220</v>
      </c>
      <c r="K34" s="4" t="s">
        <v>220</v>
      </c>
      <c r="L34" s="5" t="s">
        <v>500</v>
      </c>
      <c r="M34" s="5" t="s">
        <v>501</v>
      </c>
      <c r="N34" s="5" t="s">
        <v>397</v>
      </c>
      <c r="O34" s="5" t="s">
        <v>504</v>
      </c>
      <c r="P34" s="5" t="s">
        <v>408</v>
      </c>
      <c r="Q34" s="5" t="s">
        <v>409</v>
      </c>
      <c r="R34" s="2"/>
      <c r="S34" s="2"/>
      <c r="T34" s="2"/>
      <c r="U34" s="2"/>
      <c r="V34" s="2"/>
      <c r="W34" s="2"/>
      <c r="X34" s="2"/>
      <c r="Y34" s="2"/>
    </row>
    <row r="35" ht="255.0" customHeight="1">
      <c r="A35" s="4" t="s">
        <v>438</v>
      </c>
      <c r="B35" s="4" t="s">
        <v>325</v>
      </c>
      <c r="C35" s="4" t="s">
        <v>443</v>
      </c>
      <c r="D35" s="5" t="s">
        <v>444</v>
      </c>
      <c r="E35" s="4" t="s">
        <v>27</v>
      </c>
      <c r="F35" s="5" t="s">
        <v>28</v>
      </c>
      <c r="G35" s="5" t="s">
        <v>509</v>
      </c>
      <c r="H35" s="5" t="s">
        <v>511</v>
      </c>
      <c r="I35" s="5" t="s">
        <v>513</v>
      </c>
      <c r="J35" s="4" t="s">
        <v>514</v>
      </c>
      <c r="K35" s="4" t="str">
        <v>Ejecución completa de 210 pruebas. Ver Resultados de pruebas.</v>
      </c>
      <c r="L35" s="5" t="s">
        <v>515</v>
      </c>
      <c r="M35" s="5" t="s">
        <v>516</v>
      </c>
      <c r="N35" s="5" t="s">
        <v>397</v>
      </c>
      <c r="O35" s="5" t="s">
        <v>517</v>
      </c>
      <c r="P35" s="5" t="s">
        <v>58</v>
      </c>
      <c r="Q35" s="5" t="s">
        <v>518</v>
      </c>
      <c r="R35" s="2"/>
      <c r="S35" s="2"/>
      <c r="T35" s="2"/>
      <c r="U35" s="2"/>
      <c r="V35" s="2"/>
      <c r="W35" s="2"/>
      <c r="X35" s="2"/>
      <c r="Y35" s="2"/>
    </row>
    <row r="36" ht="48.0" customHeight="1">
      <c r="A36" s="4" t="s">
        <v>446</v>
      </c>
      <c r="B36" s="4" t="s">
        <v>325</v>
      </c>
      <c r="C36" s="4" t="s">
        <v>443</v>
      </c>
      <c r="D36" s="5" t="s">
        <v>449</v>
      </c>
      <c r="E36" s="4" t="s">
        <v>27</v>
      </c>
      <c r="F36" s="5" t="s">
        <v>28</v>
      </c>
      <c r="G36" s="5" t="s">
        <v>29</v>
      </c>
      <c r="H36" s="5" t="s">
        <v>525</v>
      </c>
      <c r="I36" s="5" t="s">
        <v>527</v>
      </c>
      <c r="J36" s="4" t="s">
        <v>528</v>
      </c>
      <c r="K36" s="4" t="str">
        <v>Ejecución completa de 210 pruebas. Ver Resultados de pruebas.</v>
      </c>
      <c r="L36" s="5" t="s">
        <v>529</v>
      </c>
      <c r="M36" s="5" t="s">
        <v>531</v>
      </c>
      <c r="N36" s="5" t="s">
        <v>397</v>
      </c>
      <c r="O36" s="5" t="s">
        <v>532</v>
      </c>
      <c r="P36" s="5" t="s">
        <v>58</v>
      </c>
      <c r="Q36" s="5" t="s">
        <v>534</v>
      </c>
      <c r="R36" s="2"/>
      <c r="S36" s="2"/>
      <c r="T36" s="2"/>
      <c r="U36" s="2"/>
      <c r="V36" s="2"/>
      <c r="W36" s="2"/>
      <c r="X36" s="2"/>
      <c r="Y36" s="2"/>
    </row>
    <row r="37" ht="78.75" customHeight="1">
      <c r="A37" s="4" t="s">
        <v>455</v>
      </c>
      <c r="B37" s="4" t="s">
        <v>325</v>
      </c>
      <c r="C37" s="4" t="s">
        <v>456</v>
      </c>
      <c r="D37" s="5" t="s">
        <v>457</v>
      </c>
      <c r="E37" s="4" t="s">
        <v>27</v>
      </c>
      <c r="F37" s="5" t="s">
        <v>28</v>
      </c>
      <c r="G37" s="5" t="s">
        <v>538</v>
      </c>
      <c r="H37" s="5" t="s">
        <v>539</v>
      </c>
      <c r="I37" s="5" t="s">
        <v>540</v>
      </c>
      <c r="J37" s="4" t="s">
        <v>541</v>
      </c>
      <c r="K37" s="4" t="str">
        <v>Ejecución completa de 210 pruebas. Ver Resultados de pruebas.</v>
      </c>
      <c r="L37" s="5" t="s">
        <v>543</v>
      </c>
      <c r="M37" s="5" t="s">
        <v>545</v>
      </c>
      <c r="N37" s="5" t="s">
        <v>397</v>
      </c>
      <c r="O37" s="5" t="s">
        <v>546</v>
      </c>
      <c r="P37" s="5" t="s">
        <v>40</v>
      </c>
      <c r="Q37" s="5" t="s">
        <v>106</v>
      </c>
      <c r="R37" s="2"/>
      <c r="S37" s="2"/>
      <c r="T37" s="2"/>
      <c r="U37" s="2"/>
      <c r="V37" s="2"/>
      <c r="W37" s="2"/>
      <c r="X37" s="2"/>
      <c r="Y37" s="2"/>
    </row>
    <row r="38" ht="39.0" customHeight="1">
      <c r="A38" s="4" t="s">
        <v>471</v>
      </c>
      <c r="B38" s="4" t="s">
        <v>325</v>
      </c>
      <c r="C38" s="4" t="s">
        <v>456</v>
      </c>
      <c r="D38" s="5" t="s">
        <v>474</v>
      </c>
      <c r="E38" s="4" t="s">
        <v>169</v>
      </c>
      <c r="F38" s="5" t="s">
        <v>28</v>
      </c>
      <c r="G38" s="5" t="s">
        <v>216</v>
      </c>
      <c r="H38" s="5" t="s">
        <v>552</v>
      </c>
      <c r="I38" s="5" t="s">
        <v>553</v>
      </c>
      <c r="J38" s="4" t="s">
        <v>220</v>
      </c>
      <c r="K38" s="4" t="s">
        <v>220</v>
      </c>
      <c r="L38" s="5" t="s">
        <v>554</v>
      </c>
      <c r="M38" s="5" t="s">
        <v>556</v>
      </c>
      <c r="N38" s="5" t="s">
        <v>397</v>
      </c>
      <c r="O38" s="5" t="s">
        <v>557</v>
      </c>
      <c r="P38" s="5" t="s">
        <v>408</v>
      </c>
      <c r="Q38" s="5" t="s">
        <v>409</v>
      </c>
      <c r="R38" s="2"/>
      <c r="S38" s="2"/>
      <c r="T38" s="2"/>
      <c r="U38" s="2"/>
      <c r="V38" s="2"/>
      <c r="W38" s="2"/>
      <c r="X38" s="2"/>
      <c r="Y38" s="2"/>
    </row>
    <row r="39" ht="55.5" customHeight="1">
      <c r="A39" s="4" t="s">
        <v>481</v>
      </c>
      <c r="B39" s="4" t="s">
        <v>325</v>
      </c>
      <c r="C39" s="4" t="s">
        <v>372</v>
      </c>
      <c r="D39" s="5" t="s">
        <v>483</v>
      </c>
      <c r="E39" s="4" t="s">
        <v>27</v>
      </c>
      <c r="F39" s="5" t="s">
        <v>28</v>
      </c>
      <c r="G39" s="5" t="s">
        <v>284</v>
      </c>
      <c r="H39" s="5" t="s">
        <v>560</v>
      </c>
      <c r="I39" s="5" t="s">
        <v>561</v>
      </c>
      <c r="J39" s="4" t="s">
        <v>220</v>
      </c>
      <c r="K39" s="4" t="s">
        <v>220</v>
      </c>
      <c r="L39" s="5" t="s">
        <v>563</v>
      </c>
      <c r="M39" s="5" t="s">
        <v>564</v>
      </c>
      <c r="N39" s="5" t="s">
        <v>397</v>
      </c>
      <c r="O39" s="5" t="s">
        <v>565</v>
      </c>
      <c r="P39" s="5" t="s">
        <v>408</v>
      </c>
      <c r="Q39" s="5" t="s">
        <v>409</v>
      </c>
      <c r="R39" s="2"/>
      <c r="S39" s="2"/>
      <c r="T39" s="2"/>
      <c r="U39" s="2"/>
      <c r="V39" s="2"/>
      <c r="W39" s="2"/>
      <c r="X39" s="2"/>
      <c r="Y39" s="2"/>
    </row>
    <row r="40" ht="340.5" customHeight="1">
      <c r="A40" s="4" t="s">
        <v>492</v>
      </c>
      <c r="B40" s="4" t="s">
        <v>325</v>
      </c>
      <c r="C40" s="4" t="s">
        <v>494</v>
      </c>
      <c r="D40" s="5" t="s">
        <v>495</v>
      </c>
      <c r="E40" s="4" t="s">
        <v>27</v>
      </c>
      <c r="F40" s="5" t="s">
        <v>28</v>
      </c>
      <c r="G40" s="5" t="s">
        <v>567</v>
      </c>
      <c r="H40" s="5" t="s">
        <v>568</v>
      </c>
      <c r="I40" s="5" t="s">
        <v>570</v>
      </c>
      <c r="J40" s="4" t="s">
        <v>571</v>
      </c>
      <c r="K40" s="4" t="str">
        <v>Ejecución completa de 210 pruebas. Ver Resultados de pruebas.</v>
      </c>
      <c r="L40" s="5" t="s">
        <v>573</v>
      </c>
      <c r="M40" s="5" t="s">
        <v>574</v>
      </c>
      <c r="N40" s="5" t="s">
        <v>397</v>
      </c>
      <c r="O40" s="5" t="s">
        <v>575</v>
      </c>
      <c r="P40" s="5" t="s">
        <v>40</v>
      </c>
      <c r="Q40" s="5" t="s">
        <v>576</v>
      </c>
      <c r="R40" s="2"/>
      <c r="S40" s="2"/>
      <c r="T40" s="2"/>
      <c r="U40" s="2"/>
      <c r="V40" s="2"/>
      <c r="W40" s="2"/>
      <c r="X40" s="2"/>
      <c r="Y40" s="2"/>
    </row>
    <row r="41" ht="39.0" customHeight="1">
      <c r="A41" s="4" t="s">
        <v>499</v>
      </c>
      <c r="B41" s="4" t="s">
        <v>325</v>
      </c>
      <c r="C41" s="4" t="s">
        <v>502</v>
      </c>
      <c r="D41" s="5" t="s">
        <v>503</v>
      </c>
      <c r="E41" s="4" t="s">
        <v>27</v>
      </c>
      <c r="F41" s="5" t="s">
        <v>577</v>
      </c>
      <c r="G41" s="19" t="s">
        <v>578</v>
      </c>
      <c r="H41" s="19" t="s">
        <v>580</v>
      </c>
      <c r="I41" s="5" t="s">
        <v>581</v>
      </c>
      <c r="J41" s="4" t="s">
        <v>220</v>
      </c>
      <c r="K41" s="4" t="s">
        <v>220</v>
      </c>
      <c r="L41" s="5" t="s">
        <v>583</v>
      </c>
      <c r="M41" s="5" t="s">
        <v>584</v>
      </c>
      <c r="N41" s="5" t="s">
        <v>397</v>
      </c>
      <c r="O41" s="5" t="s">
        <v>585</v>
      </c>
      <c r="P41" s="5" t="s">
        <v>408</v>
      </c>
      <c r="Q41" s="5" t="s">
        <v>409</v>
      </c>
      <c r="R41" s="2"/>
      <c r="S41" s="2"/>
      <c r="T41" s="2"/>
      <c r="U41" s="2"/>
      <c r="V41" s="2"/>
      <c r="W41" s="2"/>
      <c r="X41" s="2"/>
      <c r="Y41" s="2"/>
    </row>
    <row r="42" ht="76.5" customHeight="1">
      <c r="A42" s="4" t="s">
        <v>507</v>
      </c>
      <c r="B42" s="4" t="s">
        <v>325</v>
      </c>
      <c r="C42" s="4" t="s">
        <v>508</v>
      </c>
      <c r="D42" s="5" t="s">
        <v>510</v>
      </c>
      <c r="E42" s="4" t="s">
        <v>169</v>
      </c>
      <c r="F42" s="5" t="s">
        <v>588</v>
      </c>
      <c r="G42" s="19" t="s">
        <v>578</v>
      </c>
      <c r="H42" s="19" t="s">
        <v>589</v>
      </c>
      <c r="I42" s="19" t="s">
        <v>591</v>
      </c>
      <c r="J42" s="4" t="s">
        <v>220</v>
      </c>
      <c r="K42" s="4" t="s">
        <v>220</v>
      </c>
      <c r="L42" s="19" t="s">
        <v>592</v>
      </c>
      <c r="M42" s="19" t="s">
        <v>593</v>
      </c>
      <c r="N42" s="19" t="s">
        <v>397</v>
      </c>
      <c r="O42" s="19" t="s">
        <v>594</v>
      </c>
      <c r="P42" s="19" t="s">
        <v>408</v>
      </c>
      <c r="Q42" s="19" t="s">
        <v>409</v>
      </c>
      <c r="R42" s="2"/>
      <c r="S42" s="2"/>
      <c r="T42" s="2"/>
      <c r="U42" s="2"/>
      <c r="V42" s="2"/>
      <c r="W42" s="2"/>
      <c r="X42" s="2"/>
      <c r="Y42" s="2"/>
    </row>
    <row r="43" ht="298.5" customHeight="1">
      <c r="A43" s="4" t="s">
        <v>519</v>
      </c>
      <c r="B43" s="4" t="s">
        <v>325</v>
      </c>
      <c r="C43" s="4" t="s">
        <v>521</v>
      </c>
      <c r="D43" s="5" t="s">
        <v>522</v>
      </c>
      <c r="E43" s="4" t="s">
        <v>280</v>
      </c>
      <c r="F43" s="5" t="s">
        <v>109</v>
      </c>
      <c r="G43" s="19" t="s">
        <v>595</v>
      </c>
      <c r="H43" s="19" t="s">
        <v>596</v>
      </c>
      <c r="I43" s="19" t="s">
        <v>524</v>
      </c>
      <c r="J43" s="4" t="s">
        <v>220</v>
      </c>
      <c r="K43" s="4" t="s">
        <v>220</v>
      </c>
      <c r="L43" s="19" t="s">
        <v>598</v>
      </c>
      <c r="M43" s="19" t="s">
        <v>599</v>
      </c>
      <c r="N43" s="19" t="s">
        <v>397</v>
      </c>
      <c r="O43" s="19" t="s">
        <v>600</v>
      </c>
      <c r="P43" s="19" t="s">
        <v>408</v>
      </c>
      <c r="Q43" s="19" t="s">
        <v>409</v>
      </c>
      <c r="R43" s="2"/>
      <c r="S43" s="2"/>
      <c r="T43" s="2"/>
      <c r="U43" s="2"/>
      <c r="V43" s="2"/>
      <c r="W43" s="2"/>
      <c r="X43" s="2"/>
      <c r="Y43" s="2"/>
    </row>
    <row r="44" ht="234.0" customHeight="1">
      <c r="A44" s="4" t="s">
        <v>533</v>
      </c>
      <c r="B44" s="4" t="s">
        <v>325</v>
      </c>
      <c r="C44" s="4" t="s">
        <v>535</v>
      </c>
      <c r="D44" s="5" t="s">
        <v>536</v>
      </c>
      <c r="E44" s="4" t="s">
        <v>27</v>
      </c>
      <c r="F44" s="5" t="s">
        <v>109</v>
      </c>
      <c r="G44" s="19" t="s">
        <v>601</v>
      </c>
      <c r="H44" s="19" t="s">
        <v>603</v>
      </c>
      <c r="I44" s="19" t="s">
        <v>537</v>
      </c>
      <c r="J44" s="4" t="s">
        <v>220</v>
      </c>
      <c r="K44" s="4" t="s">
        <v>220</v>
      </c>
      <c r="L44" s="19" t="s">
        <v>605</v>
      </c>
      <c r="M44" s="19" t="s">
        <v>606</v>
      </c>
      <c r="N44" s="19" t="s">
        <v>397</v>
      </c>
      <c r="O44" s="19" t="s">
        <v>607</v>
      </c>
      <c r="P44" s="19" t="s">
        <v>408</v>
      </c>
      <c r="Q44" s="19" t="s">
        <v>409</v>
      </c>
      <c r="R44" s="2"/>
      <c r="S44" s="2"/>
      <c r="T44" s="2"/>
      <c r="U44" s="2"/>
      <c r="V44" s="2"/>
      <c r="W44" s="2"/>
      <c r="X44" s="2"/>
      <c r="Y44" s="2"/>
    </row>
    <row r="45" ht="391.5" customHeight="1">
      <c r="A45" s="4" t="s">
        <v>542</v>
      </c>
      <c r="B45" s="4" t="s">
        <v>22</v>
      </c>
      <c r="C45" s="4" t="s">
        <v>547</v>
      </c>
      <c r="D45" s="5" t="s">
        <v>548</v>
      </c>
      <c r="E45" s="4" t="s">
        <v>27</v>
      </c>
      <c r="F45" s="5" t="s">
        <v>609</v>
      </c>
      <c r="G45" s="5" t="s">
        <v>82</v>
      </c>
      <c r="H45" s="5" t="s">
        <v>610</v>
      </c>
      <c r="I45" s="5" t="s">
        <v>612</v>
      </c>
      <c r="J45" s="4" t="s">
        <v>613</v>
      </c>
      <c r="K45" s="4" t="str">
        <v>Ejecución completa de 210 pruebas. Ver Resultados de pruebas.</v>
      </c>
      <c r="L45" s="5" t="s">
        <v>614</v>
      </c>
      <c r="M45" s="5" t="s">
        <v>616</v>
      </c>
      <c r="N45" s="5" t="s">
        <v>617</v>
      </c>
      <c r="O45" s="5" t="s">
        <v>618</v>
      </c>
      <c r="P45" s="5" t="s">
        <v>40</v>
      </c>
      <c r="Q45" s="5" t="s">
        <v>619</v>
      </c>
      <c r="R45" s="2"/>
      <c r="S45" s="2"/>
      <c r="T45" s="2"/>
      <c r="U45" s="2"/>
      <c r="V45" s="2"/>
      <c r="W45" s="2"/>
      <c r="X45" s="2"/>
      <c r="Y45" s="2"/>
    </row>
    <row r="46" ht="15.75" customHeight="1">
      <c r="A46" s="3"/>
      <c r="B46" s="3"/>
      <c r="C46" s="3"/>
      <c r="D46" s="2"/>
      <c r="E46" s="3"/>
      <c r="F46" s="2"/>
      <c r="G46" s="2"/>
      <c r="H46" s="2"/>
      <c r="I46" s="2"/>
      <c r="J46" s="3"/>
      <c r="K46" s="3"/>
      <c r="L46" s="2"/>
      <c r="M46" s="2"/>
      <c r="N46" s="2"/>
      <c r="O46" s="2"/>
      <c r="P46" s="2"/>
      <c r="Q46" s="2"/>
      <c r="R46" s="2"/>
      <c r="S46" s="2"/>
      <c r="T46" s="2"/>
      <c r="U46" s="2"/>
      <c r="V46" s="2"/>
      <c r="W46" s="2"/>
      <c r="X46" s="2"/>
      <c r="Y46" s="2"/>
    </row>
    <row r="47" ht="15.75" customHeight="1">
      <c r="A47" s="3"/>
      <c r="B47" s="3"/>
      <c r="C47" s="3"/>
      <c r="D47" s="2"/>
      <c r="E47" s="3"/>
      <c r="F47" s="2"/>
      <c r="G47" s="2"/>
      <c r="H47" s="2"/>
      <c r="I47" s="2"/>
      <c r="J47" s="3"/>
      <c r="K47" s="3"/>
      <c r="L47" s="2"/>
      <c r="M47" s="2"/>
      <c r="N47" s="2"/>
      <c r="O47" s="2"/>
      <c r="P47" s="2"/>
      <c r="Q47" s="2"/>
      <c r="R47" s="2"/>
      <c r="S47" s="2"/>
      <c r="T47" s="2"/>
      <c r="U47" s="2"/>
      <c r="V47" s="2"/>
      <c r="W47" s="2"/>
      <c r="X47" s="2"/>
      <c r="Y47" s="2"/>
    </row>
    <row r="48" ht="15.75" customHeight="1">
      <c r="A48" s="3"/>
      <c r="B48" s="3"/>
      <c r="C48" s="3"/>
      <c r="D48" s="2"/>
      <c r="E48" s="3"/>
      <c r="F48" s="2"/>
      <c r="G48" s="2"/>
      <c r="H48" s="2"/>
      <c r="I48" s="2"/>
      <c r="J48" s="3"/>
      <c r="K48" s="3"/>
      <c r="L48" s="2"/>
      <c r="M48" s="2"/>
      <c r="N48" s="2"/>
      <c r="O48" s="2"/>
      <c r="P48" s="2"/>
      <c r="Q48" s="2"/>
      <c r="R48" s="2"/>
      <c r="S48" s="2"/>
      <c r="T48" s="2"/>
      <c r="U48" s="2"/>
      <c r="V48" s="2"/>
      <c r="W48" s="2"/>
      <c r="X48" s="2"/>
      <c r="Y48" s="2"/>
    </row>
    <row r="49" ht="15.75" customHeight="1">
      <c r="A49" s="3"/>
      <c r="B49" s="3"/>
      <c r="C49" s="3"/>
      <c r="D49" s="2"/>
      <c r="E49" s="3"/>
      <c r="F49" s="2"/>
      <c r="G49" s="2"/>
      <c r="H49" s="2"/>
      <c r="I49" s="2"/>
      <c r="J49" s="3"/>
      <c r="K49" s="3"/>
      <c r="L49" s="2"/>
      <c r="M49" s="2"/>
      <c r="N49" s="2"/>
      <c r="O49" s="2"/>
      <c r="P49" s="2"/>
      <c r="Q49" s="2"/>
      <c r="R49" s="2"/>
      <c r="S49" s="2"/>
      <c r="T49" s="2"/>
      <c r="U49" s="2"/>
      <c r="V49" s="2"/>
      <c r="W49" s="2"/>
      <c r="X49" s="2"/>
      <c r="Y49" s="2"/>
    </row>
    <row r="50" ht="15.75" customHeight="1">
      <c r="A50" s="3"/>
      <c r="B50" s="3"/>
      <c r="C50" s="3"/>
      <c r="D50" s="2"/>
      <c r="E50" s="3"/>
      <c r="F50" s="2"/>
      <c r="G50" s="2"/>
      <c r="H50" s="2"/>
      <c r="I50" s="2"/>
      <c r="J50" s="3"/>
      <c r="K50" s="3"/>
      <c r="L50" s="2"/>
      <c r="M50" s="2"/>
      <c r="N50" s="2"/>
      <c r="O50" s="2"/>
      <c r="P50" s="2"/>
      <c r="Q50" s="2"/>
      <c r="R50" s="2"/>
      <c r="S50" s="2"/>
      <c r="T50" s="2"/>
      <c r="U50" s="2"/>
      <c r="V50" s="2"/>
      <c r="W50" s="2"/>
      <c r="X50" s="2"/>
      <c r="Y50" s="2"/>
    </row>
    <row r="51" ht="15.75" customHeight="1">
      <c r="A51" s="3"/>
      <c r="B51" s="3"/>
      <c r="C51" s="3"/>
      <c r="D51" s="2"/>
      <c r="E51" s="3"/>
      <c r="F51" s="2"/>
      <c r="G51" s="2"/>
      <c r="H51" s="2"/>
      <c r="I51" s="2"/>
      <c r="J51" s="3"/>
      <c r="K51" s="3"/>
      <c r="L51" s="2"/>
      <c r="M51" s="2"/>
      <c r="N51" s="2"/>
      <c r="O51" s="2"/>
      <c r="P51" s="2"/>
      <c r="Q51" s="2"/>
      <c r="R51" s="2"/>
      <c r="S51" s="2"/>
      <c r="T51" s="2"/>
      <c r="U51" s="2"/>
      <c r="V51" s="2"/>
      <c r="W51" s="2"/>
      <c r="X51" s="2"/>
      <c r="Y51" s="2"/>
    </row>
    <row r="52" ht="15.75" customHeight="1">
      <c r="A52" s="3"/>
      <c r="B52" s="3"/>
      <c r="C52" s="3"/>
      <c r="D52" s="2"/>
      <c r="E52" s="3"/>
      <c r="F52" s="2"/>
      <c r="G52" s="2"/>
      <c r="H52" s="2"/>
      <c r="I52" s="2"/>
      <c r="J52" s="3"/>
      <c r="K52" s="3"/>
      <c r="L52" s="2"/>
      <c r="M52" s="2"/>
      <c r="N52" s="2"/>
      <c r="O52" s="2"/>
      <c r="P52" s="2"/>
      <c r="Q52" s="2"/>
      <c r="R52" s="2"/>
      <c r="S52" s="2"/>
      <c r="T52" s="2"/>
      <c r="U52" s="2"/>
      <c r="V52" s="2"/>
      <c r="W52" s="2"/>
      <c r="X52" s="2"/>
      <c r="Y52" s="2"/>
    </row>
    <row r="53" ht="15.75" customHeight="1">
      <c r="A53" s="3"/>
      <c r="B53" s="3"/>
      <c r="C53" s="3"/>
      <c r="D53" s="2"/>
      <c r="E53" s="3"/>
      <c r="F53" s="2"/>
      <c r="G53" s="2"/>
      <c r="H53" s="2"/>
      <c r="I53" s="2"/>
      <c r="J53" s="3"/>
      <c r="K53" s="3"/>
      <c r="L53" s="2"/>
      <c r="M53" s="2"/>
      <c r="N53" s="2"/>
      <c r="O53" s="2"/>
      <c r="P53" s="2"/>
      <c r="Q53" s="2"/>
      <c r="R53" s="2"/>
      <c r="S53" s="2"/>
      <c r="T53" s="2"/>
      <c r="U53" s="2"/>
      <c r="V53" s="2"/>
      <c r="W53" s="2"/>
      <c r="X53" s="2"/>
      <c r="Y53" s="2"/>
    </row>
    <row r="54" ht="15.75" customHeight="1">
      <c r="A54" s="3"/>
      <c r="B54" s="3"/>
      <c r="C54" s="3"/>
      <c r="D54" s="2"/>
      <c r="E54" s="3"/>
      <c r="F54" s="2"/>
      <c r="G54" s="2"/>
      <c r="H54" s="2"/>
      <c r="I54" s="2"/>
      <c r="J54" s="3"/>
      <c r="K54" s="3"/>
      <c r="L54" s="2"/>
      <c r="M54" s="2"/>
      <c r="N54" s="2"/>
      <c r="O54" s="2"/>
      <c r="P54" s="2"/>
      <c r="Q54" s="2"/>
      <c r="R54" s="2"/>
      <c r="S54" s="2"/>
      <c r="T54" s="2"/>
      <c r="U54" s="2"/>
      <c r="V54" s="2"/>
      <c r="W54" s="2"/>
      <c r="X54" s="2"/>
      <c r="Y54" s="2"/>
    </row>
    <row r="55" ht="15.75" customHeight="1">
      <c r="A55" s="3"/>
      <c r="B55" s="3"/>
      <c r="C55" s="3"/>
      <c r="D55" s="2"/>
      <c r="E55" s="3"/>
      <c r="F55" s="2"/>
      <c r="G55" s="2"/>
      <c r="H55" s="2"/>
      <c r="I55" s="2"/>
      <c r="J55" s="3"/>
      <c r="K55" s="3"/>
      <c r="L55" s="2"/>
      <c r="M55" s="2"/>
      <c r="N55" s="2"/>
      <c r="O55" s="2"/>
      <c r="P55" s="2"/>
      <c r="Q55" s="2"/>
      <c r="R55" s="2"/>
      <c r="S55" s="2"/>
      <c r="T55" s="2"/>
      <c r="U55" s="2"/>
      <c r="V55" s="2"/>
      <c r="W55" s="2"/>
      <c r="X55" s="2"/>
      <c r="Y55" s="2"/>
    </row>
    <row r="56" ht="15.75" customHeight="1">
      <c r="A56" s="3"/>
      <c r="B56" s="3"/>
      <c r="C56" s="3"/>
      <c r="D56" s="2"/>
      <c r="E56" s="3"/>
      <c r="F56" s="2"/>
      <c r="G56" s="2"/>
      <c r="H56" s="2"/>
      <c r="I56" s="2"/>
      <c r="J56" s="3"/>
      <c r="K56" s="3"/>
      <c r="L56" s="2"/>
      <c r="M56" s="2"/>
      <c r="N56" s="2"/>
      <c r="O56" s="2"/>
      <c r="P56" s="2"/>
      <c r="Q56" s="2"/>
      <c r="R56" s="2"/>
      <c r="S56" s="2"/>
      <c r="T56" s="2"/>
      <c r="U56" s="2"/>
      <c r="V56" s="2"/>
      <c r="W56" s="2"/>
      <c r="X56" s="2"/>
      <c r="Y56" s="2"/>
    </row>
    <row r="57" ht="15.75" customHeight="1">
      <c r="A57" s="3"/>
      <c r="B57" s="3"/>
      <c r="C57" s="3"/>
      <c r="D57" s="2"/>
      <c r="E57" s="3"/>
      <c r="F57" s="2"/>
      <c r="G57" s="2"/>
      <c r="H57" s="2"/>
      <c r="I57" s="2"/>
      <c r="J57" s="3"/>
      <c r="K57" s="3"/>
      <c r="L57" s="2"/>
      <c r="M57" s="2"/>
      <c r="N57" s="2"/>
      <c r="O57" s="2"/>
      <c r="P57" s="2"/>
      <c r="Q57" s="2"/>
      <c r="R57" s="2"/>
      <c r="S57" s="2"/>
      <c r="T57" s="2"/>
      <c r="U57" s="2"/>
      <c r="V57" s="2"/>
      <c r="W57" s="2"/>
      <c r="X57" s="2"/>
      <c r="Y57" s="2"/>
    </row>
    <row r="58" ht="15.75" customHeight="1">
      <c r="A58" s="3"/>
      <c r="B58" s="3"/>
      <c r="C58" s="3"/>
      <c r="D58" s="2"/>
      <c r="E58" s="3"/>
      <c r="F58" s="2"/>
      <c r="G58" s="2"/>
      <c r="H58" s="2"/>
      <c r="I58" s="2"/>
      <c r="J58" s="3"/>
      <c r="K58" s="3"/>
      <c r="L58" s="2"/>
      <c r="M58" s="2"/>
      <c r="N58" s="2"/>
      <c r="O58" s="2"/>
      <c r="P58" s="2"/>
      <c r="Q58" s="2"/>
      <c r="R58" s="2"/>
      <c r="S58" s="2"/>
      <c r="T58" s="2"/>
      <c r="U58" s="2"/>
      <c r="V58" s="2"/>
      <c r="W58" s="2"/>
      <c r="X58" s="2"/>
      <c r="Y58" s="2"/>
    </row>
    <row r="59" ht="15.75" customHeight="1">
      <c r="A59" s="3"/>
      <c r="B59" s="3"/>
      <c r="C59" s="3"/>
      <c r="D59" s="2"/>
      <c r="E59" s="3"/>
      <c r="F59" s="2"/>
      <c r="G59" s="2"/>
      <c r="H59" s="2"/>
      <c r="I59" s="2"/>
      <c r="J59" s="3"/>
      <c r="K59" s="3"/>
      <c r="L59" s="2"/>
      <c r="M59" s="2"/>
      <c r="N59" s="2"/>
      <c r="O59" s="2"/>
      <c r="P59" s="2"/>
      <c r="Q59" s="2"/>
      <c r="R59" s="2"/>
      <c r="S59" s="2"/>
      <c r="T59" s="2"/>
      <c r="U59" s="2"/>
      <c r="V59" s="2"/>
      <c r="W59" s="2"/>
      <c r="X59" s="2"/>
      <c r="Y59" s="2"/>
    </row>
    <row r="60" ht="15.75" customHeight="1">
      <c r="A60" s="3"/>
      <c r="B60" s="3"/>
      <c r="C60" s="3"/>
      <c r="D60" s="2"/>
      <c r="E60" s="3"/>
      <c r="F60" s="2"/>
      <c r="G60" s="2"/>
      <c r="H60" s="2"/>
      <c r="I60" s="2"/>
      <c r="J60" s="3"/>
      <c r="K60" s="3"/>
      <c r="L60" s="2"/>
      <c r="M60" s="2"/>
      <c r="N60" s="2"/>
      <c r="O60" s="2"/>
      <c r="P60" s="2"/>
      <c r="Q60" s="2"/>
      <c r="R60" s="2"/>
      <c r="S60" s="2"/>
      <c r="T60" s="2"/>
      <c r="U60" s="2"/>
      <c r="V60" s="2"/>
      <c r="W60" s="2"/>
      <c r="X60" s="2"/>
      <c r="Y60" s="2"/>
    </row>
    <row r="61" ht="15.75" customHeight="1">
      <c r="A61" s="3"/>
      <c r="B61" s="3"/>
      <c r="C61" s="3"/>
      <c r="D61" s="2"/>
      <c r="E61" s="3"/>
      <c r="F61" s="2"/>
      <c r="G61" s="2"/>
      <c r="H61" s="2"/>
      <c r="I61" s="2"/>
      <c r="J61" s="3"/>
      <c r="K61" s="3"/>
      <c r="L61" s="2"/>
      <c r="M61" s="2"/>
      <c r="N61" s="2"/>
      <c r="O61" s="2"/>
      <c r="P61" s="2"/>
      <c r="Q61" s="2"/>
      <c r="R61" s="2"/>
      <c r="S61" s="2"/>
      <c r="T61" s="2"/>
      <c r="U61" s="2"/>
      <c r="V61" s="2"/>
      <c r="W61" s="2"/>
      <c r="X61" s="2"/>
      <c r="Y61" s="2"/>
    </row>
    <row r="62" ht="15.75" customHeight="1">
      <c r="A62" s="3"/>
      <c r="B62" s="3"/>
      <c r="C62" s="3"/>
      <c r="D62" s="2"/>
      <c r="E62" s="3"/>
      <c r="F62" s="2"/>
      <c r="G62" s="2"/>
      <c r="H62" s="2"/>
      <c r="I62" s="2"/>
      <c r="J62" s="3"/>
      <c r="K62" s="3"/>
      <c r="L62" s="2"/>
      <c r="M62" s="2"/>
      <c r="N62" s="2"/>
      <c r="O62" s="2"/>
      <c r="P62" s="2"/>
      <c r="Q62" s="2"/>
      <c r="R62" s="2"/>
      <c r="S62" s="2"/>
      <c r="T62" s="2"/>
      <c r="U62" s="2"/>
      <c r="V62" s="2"/>
      <c r="W62" s="2"/>
      <c r="X62" s="2"/>
      <c r="Y62" s="2"/>
    </row>
    <row r="63" ht="15.75" customHeight="1">
      <c r="A63" s="3"/>
      <c r="B63" s="3"/>
      <c r="C63" s="3"/>
      <c r="D63" s="2"/>
      <c r="E63" s="3"/>
      <c r="F63" s="2"/>
      <c r="G63" s="2"/>
      <c r="H63" s="2"/>
      <c r="I63" s="2"/>
      <c r="J63" s="3"/>
      <c r="K63" s="3"/>
      <c r="L63" s="2"/>
      <c r="M63" s="2"/>
      <c r="N63" s="2"/>
      <c r="O63" s="2"/>
      <c r="P63" s="2"/>
      <c r="Q63" s="2"/>
      <c r="R63" s="2"/>
      <c r="S63" s="2"/>
      <c r="T63" s="2"/>
      <c r="U63" s="2"/>
      <c r="V63" s="2"/>
      <c r="W63" s="2"/>
      <c r="X63" s="2"/>
      <c r="Y63" s="2"/>
    </row>
    <row r="64" ht="15.75" customHeight="1">
      <c r="A64" s="3"/>
      <c r="B64" s="3"/>
      <c r="C64" s="3"/>
      <c r="D64" s="2"/>
      <c r="E64" s="3"/>
      <c r="F64" s="2"/>
      <c r="G64" s="2"/>
      <c r="H64" s="2"/>
      <c r="I64" s="2"/>
      <c r="J64" s="3"/>
      <c r="K64" s="3"/>
      <c r="L64" s="2"/>
      <c r="M64" s="2"/>
      <c r="N64" s="2"/>
      <c r="O64" s="2"/>
      <c r="P64" s="2"/>
      <c r="Q64" s="2"/>
      <c r="R64" s="2"/>
      <c r="S64" s="2"/>
      <c r="T64" s="2"/>
      <c r="U64" s="2"/>
      <c r="V64" s="2"/>
      <c r="W64" s="2"/>
      <c r="X64" s="2"/>
      <c r="Y64" s="2"/>
    </row>
    <row r="65" ht="15.75" customHeight="1">
      <c r="A65" s="3"/>
      <c r="B65" s="3"/>
      <c r="C65" s="3"/>
      <c r="D65" s="2"/>
      <c r="E65" s="3"/>
      <c r="F65" s="2"/>
      <c r="G65" s="2"/>
      <c r="H65" s="2"/>
      <c r="I65" s="2"/>
      <c r="J65" s="3"/>
      <c r="K65" s="3"/>
      <c r="L65" s="2"/>
      <c r="M65" s="2"/>
      <c r="N65" s="2"/>
      <c r="O65" s="2"/>
      <c r="P65" s="2"/>
      <c r="Q65" s="2"/>
      <c r="R65" s="2"/>
      <c r="S65" s="2"/>
      <c r="T65" s="2"/>
      <c r="U65" s="2"/>
      <c r="V65" s="2"/>
      <c r="W65" s="2"/>
      <c r="X65" s="2"/>
      <c r="Y65" s="2"/>
    </row>
    <row r="66" ht="15.75" customHeight="1">
      <c r="A66" s="3"/>
      <c r="B66" s="3"/>
      <c r="C66" s="3"/>
      <c r="D66" s="2"/>
      <c r="E66" s="3"/>
      <c r="F66" s="2"/>
      <c r="G66" s="2"/>
      <c r="H66" s="2"/>
      <c r="I66" s="2"/>
      <c r="J66" s="3"/>
      <c r="K66" s="3"/>
      <c r="L66" s="2"/>
      <c r="M66" s="2"/>
      <c r="N66" s="2"/>
      <c r="O66" s="2"/>
      <c r="P66" s="2"/>
      <c r="Q66" s="2"/>
      <c r="R66" s="2"/>
      <c r="S66" s="2"/>
      <c r="T66" s="2"/>
      <c r="U66" s="2"/>
      <c r="V66" s="2"/>
      <c r="W66" s="2"/>
      <c r="X66" s="2"/>
      <c r="Y66" s="2"/>
    </row>
    <row r="67" ht="15.75" customHeight="1">
      <c r="A67" s="3"/>
      <c r="B67" s="3"/>
      <c r="C67" s="3"/>
      <c r="D67" s="2"/>
      <c r="E67" s="3"/>
      <c r="F67" s="2"/>
      <c r="G67" s="2"/>
      <c r="H67" s="2"/>
      <c r="I67" s="2"/>
      <c r="J67" s="3"/>
      <c r="K67" s="3"/>
      <c r="L67" s="2"/>
      <c r="M67" s="2"/>
      <c r="N67" s="2"/>
      <c r="O67" s="2"/>
      <c r="P67" s="2"/>
      <c r="Q67" s="2"/>
      <c r="R67" s="2"/>
      <c r="S67" s="2"/>
      <c r="T67" s="2"/>
      <c r="U67" s="2"/>
      <c r="V67" s="2"/>
      <c r="W67" s="2"/>
      <c r="X67" s="2"/>
      <c r="Y67" s="2"/>
    </row>
    <row r="68" ht="15.75" customHeight="1">
      <c r="A68" s="3"/>
      <c r="B68" s="3"/>
      <c r="C68" s="3"/>
      <c r="D68" s="2"/>
      <c r="E68" s="3"/>
      <c r="F68" s="2"/>
      <c r="G68" s="2"/>
      <c r="H68" s="2"/>
      <c r="I68" s="2"/>
      <c r="J68" s="3"/>
      <c r="K68" s="3"/>
      <c r="L68" s="2"/>
      <c r="M68" s="2"/>
      <c r="N68" s="2"/>
      <c r="O68" s="2"/>
      <c r="P68" s="2"/>
      <c r="Q68" s="2"/>
      <c r="R68" s="2"/>
      <c r="S68" s="2"/>
      <c r="T68" s="2"/>
      <c r="U68" s="2"/>
      <c r="V68" s="2"/>
      <c r="W68" s="2"/>
      <c r="X68" s="2"/>
      <c r="Y68" s="2"/>
    </row>
    <row r="69" ht="15.75" customHeight="1">
      <c r="A69" s="3"/>
      <c r="B69" s="3"/>
      <c r="C69" s="3"/>
      <c r="D69" s="2"/>
      <c r="E69" s="3"/>
      <c r="F69" s="2"/>
      <c r="G69" s="2"/>
      <c r="H69" s="2"/>
      <c r="I69" s="2"/>
      <c r="J69" s="3"/>
      <c r="K69" s="3"/>
      <c r="L69" s="2"/>
      <c r="M69" s="2"/>
      <c r="N69" s="2"/>
      <c r="O69" s="2"/>
      <c r="P69" s="2"/>
      <c r="Q69" s="2"/>
      <c r="R69" s="2"/>
      <c r="S69" s="2"/>
      <c r="T69" s="2"/>
      <c r="U69" s="2"/>
      <c r="V69" s="2"/>
      <c r="W69" s="2"/>
      <c r="X69" s="2"/>
      <c r="Y69" s="2"/>
    </row>
    <row r="70" ht="15.75" customHeight="1">
      <c r="A70" s="3"/>
      <c r="B70" s="3"/>
      <c r="C70" s="3"/>
      <c r="D70" s="2"/>
      <c r="E70" s="3"/>
      <c r="F70" s="2"/>
      <c r="G70" s="2"/>
      <c r="H70" s="2"/>
      <c r="I70" s="2"/>
      <c r="J70" s="3"/>
      <c r="K70" s="3"/>
      <c r="L70" s="2"/>
      <c r="M70" s="2"/>
      <c r="N70" s="2"/>
      <c r="O70" s="2"/>
      <c r="P70" s="2"/>
      <c r="Q70" s="2"/>
      <c r="R70" s="2"/>
      <c r="S70" s="2"/>
      <c r="T70" s="2"/>
      <c r="U70" s="2"/>
      <c r="V70" s="2"/>
      <c r="W70" s="2"/>
      <c r="X70" s="2"/>
      <c r="Y70" s="2"/>
    </row>
    <row r="71" ht="15.75" customHeight="1">
      <c r="A71" s="3"/>
      <c r="B71" s="3"/>
      <c r="C71" s="3"/>
      <c r="D71" s="2"/>
      <c r="E71" s="3"/>
      <c r="F71" s="2"/>
      <c r="G71" s="2"/>
      <c r="H71" s="2"/>
      <c r="I71" s="2"/>
      <c r="J71" s="3"/>
      <c r="K71" s="3"/>
      <c r="L71" s="2"/>
      <c r="M71" s="2"/>
      <c r="N71" s="2"/>
      <c r="O71" s="2"/>
      <c r="P71" s="2"/>
      <c r="Q71" s="2"/>
      <c r="R71" s="2"/>
      <c r="S71" s="2"/>
      <c r="T71" s="2"/>
      <c r="U71" s="2"/>
      <c r="V71" s="2"/>
      <c r="W71" s="2"/>
      <c r="X71" s="2"/>
      <c r="Y71" s="2"/>
    </row>
    <row r="72" ht="15.75" customHeight="1">
      <c r="A72" s="3"/>
      <c r="B72" s="3"/>
      <c r="C72" s="3"/>
      <c r="D72" s="2"/>
      <c r="E72" s="3"/>
      <c r="F72" s="2"/>
      <c r="G72" s="2"/>
      <c r="H72" s="2"/>
      <c r="I72" s="2"/>
      <c r="J72" s="3"/>
      <c r="K72" s="3"/>
      <c r="L72" s="2"/>
      <c r="M72" s="2"/>
      <c r="N72" s="2"/>
      <c r="O72" s="2"/>
      <c r="P72" s="2"/>
      <c r="Q72" s="2"/>
      <c r="R72" s="2"/>
      <c r="S72" s="2"/>
      <c r="T72" s="2"/>
      <c r="U72" s="2"/>
      <c r="V72" s="2"/>
      <c r="W72" s="2"/>
      <c r="X72" s="2"/>
      <c r="Y72" s="2"/>
    </row>
    <row r="73" ht="15.75" customHeight="1">
      <c r="A73" s="3"/>
      <c r="B73" s="3"/>
      <c r="C73" s="3"/>
      <c r="D73" s="2"/>
      <c r="E73" s="3"/>
      <c r="F73" s="2"/>
      <c r="G73" s="2"/>
      <c r="H73" s="2"/>
      <c r="I73" s="2"/>
      <c r="J73" s="3"/>
      <c r="K73" s="3"/>
      <c r="L73" s="2"/>
      <c r="M73" s="2"/>
      <c r="N73" s="2"/>
      <c r="O73" s="2"/>
      <c r="P73" s="2"/>
      <c r="Q73" s="2"/>
      <c r="R73" s="2"/>
      <c r="S73" s="2"/>
      <c r="T73" s="2"/>
      <c r="U73" s="2"/>
      <c r="V73" s="2"/>
      <c r="W73" s="2"/>
      <c r="X73" s="2"/>
      <c r="Y73" s="2"/>
    </row>
    <row r="74" ht="15.75" customHeight="1">
      <c r="A74" s="3"/>
      <c r="B74" s="3"/>
      <c r="C74" s="3"/>
      <c r="D74" s="2"/>
      <c r="E74" s="3"/>
      <c r="F74" s="2"/>
      <c r="G74" s="2"/>
      <c r="H74" s="2"/>
      <c r="I74" s="2"/>
      <c r="J74" s="3"/>
      <c r="K74" s="3"/>
      <c r="L74" s="2"/>
      <c r="M74" s="2"/>
      <c r="N74" s="2"/>
      <c r="O74" s="2"/>
      <c r="P74" s="2"/>
      <c r="Q74" s="2"/>
      <c r="R74" s="2"/>
      <c r="S74" s="2"/>
      <c r="T74" s="2"/>
      <c r="U74" s="2"/>
      <c r="V74" s="2"/>
      <c r="W74" s="2"/>
      <c r="X74" s="2"/>
      <c r="Y74" s="2"/>
    </row>
    <row r="75" ht="15.75" customHeight="1">
      <c r="A75" s="3"/>
      <c r="B75" s="3"/>
      <c r="C75" s="3"/>
      <c r="D75" s="2"/>
      <c r="E75" s="3"/>
      <c r="F75" s="2"/>
      <c r="G75" s="2"/>
      <c r="H75" s="2"/>
      <c r="I75" s="2"/>
      <c r="J75" s="3"/>
      <c r="K75" s="3"/>
      <c r="L75" s="2"/>
      <c r="M75" s="2"/>
      <c r="N75" s="2"/>
      <c r="O75" s="2"/>
      <c r="P75" s="2"/>
      <c r="Q75" s="2"/>
      <c r="R75" s="2"/>
      <c r="S75" s="2"/>
      <c r="T75" s="2"/>
      <c r="U75" s="2"/>
      <c r="V75" s="2"/>
      <c r="W75" s="2"/>
      <c r="X75" s="2"/>
      <c r="Y75" s="2"/>
    </row>
    <row r="76" ht="15.75" customHeight="1">
      <c r="A76" s="3"/>
      <c r="B76" s="3"/>
      <c r="C76" s="3"/>
      <c r="D76" s="2"/>
      <c r="E76" s="3"/>
      <c r="F76" s="2"/>
      <c r="G76" s="2"/>
      <c r="H76" s="2"/>
      <c r="I76" s="2"/>
      <c r="J76" s="3"/>
      <c r="K76" s="3"/>
      <c r="L76" s="2"/>
      <c r="M76" s="2"/>
      <c r="N76" s="2"/>
      <c r="O76" s="2"/>
      <c r="P76" s="2"/>
      <c r="Q76" s="2"/>
      <c r="R76" s="2"/>
      <c r="S76" s="2"/>
      <c r="T76" s="2"/>
      <c r="U76" s="2"/>
      <c r="V76" s="2"/>
      <c r="W76" s="2"/>
      <c r="X76" s="2"/>
      <c r="Y76" s="2"/>
    </row>
    <row r="77" ht="15.75" customHeight="1">
      <c r="A77" s="3"/>
      <c r="B77" s="3"/>
      <c r="C77" s="3"/>
      <c r="D77" s="2"/>
      <c r="E77" s="3"/>
      <c r="F77" s="2"/>
      <c r="G77" s="2"/>
      <c r="H77" s="2"/>
      <c r="I77" s="2"/>
      <c r="J77" s="3"/>
      <c r="K77" s="3"/>
      <c r="L77" s="2"/>
      <c r="M77" s="2"/>
      <c r="N77" s="2"/>
      <c r="O77" s="2"/>
      <c r="P77" s="2"/>
      <c r="Q77" s="2"/>
      <c r="R77" s="2"/>
      <c r="S77" s="2"/>
      <c r="T77" s="2"/>
      <c r="U77" s="2"/>
      <c r="V77" s="2"/>
      <c r="W77" s="2"/>
      <c r="X77" s="2"/>
      <c r="Y77" s="2"/>
    </row>
    <row r="78" ht="15.75" customHeight="1">
      <c r="A78" s="3"/>
      <c r="B78" s="3"/>
      <c r="C78" s="3"/>
      <c r="D78" s="2"/>
      <c r="E78" s="3"/>
      <c r="F78" s="2"/>
      <c r="G78" s="2"/>
      <c r="H78" s="2"/>
      <c r="I78" s="2"/>
      <c r="J78" s="3"/>
      <c r="K78" s="3"/>
      <c r="L78" s="2"/>
      <c r="M78" s="2"/>
      <c r="N78" s="2"/>
      <c r="O78" s="2"/>
      <c r="P78" s="2"/>
      <c r="Q78" s="2"/>
      <c r="R78" s="2"/>
      <c r="S78" s="2"/>
      <c r="T78" s="2"/>
      <c r="U78" s="2"/>
      <c r="V78" s="2"/>
      <c r="W78" s="2"/>
      <c r="X78" s="2"/>
      <c r="Y78" s="2"/>
    </row>
    <row r="79" ht="15.75" customHeight="1">
      <c r="A79" s="3"/>
      <c r="B79" s="3"/>
      <c r="C79" s="3"/>
      <c r="D79" s="2"/>
      <c r="E79" s="3"/>
      <c r="F79" s="2"/>
      <c r="G79" s="2"/>
      <c r="H79" s="2"/>
      <c r="I79" s="2"/>
      <c r="J79" s="3"/>
      <c r="K79" s="3"/>
      <c r="L79" s="2"/>
      <c r="M79" s="2"/>
      <c r="N79" s="2"/>
      <c r="O79" s="2"/>
      <c r="P79" s="2"/>
      <c r="Q79" s="2"/>
      <c r="R79" s="2"/>
      <c r="S79" s="2"/>
      <c r="T79" s="2"/>
      <c r="U79" s="2"/>
      <c r="V79" s="2"/>
      <c r="W79" s="2"/>
      <c r="X79" s="2"/>
      <c r="Y79" s="2"/>
    </row>
    <row r="80" ht="15.75" customHeight="1">
      <c r="A80" s="3"/>
      <c r="B80" s="3"/>
      <c r="C80" s="3"/>
      <c r="D80" s="2"/>
      <c r="E80" s="3"/>
      <c r="F80" s="2"/>
      <c r="G80" s="2"/>
      <c r="H80" s="2"/>
      <c r="I80" s="2"/>
      <c r="J80" s="3"/>
      <c r="K80" s="3"/>
      <c r="L80" s="2"/>
      <c r="M80" s="2"/>
      <c r="N80" s="2"/>
      <c r="O80" s="2"/>
      <c r="P80" s="2"/>
      <c r="Q80" s="2"/>
      <c r="R80" s="2"/>
      <c r="S80" s="2"/>
      <c r="T80" s="2"/>
      <c r="U80" s="2"/>
      <c r="V80" s="2"/>
      <c r="W80" s="2"/>
      <c r="X80" s="2"/>
      <c r="Y80" s="2"/>
    </row>
    <row r="81" ht="15.75" customHeight="1">
      <c r="A81" s="3"/>
      <c r="B81" s="3"/>
      <c r="C81" s="3"/>
      <c r="D81" s="2"/>
      <c r="E81" s="3"/>
      <c r="F81" s="2"/>
      <c r="G81" s="2"/>
      <c r="H81" s="2"/>
      <c r="I81" s="2"/>
      <c r="J81" s="3"/>
      <c r="K81" s="3"/>
      <c r="L81" s="2"/>
      <c r="M81" s="2"/>
      <c r="N81" s="2"/>
      <c r="O81" s="2"/>
      <c r="P81" s="2"/>
      <c r="Q81" s="2"/>
      <c r="R81" s="2"/>
      <c r="S81" s="2"/>
      <c r="T81" s="2"/>
      <c r="U81" s="2"/>
      <c r="V81" s="2"/>
      <c r="W81" s="2"/>
      <c r="X81" s="2"/>
      <c r="Y81" s="2"/>
    </row>
    <row r="82" ht="15.75" customHeight="1">
      <c r="A82" s="3"/>
      <c r="B82" s="3"/>
      <c r="C82" s="3"/>
      <c r="D82" s="2"/>
      <c r="E82" s="3"/>
      <c r="F82" s="2"/>
      <c r="G82" s="2"/>
      <c r="H82" s="2"/>
      <c r="I82" s="2"/>
      <c r="J82" s="3"/>
      <c r="K82" s="3"/>
      <c r="L82" s="2"/>
      <c r="M82" s="2"/>
      <c r="N82" s="2"/>
      <c r="O82" s="2"/>
      <c r="P82" s="2"/>
      <c r="Q82" s="2"/>
      <c r="R82" s="2"/>
      <c r="S82" s="2"/>
      <c r="T82" s="2"/>
      <c r="U82" s="2"/>
      <c r="V82" s="2"/>
      <c r="W82" s="2"/>
      <c r="X82" s="2"/>
      <c r="Y82" s="2"/>
    </row>
    <row r="83" ht="15.75" customHeight="1">
      <c r="A83" s="3"/>
      <c r="B83" s="3"/>
      <c r="C83" s="3"/>
      <c r="D83" s="2"/>
      <c r="E83" s="3"/>
      <c r="F83" s="2"/>
      <c r="G83" s="2"/>
      <c r="H83" s="2"/>
      <c r="I83" s="2"/>
      <c r="J83" s="3"/>
      <c r="K83" s="3"/>
      <c r="L83" s="2"/>
      <c r="M83" s="2"/>
      <c r="N83" s="2"/>
      <c r="O83" s="2"/>
      <c r="P83" s="2"/>
      <c r="Q83" s="2"/>
      <c r="R83" s="2"/>
      <c r="S83" s="2"/>
      <c r="T83" s="2"/>
      <c r="U83" s="2"/>
      <c r="V83" s="2"/>
      <c r="W83" s="2"/>
      <c r="X83" s="2"/>
      <c r="Y83" s="2"/>
    </row>
    <row r="84" ht="15.75" customHeight="1">
      <c r="A84" s="3"/>
      <c r="B84" s="3"/>
      <c r="C84" s="3"/>
      <c r="D84" s="2"/>
      <c r="E84" s="3"/>
      <c r="F84" s="2"/>
      <c r="G84" s="2"/>
      <c r="H84" s="2"/>
      <c r="I84" s="2"/>
      <c r="J84" s="3"/>
      <c r="K84" s="3"/>
      <c r="L84" s="2"/>
      <c r="M84" s="2"/>
      <c r="N84" s="2"/>
      <c r="O84" s="2"/>
      <c r="P84" s="2"/>
      <c r="Q84" s="2"/>
      <c r="R84" s="2"/>
      <c r="S84" s="2"/>
      <c r="T84" s="2"/>
      <c r="U84" s="2"/>
      <c r="V84" s="2"/>
      <c r="W84" s="2"/>
      <c r="X84" s="2"/>
      <c r="Y84" s="2"/>
    </row>
    <row r="85" ht="15.75" customHeight="1">
      <c r="A85" s="3"/>
      <c r="B85" s="3"/>
      <c r="C85" s="3"/>
      <c r="D85" s="2"/>
      <c r="E85" s="3"/>
      <c r="F85" s="2"/>
      <c r="G85" s="2"/>
      <c r="H85" s="2"/>
      <c r="I85" s="2"/>
      <c r="J85" s="3"/>
      <c r="K85" s="3"/>
      <c r="L85" s="2"/>
      <c r="M85" s="2"/>
      <c r="N85" s="2"/>
      <c r="O85" s="2"/>
      <c r="P85" s="2"/>
      <c r="Q85" s="2"/>
      <c r="R85" s="2"/>
      <c r="S85" s="2"/>
      <c r="T85" s="2"/>
      <c r="U85" s="2"/>
      <c r="V85" s="2"/>
      <c r="W85" s="2"/>
      <c r="X85" s="2"/>
      <c r="Y85" s="2"/>
    </row>
    <row r="86" ht="15.75" customHeight="1">
      <c r="A86" s="3"/>
      <c r="B86" s="3"/>
      <c r="C86" s="3"/>
      <c r="D86" s="2"/>
      <c r="E86" s="3"/>
      <c r="F86" s="2"/>
      <c r="G86" s="2"/>
      <c r="H86" s="2"/>
      <c r="I86" s="2"/>
      <c r="J86" s="3"/>
      <c r="K86" s="3"/>
      <c r="L86" s="2"/>
      <c r="M86" s="2"/>
      <c r="N86" s="2"/>
      <c r="O86" s="2"/>
      <c r="P86" s="2"/>
      <c r="Q86" s="2"/>
      <c r="R86" s="2"/>
      <c r="S86" s="2"/>
      <c r="T86" s="2"/>
      <c r="U86" s="2"/>
      <c r="V86" s="2"/>
      <c r="W86" s="2"/>
      <c r="X86" s="2"/>
      <c r="Y86" s="2"/>
    </row>
    <row r="87" ht="15.75" customHeight="1">
      <c r="A87" s="3"/>
      <c r="B87" s="3"/>
      <c r="C87" s="3"/>
      <c r="D87" s="2"/>
      <c r="E87" s="3"/>
      <c r="F87" s="2"/>
      <c r="G87" s="2"/>
      <c r="H87" s="2"/>
      <c r="I87" s="2"/>
      <c r="J87" s="3"/>
      <c r="K87" s="3"/>
      <c r="L87" s="2"/>
      <c r="M87" s="2"/>
      <c r="N87" s="2"/>
      <c r="O87" s="2"/>
      <c r="P87" s="2"/>
      <c r="Q87" s="2"/>
      <c r="R87" s="2"/>
      <c r="S87" s="2"/>
      <c r="T87" s="2"/>
      <c r="U87" s="2"/>
      <c r="V87" s="2"/>
      <c r="W87" s="2"/>
      <c r="X87" s="2"/>
      <c r="Y87" s="2"/>
    </row>
    <row r="88" ht="15.75" customHeight="1">
      <c r="A88" s="3"/>
      <c r="B88" s="3"/>
      <c r="C88" s="3"/>
      <c r="D88" s="2"/>
      <c r="E88" s="3"/>
      <c r="F88" s="2"/>
      <c r="G88" s="2"/>
      <c r="H88" s="2"/>
      <c r="I88" s="2"/>
      <c r="J88" s="3"/>
      <c r="K88" s="3"/>
      <c r="L88" s="2"/>
      <c r="M88" s="2"/>
      <c r="N88" s="2"/>
      <c r="O88" s="2"/>
      <c r="P88" s="2"/>
      <c r="Q88" s="2"/>
      <c r="R88" s="2"/>
      <c r="S88" s="2"/>
      <c r="T88" s="2"/>
      <c r="U88" s="2"/>
      <c r="V88" s="2"/>
      <c r="W88" s="2"/>
      <c r="X88" s="2"/>
      <c r="Y88" s="2"/>
    </row>
    <row r="89" ht="15.75" customHeight="1">
      <c r="A89" s="3"/>
      <c r="B89" s="3"/>
      <c r="C89" s="3"/>
      <c r="D89" s="2"/>
      <c r="E89" s="3"/>
      <c r="F89" s="2"/>
      <c r="G89" s="2"/>
      <c r="H89" s="2"/>
      <c r="I89" s="2"/>
      <c r="J89" s="3"/>
      <c r="K89" s="3"/>
      <c r="L89" s="2"/>
      <c r="M89" s="2"/>
      <c r="N89" s="2"/>
      <c r="O89" s="2"/>
      <c r="P89" s="2"/>
      <c r="Q89" s="2"/>
      <c r="R89" s="2"/>
      <c r="S89" s="2"/>
      <c r="T89" s="2"/>
      <c r="U89" s="2"/>
      <c r="V89" s="2"/>
      <c r="W89" s="2"/>
      <c r="X89" s="2"/>
      <c r="Y89" s="2"/>
    </row>
    <row r="90" ht="15.75" customHeight="1">
      <c r="A90" s="3"/>
      <c r="B90" s="3"/>
      <c r="C90" s="3"/>
      <c r="D90" s="2"/>
      <c r="E90" s="3"/>
      <c r="F90" s="2"/>
      <c r="G90" s="2"/>
      <c r="H90" s="2"/>
      <c r="I90" s="2"/>
      <c r="J90" s="3"/>
      <c r="K90" s="3"/>
      <c r="L90" s="2"/>
      <c r="M90" s="2"/>
      <c r="N90" s="2"/>
      <c r="O90" s="2"/>
      <c r="P90" s="2"/>
      <c r="Q90" s="2"/>
      <c r="R90" s="2"/>
      <c r="S90" s="2"/>
      <c r="T90" s="2"/>
      <c r="U90" s="2"/>
      <c r="V90" s="2"/>
      <c r="W90" s="2"/>
      <c r="X90" s="2"/>
      <c r="Y90" s="2"/>
    </row>
    <row r="91" ht="15.75" customHeight="1">
      <c r="A91" s="3"/>
      <c r="B91" s="3"/>
      <c r="C91" s="3"/>
      <c r="D91" s="2"/>
      <c r="E91" s="3"/>
      <c r="F91" s="2"/>
      <c r="G91" s="2"/>
      <c r="H91" s="2"/>
      <c r="I91" s="2"/>
      <c r="J91" s="3"/>
      <c r="K91" s="3"/>
      <c r="L91" s="2"/>
      <c r="M91" s="2"/>
      <c r="N91" s="2"/>
      <c r="O91" s="2"/>
      <c r="P91" s="2"/>
      <c r="Q91" s="2"/>
      <c r="R91" s="2"/>
      <c r="S91" s="2"/>
      <c r="T91" s="2"/>
      <c r="U91" s="2"/>
      <c r="V91" s="2"/>
      <c r="W91" s="2"/>
      <c r="X91" s="2"/>
      <c r="Y91" s="2"/>
    </row>
    <row r="92" ht="15.75" customHeight="1">
      <c r="A92" s="3"/>
      <c r="B92" s="3"/>
      <c r="C92" s="3"/>
      <c r="D92" s="2"/>
      <c r="E92" s="3"/>
      <c r="F92" s="2"/>
      <c r="G92" s="2"/>
      <c r="H92" s="2"/>
      <c r="I92" s="2"/>
      <c r="J92" s="3"/>
      <c r="K92" s="3"/>
      <c r="L92" s="2"/>
      <c r="M92" s="2"/>
      <c r="N92" s="2"/>
      <c r="O92" s="2"/>
      <c r="P92" s="2"/>
      <c r="Q92" s="2"/>
      <c r="R92" s="2"/>
      <c r="S92" s="2"/>
      <c r="T92" s="2"/>
      <c r="U92" s="2"/>
      <c r="V92" s="2"/>
      <c r="W92" s="2"/>
      <c r="X92" s="2"/>
      <c r="Y92" s="2"/>
    </row>
    <row r="93" ht="15.75" customHeight="1">
      <c r="A93" s="3"/>
      <c r="B93" s="3"/>
      <c r="C93" s="3"/>
      <c r="D93" s="2"/>
      <c r="E93" s="3"/>
      <c r="F93" s="2"/>
      <c r="G93" s="2"/>
      <c r="H93" s="2"/>
      <c r="I93" s="2"/>
      <c r="J93" s="3"/>
      <c r="K93" s="3"/>
      <c r="L93" s="2"/>
      <c r="M93" s="2"/>
      <c r="N93" s="2"/>
      <c r="O93" s="2"/>
      <c r="P93" s="2"/>
      <c r="Q93" s="2"/>
      <c r="R93" s="2"/>
      <c r="S93" s="2"/>
      <c r="T93" s="2"/>
      <c r="U93" s="2"/>
      <c r="V93" s="2"/>
      <c r="W93" s="2"/>
      <c r="X93" s="2"/>
      <c r="Y93" s="2"/>
    </row>
    <row r="94" ht="15.75" customHeight="1">
      <c r="A94" s="3"/>
      <c r="B94" s="3"/>
      <c r="C94" s="3"/>
      <c r="D94" s="2"/>
      <c r="E94" s="3"/>
      <c r="F94" s="2"/>
      <c r="G94" s="2"/>
      <c r="H94" s="2"/>
      <c r="I94" s="2"/>
      <c r="J94" s="3"/>
      <c r="K94" s="3"/>
      <c r="L94" s="2"/>
      <c r="M94" s="2"/>
      <c r="N94" s="2"/>
      <c r="O94" s="2"/>
      <c r="P94" s="2"/>
      <c r="Q94" s="2"/>
      <c r="R94" s="2"/>
      <c r="S94" s="2"/>
      <c r="T94" s="2"/>
      <c r="U94" s="2"/>
      <c r="V94" s="2"/>
      <c r="W94" s="2"/>
      <c r="X94" s="2"/>
      <c r="Y94" s="2"/>
    </row>
    <row r="95" ht="15.75" customHeight="1">
      <c r="A95" s="3"/>
      <c r="B95" s="3"/>
      <c r="C95" s="3"/>
      <c r="D95" s="2"/>
      <c r="E95" s="3"/>
      <c r="F95" s="2"/>
      <c r="G95" s="2"/>
      <c r="H95" s="2"/>
      <c r="I95" s="2"/>
      <c r="J95" s="3"/>
      <c r="K95" s="3"/>
      <c r="L95" s="2"/>
      <c r="M95" s="2"/>
      <c r="N95" s="2"/>
      <c r="O95" s="2"/>
      <c r="P95" s="2"/>
      <c r="Q95" s="2"/>
      <c r="R95" s="2"/>
      <c r="S95" s="2"/>
      <c r="T95" s="2"/>
      <c r="U95" s="2"/>
      <c r="V95" s="2"/>
      <c r="W95" s="2"/>
      <c r="X95" s="2"/>
      <c r="Y95" s="2"/>
    </row>
    <row r="96" ht="15.75" customHeight="1">
      <c r="A96" s="3"/>
      <c r="B96" s="3"/>
      <c r="C96" s="3"/>
      <c r="D96" s="2"/>
      <c r="E96" s="3"/>
      <c r="F96" s="2"/>
      <c r="G96" s="2"/>
      <c r="H96" s="2"/>
      <c r="I96" s="2"/>
      <c r="J96" s="3"/>
      <c r="K96" s="3"/>
      <c r="L96" s="2"/>
      <c r="M96" s="2"/>
      <c r="N96" s="2"/>
      <c r="O96" s="2"/>
      <c r="P96" s="2"/>
      <c r="Q96" s="2"/>
      <c r="R96" s="2"/>
      <c r="S96" s="2"/>
      <c r="T96" s="2"/>
      <c r="U96" s="2"/>
      <c r="V96" s="2"/>
      <c r="W96" s="2"/>
      <c r="X96" s="2"/>
      <c r="Y96" s="2"/>
    </row>
    <row r="97" ht="15.75" customHeight="1">
      <c r="A97" s="3"/>
      <c r="B97" s="3"/>
      <c r="C97" s="3"/>
      <c r="D97" s="2"/>
      <c r="E97" s="3"/>
      <c r="F97" s="2"/>
      <c r="G97" s="2"/>
      <c r="H97" s="2"/>
      <c r="I97" s="2"/>
      <c r="J97" s="3"/>
      <c r="K97" s="3"/>
      <c r="L97" s="2"/>
      <c r="M97" s="2"/>
      <c r="N97" s="2"/>
      <c r="O97" s="2"/>
      <c r="P97" s="2"/>
      <c r="Q97" s="2"/>
      <c r="R97" s="2"/>
      <c r="S97" s="2"/>
      <c r="T97" s="2"/>
      <c r="U97" s="2"/>
      <c r="V97" s="2"/>
      <c r="W97" s="2"/>
      <c r="X97" s="2"/>
      <c r="Y97" s="2"/>
    </row>
    <row r="98" ht="15.75" customHeight="1">
      <c r="A98" s="3"/>
      <c r="B98" s="3"/>
      <c r="C98" s="3"/>
      <c r="D98" s="2"/>
      <c r="E98" s="3"/>
      <c r="F98" s="2"/>
      <c r="G98" s="2"/>
      <c r="H98" s="2"/>
      <c r="I98" s="2"/>
      <c r="J98" s="3"/>
      <c r="K98" s="3"/>
      <c r="L98" s="2"/>
      <c r="M98" s="2"/>
      <c r="N98" s="2"/>
      <c r="O98" s="2"/>
      <c r="P98" s="2"/>
      <c r="Q98" s="2"/>
      <c r="R98" s="2"/>
      <c r="S98" s="2"/>
      <c r="T98" s="2"/>
      <c r="U98" s="2"/>
      <c r="V98" s="2"/>
      <c r="W98" s="2"/>
      <c r="X98" s="2"/>
      <c r="Y98" s="2"/>
    </row>
    <row r="99" ht="15.75" customHeight="1">
      <c r="A99" s="3"/>
      <c r="B99" s="3"/>
      <c r="C99" s="3"/>
      <c r="D99" s="2"/>
      <c r="E99" s="3"/>
      <c r="F99" s="2"/>
      <c r="G99" s="2"/>
      <c r="H99" s="2"/>
      <c r="I99" s="2"/>
      <c r="J99" s="3"/>
      <c r="K99" s="3"/>
      <c r="L99" s="2"/>
      <c r="M99" s="2"/>
      <c r="N99" s="2"/>
      <c r="O99" s="2"/>
      <c r="P99" s="2"/>
      <c r="Q99" s="2"/>
      <c r="R99" s="2"/>
      <c r="S99" s="2"/>
      <c r="T99" s="2"/>
      <c r="U99" s="2"/>
      <c r="V99" s="2"/>
      <c r="W99" s="2"/>
      <c r="X99" s="2"/>
      <c r="Y99" s="2"/>
    </row>
    <row r="100" ht="15.75" customHeight="1">
      <c r="A100" s="3"/>
      <c r="B100" s="3"/>
      <c r="C100" s="3"/>
      <c r="D100" s="2"/>
      <c r="E100" s="3"/>
      <c r="F100" s="2"/>
      <c r="G100" s="2"/>
      <c r="H100" s="2"/>
      <c r="I100" s="2"/>
      <c r="J100" s="3"/>
      <c r="K100" s="3"/>
      <c r="L100" s="2"/>
      <c r="M100" s="2"/>
      <c r="N100" s="2"/>
      <c r="O100" s="2"/>
      <c r="P100" s="2"/>
      <c r="Q100" s="2"/>
      <c r="R100" s="2"/>
      <c r="S100" s="2"/>
      <c r="T100" s="2"/>
      <c r="U100" s="2"/>
      <c r="V100" s="2"/>
      <c r="W100" s="2"/>
      <c r="X100" s="2"/>
      <c r="Y100" s="2"/>
    </row>
    <row r="101" ht="15.75" customHeight="1">
      <c r="A101" s="3"/>
      <c r="B101" s="3"/>
      <c r="C101" s="3"/>
      <c r="D101" s="2"/>
      <c r="E101" s="3"/>
      <c r="F101" s="2"/>
      <c r="G101" s="2"/>
      <c r="H101" s="2"/>
      <c r="I101" s="2"/>
      <c r="J101" s="3"/>
      <c r="K101" s="3"/>
      <c r="L101" s="2"/>
      <c r="M101" s="2"/>
      <c r="N101" s="2"/>
      <c r="O101" s="2"/>
      <c r="P101" s="2"/>
      <c r="Q101" s="2"/>
      <c r="R101" s="2"/>
      <c r="S101" s="2"/>
      <c r="T101" s="2"/>
      <c r="U101" s="2"/>
      <c r="V101" s="2"/>
      <c r="W101" s="2"/>
      <c r="X101" s="2"/>
      <c r="Y101" s="2"/>
    </row>
    <row r="102" ht="15.75" customHeight="1">
      <c r="A102" s="3"/>
      <c r="B102" s="3"/>
      <c r="C102" s="3"/>
      <c r="D102" s="2"/>
      <c r="E102" s="3"/>
      <c r="F102" s="2"/>
      <c r="G102" s="2"/>
      <c r="H102" s="2"/>
      <c r="I102" s="2"/>
      <c r="J102" s="3"/>
      <c r="K102" s="3"/>
      <c r="L102" s="2"/>
      <c r="M102" s="2"/>
      <c r="N102" s="2"/>
      <c r="O102" s="2"/>
      <c r="P102" s="2"/>
      <c r="Q102" s="2"/>
      <c r="R102" s="2"/>
      <c r="S102" s="2"/>
      <c r="T102" s="2"/>
      <c r="U102" s="2"/>
      <c r="V102" s="2"/>
      <c r="W102" s="2"/>
      <c r="X102" s="2"/>
      <c r="Y102" s="2"/>
    </row>
    <row r="103" ht="15.75" customHeight="1">
      <c r="A103" s="3"/>
      <c r="B103" s="3"/>
      <c r="C103" s="3"/>
      <c r="D103" s="2"/>
      <c r="E103" s="3"/>
      <c r="F103" s="2"/>
      <c r="G103" s="2"/>
      <c r="H103" s="2"/>
      <c r="I103" s="2"/>
      <c r="J103" s="3"/>
      <c r="K103" s="3"/>
      <c r="L103" s="2"/>
      <c r="M103" s="2"/>
      <c r="N103" s="2"/>
      <c r="O103" s="2"/>
      <c r="P103" s="2"/>
      <c r="Q103" s="2"/>
      <c r="R103" s="2"/>
      <c r="S103" s="2"/>
      <c r="T103" s="2"/>
      <c r="U103" s="2"/>
      <c r="V103" s="2"/>
      <c r="W103" s="2"/>
      <c r="X103" s="2"/>
      <c r="Y103" s="2"/>
    </row>
    <row r="104" ht="15.75" customHeight="1">
      <c r="A104" s="3"/>
      <c r="B104" s="3"/>
      <c r="C104" s="3"/>
      <c r="D104" s="2"/>
      <c r="E104" s="3"/>
      <c r="F104" s="2"/>
      <c r="G104" s="2"/>
      <c r="H104" s="2"/>
      <c r="I104" s="2"/>
      <c r="J104" s="3"/>
      <c r="K104" s="3"/>
      <c r="L104" s="2"/>
      <c r="M104" s="2"/>
      <c r="N104" s="2"/>
      <c r="O104" s="2"/>
      <c r="P104" s="2"/>
      <c r="Q104" s="2"/>
      <c r="R104" s="2"/>
      <c r="S104" s="2"/>
      <c r="T104" s="2"/>
      <c r="U104" s="2"/>
      <c r="V104" s="2"/>
      <c r="W104" s="2"/>
      <c r="X104" s="2"/>
      <c r="Y104" s="2"/>
    </row>
    <row r="105" ht="15.75" customHeight="1">
      <c r="A105" s="3"/>
      <c r="B105" s="3"/>
      <c r="C105" s="3"/>
      <c r="D105" s="2"/>
      <c r="E105" s="3"/>
      <c r="F105" s="2"/>
      <c r="G105" s="2"/>
      <c r="H105" s="2"/>
      <c r="I105" s="2"/>
      <c r="J105" s="3"/>
      <c r="K105" s="3"/>
      <c r="L105" s="2"/>
      <c r="M105" s="2"/>
      <c r="N105" s="2"/>
      <c r="O105" s="2"/>
      <c r="P105" s="2"/>
      <c r="Q105" s="2"/>
      <c r="R105" s="2"/>
      <c r="S105" s="2"/>
      <c r="T105" s="2"/>
      <c r="U105" s="2"/>
      <c r="V105" s="2"/>
      <c r="W105" s="2"/>
      <c r="X105" s="2"/>
      <c r="Y105" s="2"/>
    </row>
    <row r="106" ht="15.75" customHeight="1">
      <c r="A106" s="3"/>
      <c r="B106" s="3"/>
      <c r="C106" s="3"/>
      <c r="D106" s="2"/>
      <c r="E106" s="3"/>
      <c r="F106" s="2"/>
      <c r="G106" s="2"/>
      <c r="H106" s="2"/>
      <c r="I106" s="2"/>
      <c r="J106" s="3"/>
      <c r="K106" s="3"/>
      <c r="L106" s="2"/>
      <c r="M106" s="2"/>
      <c r="N106" s="2"/>
      <c r="O106" s="2"/>
      <c r="P106" s="2"/>
      <c r="Q106" s="2"/>
      <c r="R106" s="2"/>
      <c r="S106" s="2"/>
      <c r="T106" s="2"/>
      <c r="U106" s="2"/>
      <c r="V106" s="2"/>
      <c r="W106" s="2"/>
      <c r="X106" s="2"/>
      <c r="Y106" s="2"/>
    </row>
    <row r="107" ht="15.75" customHeight="1">
      <c r="A107" s="3"/>
      <c r="B107" s="3"/>
      <c r="C107" s="3"/>
      <c r="D107" s="2"/>
      <c r="E107" s="3"/>
      <c r="F107" s="2"/>
      <c r="G107" s="2"/>
      <c r="H107" s="2"/>
      <c r="I107" s="2"/>
      <c r="J107" s="3"/>
      <c r="K107" s="3"/>
      <c r="L107" s="2"/>
      <c r="M107" s="2"/>
      <c r="N107" s="2"/>
      <c r="O107" s="2"/>
      <c r="P107" s="2"/>
      <c r="Q107" s="2"/>
      <c r="R107" s="2"/>
      <c r="S107" s="2"/>
      <c r="T107" s="2"/>
      <c r="U107" s="2"/>
      <c r="V107" s="2"/>
      <c r="W107" s="2"/>
      <c r="X107" s="2"/>
      <c r="Y107" s="2"/>
    </row>
    <row r="108" ht="15.75" customHeight="1">
      <c r="A108" s="3"/>
      <c r="B108" s="3"/>
      <c r="C108" s="3"/>
      <c r="D108" s="2"/>
      <c r="E108" s="3"/>
      <c r="F108" s="2"/>
      <c r="G108" s="2"/>
      <c r="H108" s="2"/>
      <c r="I108" s="2"/>
      <c r="J108" s="3"/>
      <c r="K108" s="3"/>
      <c r="L108" s="2"/>
      <c r="M108" s="2"/>
      <c r="N108" s="2"/>
      <c r="O108" s="2"/>
      <c r="P108" s="2"/>
      <c r="Q108" s="2"/>
      <c r="R108" s="2"/>
      <c r="S108" s="2"/>
      <c r="T108" s="2"/>
      <c r="U108" s="2"/>
      <c r="V108" s="2"/>
      <c r="W108" s="2"/>
      <c r="X108" s="2"/>
      <c r="Y108" s="2"/>
    </row>
    <row r="109" ht="15.75" customHeight="1">
      <c r="A109" s="3"/>
      <c r="B109" s="3"/>
      <c r="C109" s="3"/>
      <c r="D109" s="2"/>
      <c r="E109" s="3"/>
      <c r="F109" s="2"/>
      <c r="G109" s="2"/>
      <c r="H109" s="2"/>
      <c r="I109" s="2"/>
      <c r="J109" s="3"/>
      <c r="K109" s="3"/>
      <c r="L109" s="2"/>
      <c r="M109" s="2"/>
      <c r="N109" s="2"/>
      <c r="O109" s="2"/>
      <c r="P109" s="2"/>
      <c r="Q109" s="2"/>
      <c r="R109" s="2"/>
      <c r="S109" s="2"/>
      <c r="T109" s="2"/>
      <c r="U109" s="2"/>
      <c r="V109" s="2"/>
      <c r="W109" s="2"/>
      <c r="X109" s="2"/>
      <c r="Y109" s="2"/>
    </row>
    <row r="110" ht="15.75" customHeight="1">
      <c r="A110" s="3"/>
      <c r="B110" s="3"/>
      <c r="C110" s="3"/>
      <c r="D110" s="2"/>
      <c r="E110" s="3"/>
      <c r="F110" s="2"/>
      <c r="G110" s="2"/>
      <c r="H110" s="2"/>
      <c r="I110" s="2"/>
      <c r="J110" s="3"/>
      <c r="K110" s="3"/>
      <c r="L110" s="2"/>
      <c r="M110" s="2"/>
      <c r="N110" s="2"/>
      <c r="O110" s="2"/>
      <c r="P110" s="2"/>
      <c r="Q110" s="2"/>
      <c r="R110" s="2"/>
      <c r="S110" s="2"/>
      <c r="T110" s="2"/>
      <c r="U110" s="2"/>
      <c r="V110" s="2"/>
      <c r="W110" s="2"/>
      <c r="X110" s="2"/>
      <c r="Y110" s="2"/>
    </row>
    <row r="111" ht="15.75" customHeight="1">
      <c r="A111" s="3"/>
      <c r="B111" s="3"/>
      <c r="C111" s="3"/>
      <c r="D111" s="2"/>
      <c r="E111" s="3"/>
      <c r="F111" s="2"/>
      <c r="G111" s="2"/>
      <c r="H111" s="2"/>
      <c r="I111" s="2"/>
      <c r="J111" s="3"/>
      <c r="K111" s="3"/>
      <c r="L111" s="2"/>
      <c r="M111" s="2"/>
      <c r="N111" s="2"/>
      <c r="O111" s="2"/>
      <c r="P111" s="2"/>
      <c r="Q111" s="2"/>
      <c r="R111" s="2"/>
      <c r="S111" s="2"/>
      <c r="T111" s="2"/>
      <c r="U111" s="2"/>
      <c r="V111" s="2"/>
      <c r="W111" s="2"/>
      <c r="X111" s="2"/>
      <c r="Y111" s="2"/>
    </row>
    <row r="112" ht="15.75" customHeight="1">
      <c r="A112" s="3"/>
      <c r="B112" s="3"/>
      <c r="C112" s="3"/>
      <c r="D112" s="2"/>
      <c r="E112" s="3"/>
      <c r="F112" s="2"/>
      <c r="G112" s="2"/>
      <c r="H112" s="2"/>
      <c r="I112" s="2"/>
      <c r="J112" s="3"/>
      <c r="K112" s="3"/>
      <c r="L112" s="2"/>
      <c r="M112" s="2"/>
      <c r="N112" s="2"/>
      <c r="O112" s="2"/>
      <c r="P112" s="2"/>
      <c r="Q112" s="2"/>
      <c r="R112" s="2"/>
      <c r="S112" s="2"/>
      <c r="T112" s="2"/>
      <c r="U112" s="2"/>
      <c r="V112" s="2"/>
      <c r="W112" s="2"/>
      <c r="X112" s="2"/>
      <c r="Y112" s="2"/>
    </row>
    <row r="113" ht="15.75" customHeight="1">
      <c r="A113" s="3"/>
      <c r="B113" s="3"/>
      <c r="C113" s="3"/>
      <c r="D113" s="2"/>
      <c r="E113" s="3"/>
      <c r="F113" s="2"/>
      <c r="G113" s="2"/>
      <c r="H113" s="2"/>
      <c r="I113" s="2"/>
      <c r="J113" s="3"/>
      <c r="K113" s="3"/>
      <c r="L113" s="2"/>
      <c r="M113" s="2"/>
      <c r="N113" s="2"/>
      <c r="O113" s="2"/>
      <c r="P113" s="2"/>
      <c r="Q113" s="2"/>
      <c r="R113" s="2"/>
      <c r="S113" s="2"/>
      <c r="T113" s="2"/>
      <c r="U113" s="2"/>
      <c r="V113" s="2"/>
      <c r="W113" s="2"/>
      <c r="X113" s="2"/>
      <c r="Y113" s="2"/>
    </row>
    <row r="114" ht="15.75" customHeight="1">
      <c r="A114" s="3"/>
      <c r="B114" s="3"/>
      <c r="C114" s="3"/>
      <c r="D114" s="2"/>
      <c r="E114" s="3"/>
      <c r="F114" s="2"/>
      <c r="G114" s="2"/>
      <c r="H114" s="2"/>
      <c r="I114" s="2"/>
      <c r="J114" s="3"/>
      <c r="K114" s="3"/>
      <c r="L114" s="2"/>
      <c r="M114" s="2"/>
      <c r="N114" s="2"/>
      <c r="O114" s="2"/>
      <c r="P114" s="2"/>
      <c r="Q114" s="2"/>
      <c r="R114" s="2"/>
      <c r="S114" s="2"/>
      <c r="T114" s="2"/>
      <c r="U114" s="2"/>
      <c r="V114" s="2"/>
      <c r="W114" s="2"/>
      <c r="X114" s="2"/>
      <c r="Y114" s="2"/>
    </row>
    <row r="115" ht="15.75" customHeight="1">
      <c r="A115" s="3"/>
      <c r="B115" s="3"/>
      <c r="C115" s="3"/>
      <c r="D115" s="2"/>
      <c r="E115" s="3"/>
      <c r="F115" s="2"/>
      <c r="G115" s="2"/>
      <c r="H115" s="2"/>
      <c r="I115" s="2"/>
      <c r="J115" s="3"/>
      <c r="K115" s="3"/>
      <c r="L115" s="2"/>
      <c r="M115" s="2"/>
      <c r="N115" s="2"/>
      <c r="O115" s="2"/>
      <c r="P115" s="2"/>
      <c r="Q115" s="2"/>
      <c r="R115" s="2"/>
      <c r="S115" s="2"/>
      <c r="T115" s="2"/>
      <c r="U115" s="2"/>
      <c r="V115" s="2"/>
      <c r="W115" s="2"/>
      <c r="X115" s="2"/>
      <c r="Y115" s="2"/>
    </row>
    <row r="116" ht="15.75" customHeight="1">
      <c r="A116" s="3"/>
      <c r="B116" s="3"/>
      <c r="C116" s="3"/>
      <c r="D116" s="2"/>
      <c r="E116" s="3"/>
      <c r="F116" s="2"/>
      <c r="G116" s="2"/>
      <c r="H116" s="2"/>
      <c r="I116" s="2"/>
      <c r="J116" s="3"/>
      <c r="K116" s="3"/>
      <c r="L116" s="2"/>
      <c r="M116" s="2"/>
      <c r="N116" s="2"/>
      <c r="O116" s="2"/>
      <c r="P116" s="2"/>
      <c r="Q116" s="2"/>
      <c r="R116" s="2"/>
      <c r="S116" s="2"/>
      <c r="T116" s="2"/>
      <c r="U116" s="2"/>
      <c r="V116" s="2"/>
      <c r="W116" s="2"/>
      <c r="X116" s="2"/>
      <c r="Y116" s="2"/>
    </row>
    <row r="117" ht="15.75" customHeight="1">
      <c r="A117" s="3"/>
      <c r="B117" s="3"/>
      <c r="C117" s="3"/>
      <c r="D117" s="2"/>
      <c r="E117" s="3"/>
      <c r="F117" s="2"/>
      <c r="G117" s="2"/>
      <c r="H117" s="2"/>
      <c r="I117" s="2"/>
      <c r="J117" s="3"/>
      <c r="K117" s="3"/>
      <c r="L117" s="2"/>
      <c r="M117" s="2"/>
      <c r="N117" s="2"/>
      <c r="O117" s="2"/>
      <c r="P117" s="2"/>
      <c r="Q117" s="2"/>
      <c r="R117" s="2"/>
      <c r="S117" s="2"/>
      <c r="T117" s="2"/>
      <c r="U117" s="2"/>
      <c r="V117" s="2"/>
      <c r="W117" s="2"/>
      <c r="X117" s="2"/>
      <c r="Y117" s="2"/>
    </row>
    <row r="118" ht="15.75" customHeight="1">
      <c r="A118" s="3"/>
      <c r="B118" s="3"/>
      <c r="C118" s="3"/>
      <c r="D118" s="2"/>
      <c r="E118" s="3"/>
      <c r="F118" s="2"/>
      <c r="G118" s="2"/>
      <c r="H118" s="2"/>
      <c r="I118" s="2"/>
      <c r="J118" s="3"/>
      <c r="K118" s="3"/>
      <c r="L118" s="2"/>
      <c r="M118" s="2"/>
      <c r="N118" s="2"/>
      <c r="O118" s="2"/>
      <c r="P118" s="2"/>
      <c r="Q118" s="2"/>
      <c r="R118" s="2"/>
      <c r="S118" s="2"/>
      <c r="T118" s="2"/>
      <c r="U118" s="2"/>
      <c r="V118" s="2"/>
      <c r="W118" s="2"/>
      <c r="X118" s="2"/>
      <c r="Y118" s="2"/>
    </row>
    <row r="119" ht="15.75" customHeight="1">
      <c r="A119" s="3"/>
      <c r="B119" s="3"/>
      <c r="C119" s="3"/>
      <c r="D119" s="2"/>
      <c r="E119" s="3"/>
      <c r="F119" s="2"/>
      <c r="G119" s="2"/>
      <c r="H119" s="2"/>
      <c r="I119" s="2"/>
      <c r="J119" s="3"/>
      <c r="K119" s="3"/>
      <c r="L119" s="2"/>
      <c r="M119" s="2"/>
      <c r="N119" s="2"/>
      <c r="O119" s="2"/>
      <c r="P119" s="2"/>
      <c r="Q119" s="2"/>
      <c r="R119" s="2"/>
      <c r="S119" s="2"/>
      <c r="T119" s="2"/>
      <c r="U119" s="2"/>
      <c r="V119" s="2"/>
      <c r="W119" s="2"/>
      <c r="X119" s="2"/>
      <c r="Y119" s="2"/>
    </row>
    <row r="120" ht="15.75" customHeight="1">
      <c r="A120" s="3"/>
      <c r="B120" s="3"/>
      <c r="C120" s="3"/>
      <c r="D120" s="2"/>
      <c r="E120" s="3"/>
      <c r="F120" s="2"/>
      <c r="G120" s="2"/>
      <c r="H120" s="2"/>
      <c r="I120" s="2"/>
      <c r="J120" s="3"/>
      <c r="K120" s="3"/>
      <c r="L120" s="2"/>
      <c r="M120" s="2"/>
      <c r="N120" s="2"/>
      <c r="O120" s="2"/>
      <c r="P120" s="2"/>
      <c r="Q120" s="2"/>
      <c r="R120" s="2"/>
      <c r="S120" s="2"/>
      <c r="T120" s="2"/>
      <c r="U120" s="2"/>
      <c r="V120" s="2"/>
      <c r="W120" s="2"/>
      <c r="X120" s="2"/>
      <c r="Y120" s="2"/>
    </row>
    <row r="121" ht="15.75" customHeight="1">
      <c r="A121" s="3"/>
      <c r="B121" s="3"/>
      <c r="C121" s="3"/>
      <c r="D121" s="2"/>
      <c r="E121" s="3"/>
      <c r="F121" s="2"/>
      <c r="G121" s="2"/>
      <c r="H121" s="2"/>
      <c r="I121" s="2"/>
      <c r="J121" s="3"/>
      <c r="K121" s="3"/>
      <c r="L121" s="2"/>
      <c r="M121" s="2"/>
      <c r="N121" s="2"/>
      <c r="O121" s="2"/>
      <c r="P121" s="2"/>
      <c r="Q121" s="2"/>
      <c r="R121" s="2"/>
      <c r="S121" s="2"/>
      <c r="T121" s="2"/>
      <c r="U121" s="2"/>
      <c r="V121" s="2"/>
      <c r="W121" s="2"/>
      <c r="X121" s="2"/>
      <c r="Y121" s="2"/>
    </row>
    <row r="122" ht="15.75" customHeight="1">
      <c r="A122" s="3"/>
      <c r="B122" s="3"/>
      <c r="C122" s="3"/>
      <c r="D122" s="2"/>
      <c r="E122" s="3"/>
      <c r="F122" s="2"/>
      <c r="G122" s="2"/>
      <c r="H122" s="2"/>
      <c r="I122" s="2"/>
      <c r="J122" s="3"/>
      <c r="K122" s="3"/>
      <c r="L122" s="2"/>
      <c r="M122" s="2"/>
      <c r="N122" s="2"/>
      <c r="O122" s="2"/>
      <c r="P122" s="2"/>
      <c r="Q122" s="2"/>
      <c r="R122" s="2"/>
      <c r="S122" s="2"/>
      <c r="T122" s="2"/>
      <c r="U122" s="2"/>
      <c r="V122" s="2"/>
      <c r="W122" s="2"/>
      <c r="X122" s="2"/>
      <c r="Y122" s="2"/>
    </row>
    <row r="123" ht="15.75" customHeight="1">
      <c r="A123" s="3"/>
      <c r="B123" s="3"/>
      <c r="C123" s="3"/>
      <c r="D123" s="2"/>
      <c r="E123" s="3"/>
      <c r="F123" s="2"/>
      <c r="G123" s="2"/>
      <c r="H123" s="2"/>
      <c r="I123" s="2"/>
      <c r="J123" s="3"/>
      <c r="K123" s="3"/>
      <c r="L123" s="2"/>
      <c r="M123" s="2"/>
      <c r="N123" s="2"/>
      <c r="O123" s="2"/>
      <c r="P123" s="2"/>
      <c r="Q123" s="2"/>
      <c r="R123" s="2"/>
      <c r="S123" s="2"/>
      <c r="T123" s="2"/>
      <c r="U123" s="2"/>
      <c r="V123" s="2"/>
      <c r="W123" s="2"/>
      <c r="X123" s="2"/>
      <c r="Y123" s="2"/>
    </row>
    <row r="124" ht="15.75" customHeight="1">
      <c r="A124" s="3"/>
      <c r="B124" s="3"/>
      <c r="C124" s="3"/>
      <c r="D124" s="2"/>
      <c r="E124" s="3"/>
      <c r="F124" s="2"/>
      <c r="G124" s="2"/>
      <c r="H124" s="2"/>
      <c r="I124" s="2"/>
      <c r="J124" s="3"/>
      <c r="K124" s="3"/>
      <c r="L124" s="2"/>
      <c r="M124" s="2"/>
      <c r="N124" s="2"/>
      <c r="O124" s="2"/>
      <c r="P124" s="2"/>
      <c r="Q124" s="2"/>
      <c r="R124" s="2"/>
      <c r="S124" s="2"/>
      <c r="T124" s="2"/>
      <c r="U124" s="2"/>
      <c r="V124" s="2"/>
      <c r="W124" s="2"/>
      <c r="X124" s="2"/>
      <c r="Y124" s="2"/>
    </row>
    <row r="125" ht="15.75" customHeight="1">
      <c r="A125" s="3"/>
      <c r="B125" s="3"/>
      <c r="C125" s="3"/>
      <c r="D125" s="2"/>
      <c r="E125" s="3"/>
      <c r="F125" s="2"/>
      <c r="G125" s="2"/>
      <c r="H125" s="2"/>
      <c r="I125" s="2"/>
      <c r="J125" s="3"/>
      <c r="K125" s="3"/>
      <c r="L125" s="2"/>
      <c r="M125" s="2"/>
      <c r="N125" s="2"/>
      <c r="O125" s="2"/>
      <c r="P125" s="2"/>
      <c r="Q125" s="2"/>
      <c r="R125" s="2"/>
      <c r="S125" s="2"/>
      <c r="T125" s="2"/>
      <c r="U125" s="2"/>
      <c r="V125" s="2"/>
      <c r="W125" s="2"/>
      <c r="X125" s="2"/>
      <c r="Y125" s="2"/>
    </row>
    <row r="126" ht="15.75" customHeight="1">
      <c r="A126" s="3"/>
      <c r="B126" s="3"/>
      <c r="C126" s="3"/>
      <c r="D126" s="2"/>
      <c r="E126" s="3"/>
      <c r="F126" s="2"/>
      <c r="G126" s="2"/>
      <c r="H126" s="2"/>
      <c r="I126" s="2"/>
      <c r="J126" s="3"/>
      <c r="K126" s="3"/>
      <c r="L126" s="2"/>
      <c r="M126" s="2"/>
      <c r="N126" s="2"/>
      <c r="O126" s="2"/>
      <c r="P126" s="2"/>
      <c r="Q126" s="2"/>
      <c r="R126" s="2"/>
      <c r="S126" s="2"/>
      <c r="T126" s="2"/>
      <c r="U126" s="2"/>
      <c r="V126" s="2"/>
      <c r="W126" s="2"/>
      <c r="X126" s="2"/>
      <c r="Y126" s="2"/>
    </row>
    <row r="127" ht="15.75" customHeight="1">
      <c r="A127" s="3"/>
      <c r="B127" s="3"/>
      <c r="C127" s="3"/>
      <c r="D127" s="2"/>
      <c r="E127" s="3"/>
      <c r="F127" s="2"/>
      <c r="G127" s="2"/>
      <c r="H127" s="2"/>
      <c r="I127" s="2"/>
      <c r="J127" s="3"/>
      <c r="K127" s="3"/>
      <c r="L127" s="2"/>
      <c r="M127" s="2"/>
      <c r="N127" s="2"/>
      <c r="O127" s="2"/>
      <c r="P127" s="2"/>
      <c r="Q127" s="2"/>
      <c r="R127" s="2"/>
      <c r="S127" s="2"/>
      <c r="T127" s="2"/>
      <c r="U127" s="2"/>
      <c r="V127" s="2"/>
      <c r="W127" s="2"/>
      <c r="X127" s="2"/>
      <c r="Y127" s="2"/>
    </row>
    <row r="128" ht="15.75" customHeight="1">
      <c r="A128" s="3"/>
      <c r="B128" s="3"/>
      <c r="C128" s="3"/>
      <c r="D128" s="2"/>
      <c r="E128" s="3"/>
      <c r="F128" s="2"/>
      <c r="G128" s="2"/>
      <c r="H128" s="2"/>
      <c r="I128" s="2"/>
      <c r="J128" s="3"/>
      <c r="K128" s="3"/>
      <c r="L128" s="2"/>
      <c r="M128" s="2"/>
      <c r="N128" s="2"/>
      <c r="O128" s="2"/>
      <c r="P128" s="2"/>
      <c r="Q128" s="2"/>
      <c r="R128" s="2"/>
      <c r="S128" s="2"/>
      <c r="T128" s="2"/>
      <c r="U128" s="2"/>
      <c r="V128" s="2"/>
      <c r="W128" s="2"/>
      <c r="X128" s="2"/>
      <c r="Y128" s="2"/>
    </row>
    <row r="129" ht="15.75" customHeight="1">
      <c r="A129" s="3"/>
      <c r="B129" s="3"/>
      <c r="C129" s="3"/>
      <c r="D129" s="2"/>
      <c r="E129" s="3"/>
      <c r="F129" s="2"/>
      <c r="G129" s="2"/>
      <c r="H129" s="2"/>
      <c r="I129" s="2"/>
      <c r="J129" s="3"/>
      <c r="K129" s="3"/>
      <c r="L129" s="2"/>
      <c r="M129" s="2"/>
      <c r="N129" s="2"/>
      <c r="O129" s="2"/>
      <c r="P129" s="2"/>
      <c r="Q129" s="2"/>
      <c r="R129" s="2"/>
      <c r="S129" s="2"/>
      <c r="T129" s="2"/>
      <c r="U129" s="2"/>
      <c r="V129" s="2"/>
      <c r="W129" s="2"/>
      <c r="X129" s="2"/>
      <c r="Y129" s="2"/>
    </row>
    <row r="130" ht="15.75" customHeight="1">
      <c r="A130" s="3"/>
      <c r="B130" s="3"/>
      <c r="C130" s="3"/>
      <c r="D130" s="2"/>
      <c r="E130" s="3"/>
      <c r="F130" s="2"/>
      <c r="G130" s="2"/>
      <c r="H130" s="2"/>
      <c r="I130" s="2"/>
      <c r="J130" s="3"/>
      <c r="K130" s="3"/>
      <c r="L130" s="2"/>
      <c r="M130" s="2"/>
      <c r="N130" s="2"/>
      <c r="O130" s="2"/>
      <c r="P130" s="2"/>
      <c r="Q130" s="2"/>
      <c r="R130" s="2"/>
      <c r="S130" s="2"/>
      <c r="T130" s="2"/>
      <c r="U130" s="2"/>
      <c r="V130" s="2"/>
      <c r="W130" s="2"/>
      <c r="X130" s="2"/>
      <c r="Y130" s="2"/>
    </row>
    <row r="131" ht="15.75" customHeight="1">
      <c r="A131" s="3"/>
      <c r="B131" s="3"/>
      <c r="C131" s="3"/>
      <c r="D131" s="2"/>
      <c r="E131" s="3"/>
      <c r="F131" s="2"/>
      <c r="G131" s="2"/>
      <c r="H131" s="2"/>
      <c r="I131" s="2"/>
      <c r="J131" s="3"/>
      <c r="K131" s="3"/>
      <c r="L131" s="2"/>
      <c r="M131" s="2"/>
      <c r="N131" s="2"/>
      <c r="O131" s="2"/>
      <c r="P131" s="2"/>
      <c r="Q131" s="2"/>
      <c r="R131" s="2"/>
      <c r="S131" s="2"/>
      <c r="T131" s="2"/>
      <c r="U131" s="2"/>
      <c r="V131" s="2"/>
      <c r="W131" s="2"/>
      <c r="X131" s="2"/>
      <c r="Y131" s="2"/>
    </row>
    <row r="132" ht="15.75" customHeight="1">
      <c r="A132" s="3"/>
      <c r="B132" s="3"/>
      <c r="C132" s="3"/>
      <c r="D132" s="2"/>
      <c r="E132" s="3"/>
      <c r="F132" s="2"/>
      <c r="G132" s="2"/>
      <c r="H132" s="2"/>
      <c r="I132" s="2"/>
      <c r="J132" s="3"/>
      <c r="K132" s="3"/>
      <c r="L132" s="2"/>
      <c r="M132" s="2"/>
      <c r="N132" s="2"/>
      <c r="O132" s="2"/>
      <c r="P132" s="2"/>
      <c r="Q132" s="2"/>
      <c r="R132" s="2"/>
      <c r="S132" s="2"/>
      <c r="T132" s="2"/>
      <c r="U132" s="2"/>
      <c r="V132" s="2"/>
      <c r="W132" s="2"/>
      <c r="X132" s="2"/>
      <c r="Y132" s="2"/>
    </row>
    <row r="133" ht="15.75" customHeight="1">
      <c r="A133" s="3"/>
      <c r="B133" s="3"/>
      <c r="C133" s="3"/>
      <c r="D133" s="2"/>
      <c r="E133" s="3"/>
      <c r="F133" s="2"/>
      <c r="G133" s="2"/>
      <c r="H133" s="2"/>
      <c r="I133" s="2"/>
      <c r="J133" s="3"/>
      <c r="K133" s="3"/>
      <c r="L133" s="2"/>
      <c r="M133" s="2"/>
      <c r="N133" s="2"/>
      <c r="O133" s="2"/>
      <c r="P133" s="2"/>
      <c r="Q133" s="2"/>
      <c r="R133" s="2"/>
      <c r="S133" s="2"/>
      <c r="T133" s="2"/>
      <c r="U133" s="2"/>
      <c r="V133" s="2"/>
      <c r="W133" s="2"/>
      <c r="X133" s="2"/>
      <c r="Y133" s="2"/>
    </row>
    <row r="134" ht="15.75" customHeight="1">
      <c r="A134" s="3"/>
      <c r="B134" s="3"/>
      <c r="C134" s="3"/>
      <c r="D134" s="2"/>
      <c r="E134" s="3"/>
      <c r="F134" s="2"/>
      <c r="G134" s="2"/>
      <c r="H134" s="2"/>
      <c r="I134" s="2"/>
      <c r="J134" s="3"/>
      <c r="K134" s="3"/>
      <c r="L134" s="2"/>
      <c r="M134" s="2"/>
      <c r="N134" s="2"/>
      <c r="O134" s="2"/>
      <c r="P134" s="2"/>
      <c r="Q134" s="2"/>
      <c r="R134" s="2"/>
      <c r="S134" s="2"/>
      <c r="T134" s="2"/>
      <c r="U134" s="2"/>
      <c r="V134" s="2"/>
      <c r="W134" s="2"/>
      <c r="X134" s="2"/>
      <c r="Y134" s="2"/>
    </row>
    <row r="135" ht="15.75" customHeight="1">
      <c r="A135" s="3"/>
      <c r="B135" s="3"/>
      <c r="C135" s="3"/>
      <c r="D135" s="2"/>
      <c r="E135" s="3"/>
      <c r="F135" s="2"/>
      <c r="G135" s="2"/>
      <c r="H135" s="2"/>
      <c r="I135" s="2"/>
      <c r="J135" s="3"/>
      <c r="K135" s="3"/>
      <c r="L135" s="2"/>
      <c r="M135" s="2"/>
      <c r="N135" s="2"/>
      <c r="O135" s="2"/>
      <c r="P135" s="2"/>
      <c r="Q135" s="2"/>
      <c r="R135" s="2"/>
      <c r="S135" s="2"/>
      <c r="T135" s="2"/>
      <c r="U135" s="2"/>
      <c r="V135" s="2"/>
      <c r="W135" s="2"/>
      <c r="X135" s="2"/>
      <c r="Y135" s="2"/>
    </row>
    <row r="136" ht="15.75" customHeight="1">
      <c r="A136" s="3"/>
      <c r="B136" s="3"/>
      <c r="C136" s="3"/>
      <c r="D136" s="2"/>
      <c r="E136" s="3"/>
      <c r="F136" s="2"/>
      <c r="G136" s="2"/>
      <c r="H136" s="2"/>
      <c r="I136" s="2"/>
      <c r="J136" s="3"/>
      <c r="K136" s="3"/>
      <c r="L136" s="2"/>
      <c r="M136" s="2"/>
      <c r="N136" s="2"/>
      <c r="O136" s="2"/>
      <c r="P136" s="2"/>
      <c r="Q136" s="2"/>
      <c r="R136" s="2"/>
      <c r="S136" s="2"/>
      <c r="T136" s="2"/>
      <c r="U136" s="2"/>
      <c r="V136" s="2"/>
      <c r="W136" s="2"/>
      <c r="X136" s="2"/>
      <c r="Y136" s="2"/>
    </row>
    <row r="137" ht="15.75" customHeight="1">
      <c r="A137" s="3"/>
      <c r="B137" s="3"/>
      <c r="C137" s="3"/>
      <c r="D137" s="2"/>
      <c r="E137" s="3"/>
      <c r="F137" s="2"/>
      <c r="G137" s="2"/>
      <c r="H137" s="2"/>
      <c r="I137" s="2"/>
      <c r="J137" s="3"/>
      <c r="K137" s="3"/>
      <c r="L137" s="2"/>
      <c r="M137" s="2"/>
      <c r="N137" s="2"/>
      <c r="O137" s="2"/>
      <c r="P137" s="2"/>
      <c r="Q137" s="2"/>
      <c r="R137" s="2"/>
      <c r="S137" s="2"/>
      <c r="T137" s="2"/>
      <c r="U137" s="2"/>
      <c r="V137" s="2"/>
      <c r="W137" s="2"/>
      <c r="X137" s="2"/>
      <c r="Y137" s="2"/>
    </row>
    <row r="138" ht="15.75" customHeight="1">
      <c r="A138" s="3"/>
      <c r="B138" s="3"/>
      <c r="C138" s="3"/>
      <c r="D138" s="2"/>
      <c r="E138" s="3"/>
      <c r="F138" s="2"/>
      <c r="G138" s="2"/>
      <c r="H138" s="2"/>
      <c r="I138" s="2"/>
      <c r="J138" s="3"/>
      <c r="K138" s="3"/>
      <c r="L138" s="2"/>
      <c r="M138" s="2"/>
      <c r="N138" s="2"/>
      <c r="O138" s="2"/>
      <c r="P138" s="2"/>
      <c r="Q138" s="2"/>
      <c r="R138" s="2"/>
      <c r="S138" s="2"/>
      <c r="T138" s="2"/>
      <c r="U138" s="2"/>
      <c r="V138" s="2"/>
      <c r="W138" s="2"/>
      <c r="X138" s="2"/>
      <c r="Y138" s="2"/>
    </row>
    <row r="139" ht="15.75" customHeight="1">
      <c r="A139" s="3"/>
      <c r="B139" s="3"/>
      <c r="C139" s="3"/>
      <c r="D139" s="2"/>
      <c r="E139" s="3"/>
      <c r="F139" s="2"/>
      <c r="G139" s="2"/>
      <c r="H139" s="2"/>
      <c r="I139" s="2"/>
      <c r="J139" s="3"/>
      <c r="K139" s="3"/>
      <c r="L139" s="2"/>
      <c r="M139" s="2"/>
      <c r="N139" s="2"/>
      <c r="O139" s="2"/>
      <c r="P139" s="2"/>
      <c r="Q139" s="2"/>
      <c r="R139" s="2"/>
      <c r="S139" s="2"/>
      <c r="T139" s="2"/>
      <c r="U139" s="2"/>
      <c r="V139" s="2"/>
      <c r="W139" s="2"/>
      <c r="X139" s="2"/>
      <c r="Y139" s="2"/>
    </row>
    <row r="140" ht="15.75" customHeight="1">
      <c r="A140" s="3"/>
      <c r="B140" s="3"/>
      <c r="C140" s="3"/>
      <c r="D140" s="2"/>
      <c r="E140" s="3"/>
      <c r="F140" s="2"/>
      <c r="G140" s="2"/>
      <c r="H140" s="2"/>
      <c r="I140" s="2"/>
      <c r="J140" s="3"/>
      <c r="K140" s="3"/>
      <c r="L140" s="2"/>
      <c r="M140" s="2"/>
      <c r="N140" s="2"/>
      <c r="O140" s="2"/>
      <c r="P140" s="2"/>
      <c r="Q140" s="2"/>
      <c r="R140" s="2"/>
      <c r="S140" s="2"/>
      <c r="T140" s="2"/>
      <c r="U140" s="2"/>
      <c r="V140" s="2"/>
      <c r="W140" s="2"/>
      <c r="X140" s="2"/>
      <c r="Y140" s="2"/>
    </row>
    <row r="141" ht="15.75" customHeight="1">
      <c r="A141" s="3"/>
      <c r="B141" s="3"/>
      <c r="C141" s="3"/>
      <c r="D141" s="2"/>
      <c r="E141" s="3"/>
      <c r="F141" s="2"/>
      <c r="G141" s="2"/>
      <c r="H141" s="2"/>
      <c r="I141" s="2"/>
      <c r="J141" s="3"/>
      <c r="K141" s="3"/>
      <c r="L141" s="2"/>
      <c r="M141" s="2"/>
      <c r="N141" s="2"/>
      <c r="O141" s="2"/>
      <c r="P141" s="2"/>
      <c r="Q141" s="2"/>
      <c r="R141" s="2"/>
      <c r="S141" s="2"/>
      <c r="T141" s="2"/>
      <c r="U141" s="2"/>
      <c r="V141" s="2"/>
      <c r="W141" s="2"/>
      <c r="X141" s="2"/>
      <c r="Y141" s="2"/>
    </row>
    <row r="142" ht="15.75" customHeight="1">
      <c r="A142" s="3"/>
      <c r="B142" s="3"/>
      <c r="C142" s="3"/>
      <c r="D142" s="2"/>
      <c r="E142" s="3"/>
      <c r="F142" s="2"/>
      <c r="G142" s="2"/>
      <c r="H142" s="2"/>
      <c r="I142" s="2"/>
      <c r="J142" s="3"/>
      <c r="K142" s="3"/>
      <c r="L142" s="2"/>
      <c r="M142" s="2"/>
      <c r="N142" s="2"/>
      <c r="O142" s="2"/>
      <c r="P142" s="2"/>
      <c r="Q142" s="2"/>
      <c r="R142" s="2"/>
      <c r="S142" s="2"/>
      <c r="T142" s="2"/>
      <c r="U142" s="2"/>
      <c r="V142" s="2"/>
      <c r="W142" s="2"/>
      <c r="X142" s="2"/>
      <c r="Y142" s="2"/>
    </row>
    <row r="143" ht="15.75" customHeight="1">
      <c r="A143" s="3"/>
      <c r="B143" s="3"/>
      <c r="C143" s="3"/>
      <c r="D143" s="2"/>
      <c r="E143" s="3"/>
      <c r="F143" s="2"/>
      <c r="G143" s="2"/>
      <c r="H143" s="2"/>
      <c r="I143" s="2"/>
      <c r="J143" s="3"/>
      <c r="K143" s="3"/>
      <c r="L143" s="2"/>
      <c r="M143" s="2"/>
      <c r="N143" s="2"/>
      <c r="O143" s="2"/>
      <c r="P143" s="2"/>
      <c r="Q143" s="2"/>
      <c r="R143" s="2"/>
      <c r="S143" s="2"/>
      <c r="T143" s="2"/>
      <c r="U143" s="2"/>
      <c r="V143" s="2"/>
      <c r="W143" s="2"/>
      <c r="X143" s="2"/>
      <c r="Y143" s="2"/>
    </row>
    <row r="144" ht="15.75" customHeight="1">
      <c r="A144" s="3"/>
      <c r="B144" s="3"/>
      <c r="C144" s="3"/>
      <c r="D144" s="2"/>
      <c r="E144" s="3"/>
      <c r="F144" s="2"/>
      <c r="G144" s="2"/>
      <c r="H144" s="2"/>
      <c r="I144" s="2"/>
      <c r="J144" s="3"/>
      <c r="K144" s="3"/>
      <c r="L144" s="2"/>
      <c r="M144" s="2"/>
      <c r="N144" s="2"/>
      <c r="O144" s="2"/>
      <c r="P144" s="2"/>
      <c r="Q144" s="2"/>
      <c r="R144" s="2"/>
      <c r="S144" s="2"/>
      <c r="T144" s="2"/>
      <c r="U144" s="2"/>
      <c r="V144" s="2"/>
      <c r="W144" s="2"/>
      <c r="X144" s="2"/>
      <c r="Y144" s="2"/>
    </row>
    <row r="145" ht="15.75" customHeight="1">
      <c r="A145" s="3"/>
      <c r="B145" s="3"/>
      <c r="C145" s="3"/>
      <c r="D145" s="2"/>
      <c r="E145" s="3"/>
      <c r="F145" s="2"/>
      <c r="G145" s="2"/>
      <c r="H145" s="2"/>
      <c r="I145" s="2"/>
      <c r="J145" s="3"/>
      <c r="K145" s="3"/>
      <c r="L145" s="2"/>
      <c r="M145" s="2"/>
      <c r="N145" s="2"/>
      <c r="O145" s="2"/>
      <c r="P145" s="2"/>
      <c r="Q145" s="2"/>
      <c r="R145" s="2"/>
      <c r="S145" s="2"/>
      <c r="T145" s="2"/>
      <c r="U145" s="2"/>
      <c r="V145" s="2"/>
      <c r="W145" s="2"/>
      <c r="X145" s="2"/>
      <c r="Y145" s="2"/>
    </row>
    <row r="146" ht="15.75" customHeight="1">
      <c r="A146" s="3"/>
      <c r="B146" s="3"/>
      <c r="C146" s="3"/>
      <c r="D146" s="2"/>
      <c r="E146" s="3"/>
      <c r="F146" s="2"/>
      <c r="G146" s="2"/>
      <c r="H146" s="2"/>
      <c r="I146" s="2"/>
      <c r="J146" s="3"/>
      <c r="K146" s="3"/>
      <c r="L146" s="2"/>
      <c r="M146" s="2"/>
      <c r="N146" s="2"/>
      <c r="O146" s="2"/>
      <c r="P146" s="2"/>
      <c r="Q146" s="2"/>
      <c r="R146" s="2"/>
      <c r="S146" s="2"/>
      <c r="T146" s="2"/>
      <c r="U146" s="2"/>
      <c r="V146" s="2"/>
      <c r="W146" s="2"/>
      <c r="X146" s="2"/>
      <c r="Y146" s="2"/>
    </row>
    <row r="147" ht="15.75" customHeight="1">
      <c r="A147" s="3"/>
      <c r="B147" s="3"/>
      <c r="C147" s="3"/>
      <c r="D147" s="2"/>
      <c r="E147" s="3"/>
      <c r="F147" s="2"/>
      <c r="G147" s="2"/>
      <c r="H147" s="2"/>
      <c r="I147" s="2"/>
      <c r="J147" s="3"/>
      <c r="K147" s="3"/>
      <c r="L147" s="2"/>
      <c r="M147" s="2"/>
      <c r="N147" s="2"/>
      <c r="O147" s="2"/>
      <c r="P147" s="2"/>
      <c r="Q147" s="2"/>
      <c r="R147" s="2"/>
      <c r="S147" s="2"/>
      <c r="T147" s="2"/>
      <c r="U147" s="2"/>
      <c r="V147" s="2"/>
      <c r="W147" s="2"/>
      <c r="X147" s="2"/>
      <c r="Y147" s="2"/>
    </row>
    <row r="148" ht="15.75" customHeight="1">
      <c r="A148" s="3"/>
      <c r="B148" s="3"/>
      <c r="C148" s="3"/>
      <c r="D148" s="2"/>
      <c r="E148" s="3"/>
      <c r="F148" s="2"/>
      <c r="G148" s="2"/>
      <c r="H148" s="2"/>
      <c r="I148" s="2"/>
      <c r="J148" s="3"/>
      <c r="K148" s="3"/>
      <c r="L148" s="2"/>
      <c r="M148" s="2"/>
      <c r="N148" s="2"/>
      <c r="O148" s="2"/>
      <c r="P148" s="2"/>
      <c r="Q148" s="2"/>
      <c r="R148" s="2"/>
      <c r="S148" s="2"/>
      <c r="T148" s="2"/>
      <c r="U148" s="2"/>
      <c r="V148" s="2"/>
      <c r="W148" s="2"/>
      <c r="X148" s="2"/>
      <c r="Y148" s="2"/>
    </row>
    <row r="149" ht="15.75" customHeight="1">
      <c r="A149" s="3"/>
      <c r="B149" s="3"/>
      <c r="C149" s="3"/>
      <c r="D149" s="2"/>
      <c r="E149" s="3"/>
      <c r="F149" s="2"/>
      <c r="G149" s="2"/>
      <c r="H149" s="2"/>
      <c r="I149" s="2"/>
      <c r="J149" s="3"/>
      <c r="K149" s="3"/>
      <c r="L149" s="2"/>
      <c r="M149" s="2"/>
      <c r="N149" s="2"/>
      <c r="O149" s="2"/>
      <c r="P149" s="2"/>
      <c r="Q149" s="2"/>
      <c r="R149" s="2"/>
      <c r="S149" s="2"/>
      <c r="T149" s="2"/>
      <c r="U149" s="2"/>
      <c r="V149" s="2"/>
      <c r="W149" s="2"/>
      <c r="X149" s="2"/>
      <c r="Y149" s="2"/>
    </row>
    <row r="150" ht="15.75" customHeight="1">
      <c r="A150" s="3"/>
      <c r="B150" s="3"/>
      <c r="C150" s="3"/>
      <c r="D150" s="2"/>
      <c r="E150" s="3"/>
      <c r="F150" s="2"/>
      <c r="G150" s="2"/>
      <c r="H150" s="2"/>
      <c r="I150" s="2"/>
      <c r="J150" s="3"/>
      <c r="K150" s="3"/>
      <c r="L150" s="2"/>
      <c r="M150" s="2"/>
      <c r="N150" s="2"/>
      <c r="O150" s="2"/>
      <c r="P150" s="2"/>
      <c r="Q150" s="2"/>
      <c r="R150" s="2"/>
      <c r="S150" s="2"/>
      <c r="T150" s="2"/>
      <c r="U150" s="2"/>
      <c r="V150" s="2"/>
      <c r="W150" s="2"/>
      <c r="X150" s="2"/>
      <c r="Y150" s="2"/>
    </row>
    <row r="151" ht="15.75" customHeight="1">
      <c r="A151" s="3"/>
      <c r="B151" s="3"/>
      <c r="C151" s="3"/>
      <c r="D151" s="2"/>
      <c r="E151" s="3"/>
      <c r="F151" s="2"/>
      <c r="G151" s="2"/>
      <c r="H151" s="2"/>
      <c r="I151" s="2"/>
      <c r="J151" s="3"/>
      <c r="K151" s="3"/>
      <c r="L151" s="2"/>
      <c r="M151" s="2"/>
      <c r="N151" s="2"/>
      <c r="O151" s="2"/>
      <c r="P151" s="2"/>
      <c r="Q151" s="2"/>
      <c r="R151" s="2"/>
      <c r="S151" s="2"/>
      <c r="T151" s="2"/>
      <c r="U151" s="2"/>
      <c r="V151" s="2"/>
      <c r="W151" s="2"/>
      <c r="X151" s="2"/>
      <c r="Y151" s="2"/>
    </row>
    <row r="152" ht="15.75" customHeight="1">
      <c r="A152" s="3"/>
      <c r="B152" s="3"/>
      <c r="C152" s="3"/>
      <c r="D152" s="2"/>
      <c r="E152" s="3"/>
      <c r="F152" s="2"/>
      <c r="G152" s="2"/>
      <c r="H152" s="2"/>
      <c r="I152" s="2"/>
      <c r="J152" s="3"/>
      <c r="K152" s="3"/>
      <c r="L152" s="2"/>
      <c r="M152" s="2"/>
      <c r="N152" s="2"/>
      <c r="O152" s="2"/>
      <c r="P152" s="2"/>
      <c r="Q152" s="2"/>
      <c r="R152" s="2"/>
      <c r="S152" s="2"/>
      <c r="T152" s="2"/>
      <c r="U152" s="2"/>
      <c r="V152" s="2"/>
      <c r="W152" s="2"/>
      <c r="X152" s="2"/>
      <c r="Y152" s="2"/>
    </row>
    <row r="153" ht="15.75" customHeight="1">
      <c r="A153" s="3"/>
      <c r="B153" s="3"/>
      <c r="C153" s="3"/>
      <c r="D153" s="2"/>
      <c r="E153" s="3"/>
      <c r="F153" s="2"/>
      <c r="G153" s="2"/>
      <c r="H153" s="2"/>
      <c r="I153" s="2"/>
      <c r="J153" s="3"/>
      <c r="K153" s="3"/>
      <c r="L153" s="2"/>
      <c r="M153" s="2"/>
      <c r="N153" s="2"/>
      <c r="O153" s="2"/>
      <c r="P153" s="2"/>
      <c r="Q153" s="2"/>
      <c r="R153" s="2"/>
      <c r="S153" s="2"/>
      <c r="T153" s="2"/>
      <c r="U153" s="2"/>
      <c r="V153" s="2"/>
      <c r="W153" s="2"/>
      <c r="X153" s="2"/>
      <c r="Y153" s="2"/>
    </row>
    <row r="154" ht="15.75" customHeight="1">
      <c r="A154" s="3"/>
      <c r="B154" s="3"/>
      <c r="C154" s="3"/>
      <c r="D154" s="2"/>
      <c r="E154" s="3"/>
      <c r="F154" s="2"/>
      <c r="G154" s="2"/>
      <c r="H154" s="2"/>
      <c r="I154" s="2"/>
      <c r="J154" s="3"/>
      <c r="K154" s="3"/>
      <c r="L154" s="2"/>
      <c r="M154" s="2"/>
      <c r="N154" s="2"/>
      <c r="O154" s="2"/>
      <c r="P154" s="2"/>
      <c r="Q154" s="2"/>
      <c r="R154" s="2"/>
      <c r="S154" s="2"/>
      <c r="T154" s="2"/>
      <c r="U154" s="2"/>
      <c r="V154" s="2"/>
      <c r="W154" s="2"/>
      <c r="X154" s="2"/>
      <c r="Y154" s="2"/>
    </row>
    <row r="155" ht="15.75" customHeight="1">
      <c r="A155" s="3"/>
      <c r="B155" s="3"/>
      <c r="C155" s="3"/>
      <c r="D155" s="2"/>
      <c r="E155" s="3"/>
      <c r="F155" s="2"/>
      <c r="G155" s="2"/>
      <c r="H155" s="2"/>
      <c r="I155" s="2"/>
      <c r="J155" s="3"/>
      <c r="K155" s="3"/>
      <c r="L155" s="2"/>
      <c r="M155" s="2"/>
      <c r="N155" s="2"/>
      <c r="O155" s="2"/>
      <c r="P155" s="2"/>
      <c r="Q155" s="2"/>
      <c r="R155" s="2"/>
      <c r="S155" s="2"/>
      <c r="T155" s="2"/>
      <c r="U155" s="2"/>
      <c r="V155" s="2"/>
      <c r="W155" s="2"/>
      <c r="X155" s="2"/>
      <c r="Y155" s="2"/>
    </row>
    <row r="156" ht="15.75" customHeight="1">
      <c r="A156" s="3"/>
      <c r="B156" s="3"/>
      <c r="C156" s="3"/>
      <c r="D156" s="2"/>
      <c r="E156" s="3"/>
      <c r="F156" s="2"/>
      <c r="G156" s="2"/>
      <c r="H156" s="2"/>
      <c r="I156" s="2"/>
      <c r="J156" s="3"/>
      <c r="K156" s="3"/>
      <c r="L156" s="2"/>
      <c r="M156" s="2"/>
      <c r="N156" s="2"/>
      <c r="O156" s="2"/>
      <c r="P156" s="2"/>
      <c r="Q156" s="2"/>
      <c r="R156" s="2"/>
      <c r="S156" s="2"/>
      <c r="T156" s="2"/>
      <c r="U156" s="2"/>
      <c r="V156" s="2"/>
      <c r="W156" s="2"/>
      <c r="X156" s="2"/>
      <c r="Y156" s="2"/>
    </row>
    <row r="157" ht="15.75" customHeight="1">
      <c r="A157" s="3"/>
      <c r="B157" s="3"/>
      <c r="C157" s="3"/>
      <c r="D157" s="2"/>
      <c r="E157" s="3"/>
      <c r="F157" s="2"/>
      <c r="G157" s="2"/>
      <c r="H157" s="2"/>
      <c r="I157" s="2"/>
      <c r="J157" s="3"/>
      <c r="K157" s="3"/>
      <c r="L157" s="2"/>
      <c r="M157" s="2"/>
      <c r="N157" s="2"/>
      <c r="O157" s="2"/>
      <c r="P157" s="2"/>
      <c r="Q157" s="2"/>
      <c r="R157" s="2"/>
      <c r="S157" s="2"/>
      <c r="T157" s="2"/>
      <c r="U157" s="2"/>
      <c r="V157" s="2"/>
      <c r="W157" s="2"/>
      <c r="X157" s="2"/>
      <c r="Y157" s="2"/>
    </row>
    <row r="158" ht="15.75" customHeight="1">
      <c r="A158" s="3"/>
      <c r="B158" s="3"/>
      <c r="C158" s="3"/>
      <c r="D158" s="2"/>
      <c r="E158" s="3"/>
      <c r="F158" s="2"/>
      <c r="G158" s="2"/>
      <c r="H158" s="2"/>
      <c r="I158" s="2"/>
      <c r="J158" s="3"/>
      <c r="K158" s="3"/>
      <c r="L158" s="2"/>
      <c r="M158" s="2"/>
      <c r="N158" s="2"/>
      <c r="O158" s="2"/>
      <c r="P158" s="2"/>
      <c r="Q158" s="2"/>
      <c r="R158" s="2"/>
      <c r="S158" s="2"/>
      <c r="T158" s="2"/>
      <c r="U158" s="2"/>
      <c r="V158" s="2"/>
      <c r="W158" s="2"/>
      <c r="X158" s="2"/>
      <c r="Y158" s="2"/>
    </row>
    <row r="159" ht="15.75" customHeight="1">
      <c r="A159" s="3"/>
      <c r="B159" s="3"/>
      <c r="C159" s="3"/>
      <c r="D159" s="2"/>
      <c r="E159" s="3"/>
      <c r="F159" s="2"/>
      <c r="G159" s="2"/>
      <c r="H159" s="2"/>
      <c r="I159" s="2"/>
      <c r="J159" s="3"/>
      <c r="K159" s="3"/>
      <c r="L159" s="2"/>
      <c r="M159" s="2"/>
      <c r="N159" s="2"/>
      <c r="O159" s="2"/>
      <c r="P159" s="2"/>
      <c r="Q159" s="2"/>
      <c r="R159" s="2"/>
      <c r="S159" s="2"/>
      <c r="T159" s="2"/>
      <c r="U159" s="2"/>
      <c r="V159" s="2"/>
      <c r="W159" s="2"/>
      <c r="X159" s="2"/>
      <c r="Y159" s="2"/>
    </row>
    <row r="160" ht="15.75" customHeight="1">
      <c r="A160" s="3"/>
      <c r="B160" s="3"/>
      <c r="C160" s="3"/>
      <c r="D160" s="2"/>
      <c r="E160" s="3"/>
      <c r="F160" s="2"/>
      <c r="G160" s="2"/>
      <c r="H160" s="2"/>
      <c r="I160" s="2"/>
      <c r="J160" s="3"/>
      <c r="K160" s="3"/>
      <c r="L160" s="2"/>
      <c r="M160" s="2"/>
      <c r="N160" s="2"/>
      <c r="O160" s="2"/>
      <c r="P160" s="2"/>
      <c r="Q160" s="2"/>
      <c r="R160" s="2"/>
      <c r="S160" s="2"/>
      <c r="T160" s="2"/>
      <c r="U160" s="2"/>
      <c r="V160" s="2"/>
      <c r="W160" s="2"/>
      <c r="X160" s="2"/>
      <c r="Y160" s="2"/>
    </row>
    <row r="161" ht="15.75" customHeight="1">
      <c r="A161" s="3"/>
      <c r="B161" s="3"/>
      <c r="C161" s="3"/>
      <c r="D161" s="2"/>
      <c r="E161" s="3"/>
      <c r="F161" s="2"/>
      <c r="G161" s="2"/>
      <c r="H161" s="2"/>
      <c r="I161" s="2"/>
      <c r="J161" s="3"/>
      <c r="K161" s="3"/>
      <c r="L161" s="2"/>
      <c r="M161" s="2"/>
      <c r="N161" s="2"/>
      <c r="O161" s="2"/>
      <c r="P161" s="2"/>
      <c r="Q161" s="2"/>
      <c r="R161" s="2"/>
      <c r="S161" s="2"/>
      <c r="T161" s="2"/>
      <c r="U161" s="2"/>
      <c r="V161" s="2"/>
      <c r="W161" s="2"/>
      <c r="X161" s="2"/>
      <c r="Y161" s="2"/>
    </row>
    <row r="162" ht="15.75" customHeight="1">
      <c r="A162" s="3"/>
      <c r="B162" s="3"/>
      <c r="C162" s="3"/>
      <c r="D162" s="2"/>
      <c r="E162" s="3"/>
      <c r="F162" s="2"/>
      <c r="G162" s="2"/>
      <c r="H162" s="2"/>
      <c r="I162" s="2"/>
      <c r="J162" s="3"/>
      <c r="K162" s="3"/>
      <c r="L162" s="2"/>
      <c r="M162" s="2"/>
      <c r="N162" s="2"/>
      <c r="O162" s="2"/>
      <c r="P162" s="2"/>
      <c r="Q162" s="2"/>
      <c r="R162" s="2"/>
      <c r="S162" s="2"/>
      <c r="T162" s="2"/>
      <c r="U162" s="2"/>
      <c r="V162" s="2"/>
      <c r="W162" s="2"/>
      <c r="X162" s="2"/>
      <c r="Y162" s="2"/>
    </row>
    <row r="163" ht="15.75" customHeight="1">
      <c r="A163" s="3"/>
      <c r="B163" s="3"/>
      <c r="C163" s="3"/>
      <c r="D163" s="2"/>
      <c r="E163" s="3"/>
      <c r="F163" s="2"/>
      <c r="G163" s="2"/>
      <c r="H163" s="2"/>
      <c r="I163" s="2"/>
      <c r="J163" s="3"/>
      <c r="K163" s="3"/>
      <c r="L163" s="2"/>
      <c r="M163" s="2"/>
      <c r="N163" s="2"/>
      <c r="O163" s="2"/>
      <c r="P163" s="2"/>
      <c r="Q163" s="2"/>
      <c r="R163" s="2"/>
      <c r="S163" s="2"/>
      <c r="T163" s="2"/>
      <c r="U163" s="2"/>
      <c r="V163" s="2"/>
      <c r="W163" s="2"/>
      <c r="X163" s="2"/>
      <c r="Y163" s="2"/>
    </row>
    <row r="164" ht="15.75" customHeight="1">
      <c r="A164" s="3"/>
      <c r="B164" s="3"/>
      <c r="C164" s="3"/>
      <c r="D164" s="2"/>
      <c r="E164" s="3"/>
      <c r="F164" s="2"/>
      <c r="G164" s="2"/>
      <c r="H164" s="2"/>
      <c r="I164" s="2"/>
      <c r="J164" s="3"/>
      <c r="K164" s="3"/>
      <c r="L164" s="2"/>
      <c r="M164" s="2"/>
      <c r="N164" s="2"/>
      <c r="O164" s="2"/>
      <c r="P164" s="2"/>
      <c r="Q164" s="2"/>
      <c r="R164" s="2"/>
      <c r="S164" s="2"/>
      <c r="T164" s="2"/>
      <c r="U164" s="2"/>
      <c r="V164" s="2"/>
      <c r="W164" s="2"/>
      <c r="X164" s="2"/>
      <c r="Y164" s="2"/>
    </row>
    <row r="165" ht="15.75" customHeight="1">
      <c r="A165" s="3"/>
      <c r="B165" s="3"/>
      <c r="C165" s="3"/>
      <c r="D165" s="2"/>
      <c r="E165" s="3"/>
      <c r="F165" s="2"/>
      <c r="G165" s="2"/>
      <c r="H165" s="2"/>
      <c r="I165" s="2"/>
      <c r="J165" s="3"/>
      <c r="K165" s="3"/>
      <c r="L165" s="2"/>
      <c r="M165" s="2"/>
      <c r="N165" s="2"/>
      <c r="O165" s="2"/>
      <c r="P165" s="2"/>
      <c r="Q165" s="2"/>
      <c r="R165" s="2"/>
      <c r="S165" s="2"/>
      <c r="T165" s="2"/>
      <c r="U165" s="2"/>
      <c r="V165" s="2"/>
      <c r="W165" s="2"/>
      <c r="X165" s="2"/>
      <c r="Y165" s="2"/>
    </row>
    <row r="166" ht="15.75" customHeight="1">
      <c r="A166" s="3"/>
      <c r="B166" s="3"/>
      <c r="C166" s="3"/>
      <c r="D166" s="2"/>
      <c r="E166" s="3"/>
      <c r="F166" s="2"/>
      <c r="G166" s="2"/>
      <c r="H166" s="2"/>
      <c r="I166" s="2"/>
      <c r="J166" s="3"/>
      <c r="K166" s="3"/>
      <c r="L166" s="2"/>
      <c r="M166" s="2"/>
      <c r="N166" s="2"/>
      <c r="O166" s="2"/>
      <c r="P166" s="2"/>
      <c r="Q166" s="2"/>
      <c r="R166" s="2"/>
      <c r="S166" s="2"/>
      <c r="T166" s="2"/>
      <c r="U166" s="2"/>
      <c r="V166" s="2"/>
      <c r="W166" s="2"/>
      <c r="X166" s="2"/>
      <c r="Y166" s="2"/>
    </row>
    <row r="167" ht="15.75" customHeight="1">
      <c r="A167" s="3"/>
      <c r="B167" s="3"/>
      <c r="C167" s="3"/>
      <c r="D167" s="2"/>
      <c r="E167" s="3"/>
      <c r="F167" s="2"/>
      <c r="G167" s="2"/>
      <c r="H167" s="2"/>
      <c r="I167" s="2"/>
      <c r="J167" s="3"/>
      <c r="K167" s="3"/>
      <c r="L167" s="2"/>
      <c r="M167" s="2"/>
      <c r="N167" s="2"/>
      <c r="O167" s="2"/>
      <c r="P167" s="2"/>
      <c r="Q167" s="2"/>
      <c r="R167" s="2"/>
      <c r="S167" s="2"/>
      <c r="T167" s="2"/>
      <c r="U167" s="2"/>
      <c r="V167" s="2"/>
      <c r="W167" s="2"/>
      <c r="X167" s="2"/>
      <c r="Y167" s="2"/>
    </row>
    <row r="168" ht="15.75" customHeight="1">
      <c r="A168" s="3"/>
      <c r="B168" s="3"/>
      <c r="C168" s="3"/>
      <c r="D168" s="2"/>
      <c r="E168" s="3"/>
      <c r="F168" s="2"/>
      <c r="G168" s="2"/>
      <c r="H168" s="2"/>
      <c r="I168" s="2"/>
      <c r="J168" s="3"/>
      <c r="K168" s="3"/>
      <c r="L168" s="2"/>
      <c r="M168" s="2"/>
      <c r="N168" s="2"/>
      <c r="O168" s="2"/>
      <c r="P168" s="2"/>
      <c r="Q168" s="2"/>
      <c r="R168" s="2"/>
      <c r="S168" s="2"/>
      <c r="T168" s="2"/>
      <c r="U168" s="2"/>
      <c r="V168" s="2"/>
      <c r="W168" s="2"/>
      <c r="X168" s="2"/>
      <c r="Y168" s="2"/>
    </row>
    <row r="169" ht="15.75" customHeight="1">
      <c r="A169" s="3"/>
      <c r="B169" s="3"/>
      <c r="C169" s="3"/>
      <c r="D169" s="2"/>
      <c r="E169" s="3"/>
      <c r="F169" s="2"/>
      <c r="G169" s="2"/>
      <c r="H169" s="2"/>
      <c r="I169" s="2"/>
      <c r="J169" s="3"/>
      <c r="K169" s="3"/>
      <c r="L169" s="2"/>
      <c r="M169" s="2"/>
      <c r="N169" s="2"/>
      <c r="O169" s="2"/>
      <c r="P169" s="2"/>
      <c r="Q169" s="2"/>
      <c r="R169" s="2"/>
      <c r="S169" s="2"/>
      <c r="T169" s="2"/>
      <c r="U169" s="2"/>
      <c r="V169" s="2"/>
      <c r="W169" s="2"/>
      <c r="X169" s="2"/>
      <c r="Y169" s="2"/>
    </row>
    <row r="170" ht="15.75" customHeight="1">
      <c r="A170" s="3"/>
      <c r="B170" s="3"/>
      <c r="C170" s="3"/>
      <c r="D170" s="2"/>
      <c r="E170" s="3"/>
      <c r="F170" s="2"/>
      <c r="G170" s="2"/>
      <c r="H170" s="2"/>
      <c r="I170" s="2"/>
      <c r="J170" s="3"/>
      <c r="K170" s="3"/>
      <c r="L170" s="2"/>
      <c r="M170" s="2"/>
      <c r="N170" s="2"/>
      <c r="O170" s="2"/>
      <c r="P170" s="2"/>
      <c r="Q170" s="2"/>
      <c r="R170" s="2"/>
      <c r="S170" s="2"/>
      <c r="T170" s="2"/>
      <c r="U170" s="2"/>
      <c r="V170" s="2"/>
      <c r="W170" s="2"/>
      <c r="X170" s="2"/>
      <c r="Y170" s="2"/>
    </row>
    <row r="171" ht="15.75" customHeight="1">
      <c r="A171" s="3"/>
      <c r="B171" s="3"/>
      <c r="C171" s="3"/>
      <c r="D171" s="2"/>
      <c r="E171" s="3"/>
      <c r="F171" s="2"/>
      <c r="G171" s="2"/>
      <c r="H171" s="2"/>
      <c r="I171" s="2"/>
      <c r="J171" s="3"/>
      <c r="K171" s="3"/>
      <c r="L171" s="2"/>
      <c r="M171" s="2"/>
      <c r="N171" s="2"/>
      <c r="O171" s="2"/>
      <c r="P171" s="2"/>
      <c r="Q171" s="2"/>
      <c r="R171" s="2"/>
      <c r="S171" s="2"/>
      <c r="T171" s="2"/>
      <c r="U171" s="2"/>
      <c r="V171" s="2"/>
      <c r="W171" s="2"/>
      <c r="X171" s="2"/>
      <c r="Y171" s="2"/>
    </row>
    <row r="172" ht="15.75" customHeight="1">
      <c r="A172" s="3"/>
      <c r="B172" s="3"/>
      <c r="C172" s="3"/>
      <c r="D172" s="2"/>
      <c r="E172" s="3"/>
      <c r="F172" s="2"/>
      <c r="G172" s="2"/>
      <c r="H172" s="2"/>
      <c r="I172" s="2"/>
      <c r="J172" s="3"/>
      <c r="K172" s="3"/>
      <c r="L172" s="2"/>
      <c r="M172" s="2"/>
      <c r="N172" s="2"/>
      <c r="O172" s="2"/>
      <c r="P172" s="2"/>
      <c r="Q172" s="2"/>
      <c r="R172" s="2"/>
      <c r="S172" s="2"/>
      <c r="T172" s="2"/>
      <c r="U172" s="2"/>
      <c r="V172" s="2"/>
      <c r="W172" s="2"/>
      <c r="X172" s="2"/>
      <c r="Y172" s="2"/>
    </row>
    <row r="173" ht="15.75" customHeight="1">
      <c r="A173" s="3"/>
      <c r="B173" s="3"/>
      <c r="C173" s="3"/>
      <c r="D173" s="2"/>
      <c r="E173" s="3"/>
      <c r="F173" s="2"/>
      <c r="G173" s="2"/>
      <c r="H173" s="2"/>
      <c r="I173" s="2"/>
      <c r="J173" s="3"/>
      <c r="K173" s="3"/>
      <c r="L173" s="2"/>
      <c r="M173" s="2"/>
      <c r="N173" s="2"/>
      <c r="O173" s="2"/>
      <c r="P173" s="2"/>
      <c r="Q173" s="2"/>
      <c r="R173" s="2"/>
      <c r="S173" s="2"/>
      <c r="T173" s="2"/>
      <c r="U173" s="2"/>
      <c r="V173" s="2"/>
      <c r="W173" s="2"/>
      <c r="X173" s="2"/>
      <c r="Y173" s="2"/>
    </row>
    <row r="174" ht="15.75" customHeight="1">
      <c r="A174" s="3"/>
      <c r="B174" s="3"/>
      <c r="C174" s="3"/>
      <c r="D174" s="2"/>
      <c r="E174" s="3"/>
      <c r="F174" s="2"/>
      <c r="G174" s="2"/>
      <c r="H174" s="2"/>
      <c r="I174" s="2"/>
      <c r="J174" s="3"/>
      <c r="K174" s="3"/>
      <c r="L174" s="2"/>
      <c r="M174" s="2"/>
      <c r="N174" s="2"/>
      <c r="O174" s="2"/>
      <c r="P174" s="2"/>
      <c r="Q174" s="2"/>
      <c r="R174" s="2"/>
      <c r="S174" s="2"/>
      <c r="T174" s="2"/>
      <c r="U174" s="2"/>
      <c r="V174" s="2"/>
      <c r="W174" s="2"/>
      <c r="X174" s="2"/>
      <c r="Y174" s="2"/>
    </row>
    <row r="175" ht="15.75" customHeight="1">
      <c r="A175" s="3"/>
      <c r="B175" s="3"/>
      <c r="C175" s="3"/>
      <c r="D175" s="2"/>
      <c r="E175" s="3"/>
      <c r="F175" s="2"/>
      <c r="G175" s="2"/>
      <c r="H175" s="2"/>
      <c r="I175" s="2"/>
      <c r="J175" s="3"/>
      <c r="K175" s="3"/>
      <c r="L175" s="2"/>
      <c r="M175" s="2"/>
      <c r="N175" s="2"/>
      <c r="O175" s="2"/>
      <c r="P175" s="2"/>
      <c r="Q175" s="2"/>
      <c r="R175" s="2"/>
      <c r="S175" s="2"/>
      <c r="T175" s="2"/>
      <c r="U175" s="2"/>
      <c r="V175" s="2"/>
      <c r="W175" s="2"/>
      <c r="X175" s="2"/>
      <c r="Y175" s="2"/>
    </row>
    <row r="176" ht="15.75" customHeight="1">
      <c r="A176" s="3"/>
      <c r="B176" s="3"/>
      <c r="C176" s="3"/>
      <c r="D176" s="2"/>
      <c r="E176" s="3"/>
      <c r="F176" s="2"/>
      <c r="G176" s="2"/>
      <c r="H176" s="2"/>
      <c r="I176" s="2"/>
      <c r="J176" s="3"/>
      <c r="K176" s="3"/>
      <c r="L176" s="2"/>
      <c r="M176" s="2"/>
      <c r="N176" s="2"/>
      <c r="O176" s="2"/>
      <c r="P176" s="2"/>
      <c r="Q176" s="2"/>
      <c r="R176" s="2"/>
      <c r="S176" s="2"/>
      <c r="T176" s="2"/>
      <c r="U176" s="2"/>
      <c r="V176" s="2"/>
      <c r="W176" s="2"/>
      <c r="X176" s="2"/>
      <c r="Y176" s="2"/>
    </row>
    <row r="177" ht="15.75" customHeight="1">
      <c r="A177" s="3"/>
      <c r="B177" s="3"/>
      <c r="C177" s="3"/>
      <c r="D177" s="2"/>
      <c r="E177" s="3"/>
      <c r="F177" s="2"/>
      <c r="G177" s="2"/>
      <c r="H177" s="2"/>
      <c r="I177" s="2"/>
      <c r="J177" s="3"/>
      <c r="K177" s="3"/>
      <c r="L177" s="2"/>
      <c r="M177" s="2"/>
      <c r="N177" s="2"/>
      <c r="O177" s="2"/>
      <c r="P177" s="2"/>
      <c r="Q177" s="2"/>
      <c r="R177" s="2"/>
      <c r="S177" s="2"/>
      <c r="T177" s="2"/>
      <c r="U177" s="2"/>
      <c r="V177" s="2"/>
      <c r="W177" s="2"/>
      <c r="X177" s="2"/>
      <c r="Y177" s="2"/>
    </row>
    <row r="178" ht="15.75" customHeight="1">
      <c r="A178" s="3"/>
      <c r="B178" s="3"/>
      <c r="C178" s="3"/>
      <c r="D178" s="2"/>
      <c r="E178" s="3"/>
      <c r="F178" s="2"/>
      <c r="G178" s="2"/>
      <c r="H178" s="2"/>
      <c r="I178" s="2"/>
      <c r="J178" s="3"/>
      <c r="K178" s="3"/>
      <c r="L178" s="2"/>
      <c r="M178" s="2"/>
      <c r="N178" s="2"/>
      <c r="O178" s="2"/>
      <c r="P178" s="2"/>
      <c r="Q178" s="2"/>
      <c r="R178" s="2"/>
      <c r="S178" s="2"/>
      <c r="T178" s="2"/>
      <c r="U178" s="2"/>
      <c r="V178" s="2"/>
      <c r="W178" s="2"/>
      <c r="X178" s="2"/>
      <c r="Y178" s="2"/>
    </row>
    <row r="179" ht="15.75" customHeight="1">
      <c r="A179" s="3"/>
      <c r="B179" s="3"/>
      <c r="C179" s="3"/>
      <c r="D179" s="2"/>
      <c r="E179" s="3"/>
      <c r="F179" s="2"/>
      <c r="G179" s="2"/>
      <c r="H179" s="2"/>
      <c r="I179" s="2"/>
      <c r="J179" s="3"/>
      <c r="K179" s="3"/>
      <c r="L179" s="2"/>
      <c r="M179" s="2"/>
      <c r="N179" s="2"/>
      <c r="O179" s="2"/>
      <c r="P179" s="2"/>
      <c r="Q179" s="2"/>
      <c r="R179" s="2"/>
      <c r="S179" s="2"/>
      <c r="T179" s="2"/>
      <c r="U179" s="2"/>
      <c r="V179" s="2"/>
      <c r="W179" s="2"/>
      <c r="X179" s="2"/>
      <c r="Y179" s="2"/>
    </row>
    <row r="180" ht="15.75" customHeight="1">
      <c r="A180" s="3"/>
      <c r="B180" s="3"/>
      <c r="C180" s="3"/>
      <c r="D180" s="2"/>
      <c r="E180" s="3"/>
      <c r="F180" s="2"/>
      <c r="G180" s="2"/>
      <c r="H180" s="2"/>
      <c r="I180" s="2"/>
      <c r="J180" s="3"/>
      <c r="K180" s="3"/>
      <c r="L180" s="2"/>
      <c r="M180" s="2"/>
      <c r="N180" s="2"/>
      <c r="O180" s="2"/>
      <c r="P180" s="2"/>
      <c r="Q180" s="2"/>
      <c r="R180" s="2"/>
      <c r="S180" s="2"/>
      <c r="T180" s="2"/>
      <c r="U180" s="2"/>
      <c r="V180" s="2"/>
      <c r="W180" s="2"/>
      <c r="X180" s="2"/>
      <c r="Y180" s="2"/>
    </row>
    <row r="181" ht="15.75" customHeight="1">
      <c r="A181" s="3"/>
      <c r="B181" s="3"/>
      <c r="C181" s="3"/>
      <c r="D181" s="2"/>
      <c r="E181" s="3"/>
      <c r="F181" s="2"/>
      <c r="G181" s="2"/>
      <c r="H181" s="2"/>
      <c r="I181" s="2"/>
      <c r="J181" s="3"/>
      <c r="K181" s="3"/>
      <c r="L181" s="2"/>
      <c r="M181" s="2"/>
      <c r="N181" s="2"/>
      <c r="O181" s="2"/>
      <c r="P181" s="2"/>
      <c r="Q181" s="2"/>
      <c r="R181" s="2"/>
      <c r="S181" s="2"/>
      <c r="T181" s="2"/>
      <c r="U181" s="2"/>
      <c r="V181" s="2"/>
      <c r="W181" s="2"/>
      <c r="X181" s="2"/>
      <c r="Y181" s="2"/>
    </row>
    <row r="182" ht="15.75" customHeight="1">
      <c r="A182" s="3"/>
      <c r="B182" s="3"/>
      <c r="C182" s="3"/>
      <c r="D182" s="2"/>
      <c r="E182" s="3"/>
      <c r="F182" s="2"/>
      <c r="G182" s="2"/>
      <c r="H182" s="2"/>
      <c r="I182" s="2"/>
      <c r="J182" s="3"/>
      <c r="K182" s="3"/>
      <c r="L182" s="2"/>
      <c r="M182" s="2"/>
      <c r="N182" s="2"/>
      <c r="O182" s="2"/>
      <c r="P182" s="2"/>
      <c r="Q182" s="2"/>
      <c r="R182" s="2"/>
      <c r="S182" s="2"/>
      <c r="T182" s="2"/>
      <c r="U182" s="2"/>
      <c r="V182" s="2"/>
      <c r="W182" s="2"/>
      <c r="X182" s="2"/>
      <c r="Y182" s="2"/>
    </row>
    <row r="183" ht="15.75" customHeight="1">
      <c r="A183" s="3"/>
      <c r="B183" s="3"/>
      <c r="C183" s="3"/>
      <c r="D183" s="2"/>
      <c r="E183" s="3"/>
      <c r="F183" s="2"/>
      <c r="G183" s="2"/>
      <c r="H183" s="2"/>
      <c r="I183" s="2"/>
      <c r="J183" s="3"/>
      <c r="K183" s="3"/>
      <c r="L183" s="2"/>
      <c r="M183" s="2"/>
      <c r="N183" s="2"/>
      <c r="O183" s="2"/>
      <c r="P183" s="2"/>
      <c r="Q183" s="2"/>
      <c r="R183" s="2"/>
      <c r="S183" s="2"/>
      <c r="T183" s="2"/>
      <c r="U183" s="2"/>
      <c r="V183" s="2"/>
      <c r="W183" s="2"/>
      <c r="X183" s="2"/>
      <c r="Y183" s="2"/>
    </row>
    <row r="184" ht="15.75" customHeight="1">
      <c r="A184" s="3"/>
      <c r="B184" s="3"/>
      <c r="C184" s="3"/>
      <c r="D184" s="2"/>
      <c r="E184" s="3"/>
      <c r="F184" s="2"/>
      <c r="G184" s="2"/>
      <c r="H184" s="2"/>
      <c r="I184" s="2"/>
      <c r="J184" s="3"/>
      <c r="K184" s="3"/>
      <c r="L184" s="2"/>
      <c r="M184" s="2"/>
      <c r="N184" s="2"/>
      <c r="O184" s="2"/>
      <c r="P184" s="2"/>
      <c r="Q184" s="2"/>
      <c r="R184" s="2"/>
      <c r="S184" s="2"/>
      <c r="T184" s="2"/>
      <c r="U184" s="2"/>
      <c r="V184" s="2"/>
      <c r="W184" s="2"/>
      <c r="X184" s="2"/>
      <c r="Y184" s="2"/>
    </row>
    <row r="185" ht="15.75" customHeight="1">
      <c r="A185" s="3"/>
      <c r="B185" s="3"/>
      <c r="C185" s="3"/>
      <c r="D185" s="2"/>
      <c r="E185" s="3"/>
      <c r="F185" s="2"/>
      <c r="G185" s="2"/>
      <c r="H185" s="2"/>
      <c r="I185" s="2"/>
      <c r="J185" s="3"/>
      <c r="K185" s="3"/>
      <c r="L185" s="2"/>
      <c r="M185" s="2"/>
      <c r="N185" s="2"/>
      <c r="O185" s="2"/>
      <c r="P185" s="2"/>
      <c r="Q185" s="2"/>
      <c r="R185" s="2"/>
      <c r="S185" s="2"/>
      <c r="T185" s="2"/>
      <c r="U185" s="2"/>
      <c r="V185" s="2"/>
      <c r="W185" s="2"/>
      <c r="X185" s="2"/>
      <c r="Y185" s="2"/>
    </row>
    <row r="186" ht="15.75" customHeight="1">
      <c r="A186" s="3"/>
      <c r="B186" s="3"/>
      <c r="C186" s="3"/>
      <c r="D186" s="2"/>
      <c r="E186" s="3"/>
      <c r="F186" s="2"/>
      <c r="G186" s="2"/>
      <c r="H186" s="2"/>
      <c r="I186" s="2"/>
      <c r="J186" s="3"/>
      <c r="K186" s="3"/>
      <c r="L186" s="2"/>
      <c r="M186" s="2"/>
      <c r="N186" s="2"/>
      <c r="O186" s="2"/>
      <c r="P186" s="2"/>
      <c r="Q186" s="2"/>
      <c r="R186" s="2"/>
      <c r="S186" s="2"/>
      <c r="T186" s="2"/>
      <c r="U186" s="2"/>
      <c r="V186" s="2"/>
      <c r="W186" s="2"/>
      <c r="X186" s="2"/>
      <c r="Y186" s="2"/>
    </row>
    <row r="187" ht="15.75" customHeight="1">
      <c r="A187" s="3"/>
      <c r="B187" s="3"/>
      <c r="C187" s="3"/>
      <c r="D187" s="2"/>
      <c r="E187" s="3"/>
      <c r="F187" s="2"/>
      <c r="G187" s="2"/>
      <c r="H187" s="2"/>
      <c r="I187" s="2"/>
      <c r="J187" s="3"/>
      <c r="K187" s="3"/>
      <c r="L187" s="2"/>
      <c r="M187" s="2"/>
      <c r="N187" s="2"/>
      <c r="O187" s="2"/>
      <c r="P187" s="2"/>
      <c r="Q187" s="2"/>
      <c r="R187" s="2"/>
      <c r="S187" s="2"/>
      <c r="T187" s="2"/>
      <c r="U187" s="2"/>
      <c r="V187" s="2"/>
      <c r="W187" s="2"/>
      <c r="X187" s="2"/>
      <c r="Y187" s="2"/>
    </row>
    <row r="188" ht="15.75" customHeight="1">
      <c r="A188" s="3"/>
      <c r="B188" s="3"/>
      <c r="C188" s="3"/>
      <c r="D188" s="2"/>
      <c r="E188" s="3"/>
      <c r="F188" s="2"/>
      <c r="G188" s="2"/>
      <c r="H188" s="2"/>
      <c r="I188" s="2"/>
      <c r="J188" s="3"/>
      <c r="K188" s="3"/>
      <c r="L188" s="2"/>
      <c r="M188" s="2"/>
      <c r="N188" s="2"/>
      <c r="O188" s="2"/>
      <c r="P188" s="2"/>
      <c r="Q188" s="2"/>
      <c r="R188" s="2"/>
      <c r="S188" s="2"/>
      <c r="T188" s="2"/>
      <c r="U188" s="2"/>
      <c r="V188" s="2"/>
      <c r="W188" s="2"/>
      <c r="X188" s="2"/>
      <c r="Y188" s="2"/>
    </row>
    <row r="189" ht="15.75" customHeight="1">
      <c r="A189" s="3"/>
      <c r="B189" s="3"/>
      <c r="C189" s="3"/>
      <c r="D189" s="2"/>
      <c r="E189" s="3"/>
      <c r="F189" s="2"/>
      <c r="G189" s="2"/>
      <c r="H189" s="2"/>
      <c r="I189" s="2"/>
      <c r="J189" s="3"/>
      <c r="K189" s="3"/>
      <c r="L189" s="2"/>
      <c r="M189" s="2"/>
      <c r="N189" s="2"/>
      <c r="O189" s="2"/>
      <c r="P189" s="2"/>
      <c r="Q189" s="2"/>
      <c r="R189" s="2"/>
      <c r="S189" s="2"/>
      <c r="T189" s="2"/>
      <c r="U189" s="2"/>
      <c r="V189" s="2"/>
      <c r="W189" s="2"/>
      <c r="X189" s="2"/>
      <c r="Y189" s="2"/>
    </row>
    <row r="190" ht="15.75" customHeight="1">
      <c r="A190" s="3"/>
      <c r="B190" s="3"/>
      <c r="C190" s="3"/>
      <c r="D190" s="2"/>
      <c r="E190" s="3"/>
      <c r="F190" s="2"/>
      <c r="G190" s="2"/>
      <c r="H190" s="2"/>
      <c r="I190" s="2"/>
      <c r="J190" s="3"/>
      <c r="K190" s="3"/>
      <c r="L190" s="2"/>
      <c r="M190" s="2"/>
      <c r="N190" s="2"/>
      <c r="O190" s="2"/>
      <c r="P190" s="2"/>
      <c r="Q190" s="2"/>
      <c r="R190" s="2"/>
      <c r="S190" s="2"/>
      <c r="T190" s="2"/>
      <c r="U190" s="2"/>
      <c r="V190" s="2"/>
      <c r="W190" s="2"/>
      <c r="X190" s="2"/>
      <c r="Y190" s="2"/>
    </row>
    <row r="191" ht="15.75" customHeight="1">
      <c r="A191" s="3"/>
      <c r="B191" s="3"/>
      <c r="C191" s="3"/>
      <c r="D191" s="2"/>
      <c r="E191" s="3"/>
      <c r="F191" s="2"/>
      <c r="G191" s="2"/>
      <c r="H191" s="2"/>
      <c r="I191" s="2"/>
      <c r="J191" s="3"/>
      <c r="K191" s="3"/>
      <c r="L191" s="2"/>
      <c r="M191" s="2"/>
      <c r="N191" s="2"/>
      <c r="O191" s="2"/>
      <c r="P191" s="2"/>
      <c r="Q191" s="2"/>
      <c r="R191" s="2"/>
      <c r="S191" s="2"/>
      <c r="T191" s="2"/>
      <c r="U191" s="2"/>
      <c r="V191" s="2"/>
      <c r="W191" s="2"/>
      <c r="X191" s="2"/>
      <c r="Y191" s="2"/>
    </row>
    <row r="192" ht="15.75" customHeight="1">
      <c r="A192" s="3"/>
      <c r="B192" s="3"/>
      <c r="C192" s="3"/>
      <c r="D192" s="2"/>
      <c r="E192" s="3"/>
      <c r="F192" s="2"/>
      <c r="G192" s="2"/>
      <c r="H192" s="2"/>
      <c r="I192" s="2"/>
      <c r="J192" s="3"/>
      <c r="K192" s="3"/>
      <c r="L192" s="2"/>
      <c r="M192" s="2"/>
      <c r="N192" s="2"/>
      <c r="O192" s="2"/>
      <c r="P192" s="2"/>
      <c r="Q192" s="2"/>
      <c r="R192" s="2"/>
      <c r="S192" s="2"/>
      <c r="T192" s="2"/>
      <c r="U192" s="2"/>
      <c r="V192" s="2"/>
      <c r="W192" s="2"/>
      <c r="X192" s="2"/>
      <c r="Y192" s="2"/>
    </row>
    <row r="193" ht="15.75" customHeight="1">
      <c r="A193" s="3"/>
      <c r="B193" s="3"/>
      <c r="C193" s="3"/>
      <c r="D193" s="2"/>
      <c r="E193" s="3"/>
      <c r="F193" s="2"/>
      <c r="G193" s="2"/>
      <c r="H193" s="2"/>
      <c r="I193" s="2"/>
      <c r="J193" s="3"/>
      <c r="K193" s="3"/>
      <c r="L193" s="2"/>
      <c r="M193" s="2"/>
      <c r="N193" s="2"/>
      <c r="O193" s="2"/>
      <c r="P193" s="2"/>
      <c r="Q193" s="2"/>
      <c r="R193" s="2"/>
      <c r="S193" s="2"/>
      <c r="T193" s="2"/>
      <c r="U193" s="2"/>
      <c r="V193" s="2"/>
      <c r="W193" s="2"/>
      <c r="X193" s="2"/>
      <c r="Y193" s="2"/>
    </row>
    <row r="194" ht="15.75" customHeight="1">
      <c r="A194" s="3"/>
      <c r="B194" s="3"/>
      <c r="C194" s="3"/>
      <c r="D194" s="2"/>
      <c r="E194" s="3"/>
      <c r="F194" s="2"/>
      <c r="G194" s="2"/>
      <c r="H194" s="2"/>
      <c r="I194" s="2"/>
      <c r="J194" s="3"/>
      <c r="K194" s="3"/>
      <c r="L194" s="2"/>
      <c r="M194" s="2"/>
      <c r="N194" s="2"/>
      <c r="O194" s="2"/>
      <c r="P194" s="2"/>
      <c r="Q194" s="2"/>
      <c r="R194" s="2"/>
      <c r="S194" s="2"/>
      <c r="T194" s="2"/>
      <c r="U194" s="2"/>
      <c r="V194" s="2"/>
      <c r="W194" s="2"/>
      <c r="X194" s="2"/>
      <c r="Y194" s="2"/>
    </row>
    <row r="195" ht="15.75" customHeight="1">
      <c r="A195" s="3"/>
      <c r="B195" s="3"/>
      <c r="C195" s="3"/>
      <c r="D195" s="2"/>
      <c r="E195" s="3"/>
      <c r="F195" s="2"/>
      <c r="G195" s="2"/>
      <c r="H195" s="2"/>
      <c r="I195" s="2"/>
      <c r="J195" s="3"/>
      <c r="K195" s="3"/>
      <c r="L195" s="2"/>
      <c r="M195" s="2"/>
      <c r="N195" s="2"/>
      <c r="O195" s="2"/>
      <c r="P195" s="2"/>
      <c r="Q195" s="2"/>
      <c r="R195" s="2"/>
      <c r="S195" s="2"/>
      <c r="T195" s="2"/>
      <c r="U195" s="2"/>
      <c r="V195" s="2"/>
      <c r="W195" s="2"/>
      <c r="X195" s="2"/>
      <c r="Y195" s="2"/>
    </row>
    <row r="196" ht="15.75" customHeight="1">
      <c r="A196" s="3"/>
      <c r="B196" s="3"/>
      <c r="C196" s="3"/>
      <c r="D196" s="2"/>
      <c r="E196" s="3"/>
      <c r="F196" s="2"/>
      <c r="G196" s="2"/>
      <c r="H196" s="2"/>
      <c r="I196" s="2"/>
      <c r="J196" s="3"/>
      <c r="K196" s="3"/>
      <c r="L196" s="2"/>
      <c r="M196" s="2"/>
      <c r="N196" s="2"/>
      <c r="O196" s="2"/>
      <c r="P196" s="2"/>
      <c r="Q196" s="2"/>
      <c r="R196" s="2"/>
      <c r="S196" s="2"/>
      <c r="T196" s="2"/>
      <c r="U196" s="2"/>
      <c r="V196" s="2"/>
      <c r="W196" s="2"/>
      <c r="X196" s="2"/>
      <c r="Y196" s="2"/>
    </row>
    <row r="197" ht="15.75" customHeight="1">
      <c r="A197" s="3"/>
      <c r="B197" s="3"/>
      <c r="C197" s="3"/>
      <c r="D197" s="2"/>
      <c r="E197" s="3"/>
      <c r="F197" s="2"/>
      <c r="G197" s="2"/>
      <c r="H197" s="2"/>
      <c r="I197" s="2"/>
      <c r="J197" s="3"/>
      <c r="K197" s="3"/>
      <c r="L197" s="2"/>
      <c r="M197" s="2"/>
      <c r="N197" s="2"/>
      <c r="O197" s="2"/>
      <c r="P197" s="2"/>
      <c r="Q197" s="2"/>
      <c r="R197" s="2"/>
      <c r="S197" s="2"/>
      <c r="T197" s="2"/>
      <c r="U197" s="2"/>
      <c r="V197" s="2"/>
      <c r="W197" s="2"/>
      <c r="X197" s="2"/>
      <c r="Y197" s="2"/>
    </row>
    <row r="198" ht="15.75" customHeight="1">
      <c r="A198" s="3"/>
      <c r="B198" s="3"/>
      <c r="C198" s="3"/>
      <c r="D198" s="2"/>
      <c r="E198" s="3"/>
      <c r="F198" s="2"/>
      <c r="G198" s="2"/>
      <c r="H198" s="2"/>
      <c r="I198" s="2"/>
      <c r="J198" s="3"/>
      <c r="K198" s="3"/>
      <c r="L198" s="2"/>
      <c r="M198" s="2"/>
      <c r="N198" s="2"/>
      <c r="O198" s="2"/>
      <c r="P198" s="2"/>
      <c r="Q198" s="2"/>
      <c r="R198" s="2"/>
      <c r="S198" s="2"/>
      <c r="T198" s="2"/>
      <c r="U198" s="2"/>
      <c r="V198" s="2"/>
      <c r="W198" s="2"/>
      <c r="X198" s="2"/>
      <c r="Y198" s="2"/>
    </row>
    <row r="199" ht="15.75" customHeight="1">
      <c r="A199" s="3"/>
      <c r="B199" s="3"/>
      <c r="C199" s="3"/>
      <c r="D199" s="2"/>
      <c r="E199" s="3"/>
      <c r="F199" s="2"/>
      <c r="G199" s="2"/>
      <c r="H199" s="2"/>
      <c r="I199" s="2"/>
      <c r="J199" s="3"/>
      <c r="K199" s="3"/>
      <c r="L199" s="2"/>
      <c r="M199" s="2"/>
      <c r="N199" s="2"/>
      <c r="O199" s="2"/>
      <c r="P199" s="2"/>
      <c r="Q199" s="2"/>
      <c r="R199" s="2"/>
      <c r="S199" s="2"/>
      <c r="T199" s="2"/>
      <c r="U199" s="2"/>
      <c r="V199" s="2"/>
      <c r="W199" s="2"/>
      <c r="X199" s="2"/>
      <c r="Y199" s="2"/>
    </row>
    <row r="200" ht="15.75" customHeight="1">
      <c r="A200" s="3"/>
      <c r="B200" s="3"/>
      <c r="C200" s="3"/>
      <c r="D200" s="2"/>
      <c r="E200" s="3"/>
      <c r="F200" s="2"/>
      <c r="G200" s="2"/>
      <c r="H200" s="2"/>
      <c r="I200" s="2"/>
      <c r="J200" s="3"/>
      <c r="K200" s="3"/>
      <c r="L200" s="2"/>
      <c r="M200" s="2"/>
      <c r="N200" s="2"/>
      <c r="O200" s="2"/>
      <c r="P200" s="2"/>
      <c r="Q200" s="2"/>
      <c r="R200" s="2"/>
      <c r="S200" s="2"/>
      <c r="T200" s="2"/>
      <c r="U200" s="2"/>
      <c r="V200" s="2"/>
      <c r="W200" s="2"/>
      <c r="X200" s="2"/>
      <c r="Y200" s="2"/>
    </row>
    <row r="201" ht="15.75" customHeight="1">
      <c r="A201" s="3"/>
      <c r="B201" s="3"/>
      <c r="C201" s="3"/>
      <c r="D201" s="2"/>
      <c r="E201" s="3"/>
      <c r="F201" s="2"/>
      <c r="G201" s="2"/>
      <c r="H201" s="2"/>
      <c r="I201" s="2"/>
      <c r="J201" s="3"/>
      <c r="K201" s="3"/>
      <c r="L201" s="2"/>
      <c r="M201" s="2"/>
      <c r="N201" s="2"/>
      <c r="O201" s="2"/>
      <c r="P201" s="2"/>
      <c r="Q201" s="2"/>
      <c r="R201" s="2"/>
      <c r="S201" s="2"/>
      <c r="T201" s="2"/>
      <c r="U201" s="2"/>
      <c r="V201" s="2"/>
      <c r="W201" s="2"/>
      <c r="X201" s="2"/>
      <c r="Y201" s="2"/>
    </row>
    <row r="202" ht="15.75" customHeight="1">
      <c r="A202" s="3"/>
      <c r="B202" s="3"/>
      <c r="C202" s="3"/>
      <c r="D202" s="2"/>
      <c r="E202" s="3"/>
      <c r="F202" s="2"/>
      <c r="G202" s="2"/>
      <c r="H202" s="2"/>
      <c r="I202" s="2"/>
      <c r="J202" s="3"/>
      <c r="K202" s="3"/>
      <c r="L202" s="2"/>
      <c r="M202" s="2"/>
      <c r="N202" s="2"/>
      <c r="O202" s="2"/>
      <c r="P202" s="2"/>
      <c r="Q202" s="2"/>
      <c r="R202" s="2"/>
      <c r="S202" s="2"/>
      <c r="T202" s="2"/>
      <c r="U202" s="2"/>
      <c r="V202" s="2"/>
      <c r="W202" s="2"/>
      <c r="X202" s="2"/>
      <c r="Y202" s="2"/>
    </row>
    <row r="203" ht="15.75" customHeight="1">
      <c r="A203" s="3"/>
      <c r="B203" s="3"/>
      <c r="C203" s="3"/>
      <c r="D203" s="2"/>
      <c r="E203" s="3"/>
      <c r="F203" s="2"/>
      <c r="G203" s="2"/>
      <c r="H203" s="2"/>
      <c r="I203" s="2"/>
      <c r="J203" s="3"/>
      <c r="K203" s="3"/>
      <c r="L203" s="2"/>
      <c r="M203" s="2"/>
      <c r="N203" s="2"/>
      <c r="O203" s="2"/>
      <c r="P203" s="2"/>
      <c r="Q203" s="2"/>
      <c r="R203" s="2"/>
      <c r="S203" s="2"/>
      <c r="T203" s="2"/>
      <c r="U203" s="2"/>
      <c r="V203" s="2"/>
      <c r="W203" s="2"/>
      <c r="X203" s="2"/>
      <c r="Y203" s="2"/>
    </row>
    <row r="204" ht="15.75" customHeight="1">
      <c r="A204" s="3"/>
      <c r="B204" s="3"/>
      <c r="C204" s="3"/>
      <c r="D204" s="2"/>
      <c r="E204" s="3"/>
      <c r="F204" s="2"/>
      <c r="G204" s="2"/>
      <c r="H204" s="2"/>
      <c r="I204" s="2"/>
      <c r="J204" s="3"/>
      <c r="K204" s="3"/>
      <c r="L204" s="2"/>
      <c r="M204" s="2"/>
      <c r="N204" s="2"/>
      <c r="O204" s="2"/>
      <c r="P204" s="2"/>
      <c r="Q204" s="2"/>
      <c r="R204" s="2"/>
      <c r="S204" s="2"/>
      <c r="T204" s="2"/>
      <c r="U204" s="2"/>
      <c r="V204" s="2"/>
      <c r="W204" s="2"/>
      <c r="X204" s="2"/>
      <c r="Y204" s="2"/>
    </row>
    <row r="205" ht="15.75" customHeight="1">
      <c r="A205" s="3"/>
      <c r="B205" s="3"/>
      <c r="C205" s="3"/>
      <c r="D205" s="2"/>
      <c r="E205" s="3"/>
      <c r="F205" s="2"/>
      <c r="G205" s="2"/>
      <c r="H205" s="2"/>
      <c r="I205" s="2"/>
      <c r="J205" s="3"/>
      <c r="K205" s="3"/>
      <c r="L205" s="2"/>
      <c r="M205" s="2"/>
      <c r="N205" s="2"/>
      <c r="O205" s="2"/>
      <c r="P205" s="2"/>
      <c r="Q205" s="2"/>
      <c r="R205" s="2"/>
      <c r="S205" s="2"/>
      <c r="T205" s="2"/>
      <c r="U205" s="2"/>
      <c r="V205" s="2"/>
      <c r="W205" s="2"/>
      <c r="X205" s="2"/>
      <c r="Y205" s="2"/>
    </row>
    <row r="206" ht="15.75" customHeight="1">
      <c r="A206" s="3"/>
      <c r="B206" s="3"/>
      <c r="C206" s="3"/>
      <c r="D206" s="2"/>
      <c r="E206" s="3"/>
      <c r="F206" s="2"/>
      <c r="G206" s="2"/>
      <c r="H206" s="2"/>
      <c r="I206" s="2"/>
      <c r="J206" s="3"/>
      <c r="K206" s="3"/>
      <c r="L206" s="2"/>
      <c r="M206" s="2"/>
      <c r="N206" s="2"/>
      <c r="O206" s="2"/>
      <c r="P206" s="2"/>
      <c r="Q206" s="2"/>
      <c r="R206" s="2"/>
      <c r="S206" s="2"/>
      <c r="T206" s="2"/>
      <c r="U206" s="2"/>
      <c r="V206" s="2"/>
      <c r="W206" s="2"/>
      <c r="X206" s="2"/>
      <c r="Y206" s="2"/>
    </row>
    <row r="207" ht="15.75" customHeight="1">
      <c r="A207" s="3"/>
      <c r="B207" s="3"/>
      <c r="C207" s="3"/>
      <c r="D207" s="2"/>
      <c r="E207" s="3"/>
      <c r="F207" s="2"/>
      <c r="G207" s="2"/>
      <c r="H207" s="2"/>
      <c r="I207" s="2"/>
      <c r="J207" s="3"/>
      <c r="K207" s="3"/>
      <c r="L207" s="2"/>
      <c r="M207" s="2"/>
      <c r="N207" s="2"/>
      <c r="O207" s="2"/>
      <c r="P207" s="2"/>
      <c r="Q207" s="2"/>
      <c r="R207" s="2"/>
      <c r="S207" s="2"/>
      <c r="T207" s="2"/>
      <c r="U207" s="2"/>
      <c r="V207" s="2"/>
      <c r="W207" s="2"/>
      <c r="X207" s="2"/>
      <c r="Y207" s="2"/>
    </row>
    <row r="208" ht="15.75" customHeight="1">
      <c r="A208" s="3"/>
      <c r="B208" s="3"/>
      <c r="C208" s="3"/>
      <c r="D208" s="2"/>
      <c r="E208" s="3"/>
      <c r="F208" s="2"/>
      <c r="G208" s="2"/>
      <c r="H208" s="2"/>
      <c r="I208" s="2"/>
      <c r="J208" s="3"/>
      <c r="K208" s="3"/>
      <c r="L208" s="2"/>
      <c r="M208" s="2"/>
      <c r="N208" s="2"/>
      <c r="O208" s="2"/>
      <c r="P208" s="2"/>
      <c r="Q208" s="2"/>
      <c r="R208" s="2"/>
      <c r="S208" s="2"/>
      <c r="T208" s="2"/>
      <c r="U208" s="2"/>
      <c r="V208" s="2"/>
      <c r="W208" s="2"/>
      <c r="X208" s="2"/>
      <c r="Y208" s="2"/>
    </row>
    <row r="209" ht="15.75" customHeight="1">
      <c r="A209" s="3"/>
      <c r="B209" s="3"/>
      <c r="C209" s="3"/>
      <c r="D209" s="2"/>
      <c r="E209" s="3"/>
      <c r="F209" s="2"/>
      <c r="G209" s="2"/>
      <c r="H209" s="2"/>
      <c r="I209" s="2"/>
      <c r="J209" s="3"/>
      <c r="K209" s="3"/>
      <c r="L209" s="2"/>
      <c r="M209" s="2"/>
      <c r="N209" s="2"/>
      <c r="O209" s="2"/>
      <c r="P209" s="2"/>
      <c r="Q209" s="2"/>
      <c r="R209" s="2"/>
      <c r="S209" s="2"/>
      <c r="T209" s="2"/>
      <c r="U209" s="2"/>
      <c r="V209" s="2"/>
      <c r="W209" s="2"/>
      <c r="X209" s="2"/>
      <c r="Y209" s="2"/>
    </row>
    <row r="210" ht="15.75" customHeight="1">
      <c r="A210" s="3"/>
      <c r="B210" s="3"/>
      <c r="C210" s="3"/>
      <c r="D210" s="2"/>
      <c r="E210" s="3"/>
      <c r="F210" s="2"/>
      <c r="G210" s="2"/>
      <c r="H210" s="2"/>
      <c r="I210" s="2"/>
      <c r="J210" s="3"/>
      <c r="K210" s="3"/>
      <c r="L210" s="2"/>
      <c r="M210" s="2"/>
      <c r="N210" s="2"/>
      <c r="O210" s="2"/>
      <c r="P210" s="2"/>
      <c r="Q210" s="2"/>
      <c r="R210" s="2"/>
      <c r="S210" s="2"/>
      <c r="T210" s="2"/>
      <c r="U210" s="2"/>
      <c r="V210" s="2"/>
      <c r="W210" s="2"/>
      <c r="X210" s="2"/>
      <c r="Y210" s="2"/>
    </row>
    <row r="211" ht="15.75" customHeight="1">
      <c r="A211" s="3"/>
      <c r="B211" s="3"/>
      <c r="C211" s="3"/>
      <c r="D211" s="2"/>
      <c r="E211" s="3"/>
      <c r="F211" s="2"/>
      <c r="G211" s="2"/>
      <c r="H211" s="2"/>
      <c r="I211" s="2"/>
      <c r="J211" s="3"/>
      <c r="K211" s="3"/>
      <c r="L211" s="2"/>
      <c r="M211" s="2"/>
      <c r="N211" s="2"/>
      <c r="O211" s="2"/>
      <c r="P211" s="2"/>
      <c r="Q211" s="2"/>
      <c r="R211" s="2"/>
      <c r="S211" s="2"/>
      <c r="T211" s="2"/>
      <c r="U211" s="2"/>
      <c r="V211" s="2"/>
      <c r="W211" s="2"/>
      <c r="X211" s="2"/>
      <c r="Y211" s="2"/>
    </row>
    <row r="212" ht="15.75" customHeight="1">
      <c r="A212" s="3"/>
      <c r="B212" s="3"/>
      <c r="C212" s="3"/>
      <c r="D212" s="2"/>
      <c r="E212" s="3"/>
      <c r="F212" s="2"/>
      <c r="G212" s="2"/>
      <c r="H212" s="2"/>
      <c r="I212" s="2"/>
      <c r="J212" s="3"/>
      <c r="K212" s="3"/>
      <c r="L212" s="2"/>
      <c r="M212" s="2"/>
      <c r="N212" s="2"/>
      <c r="O212" s="2"/>
      <c r="P212" s="2"/>
      <c r="Q212" s="2"/>
      <c r="R212" s="2"/>
      <c r="S212" s="2"/>
      <c r="T212" s="2"/>
      <c r="U212" s="2"/>
      <c r="V212" s="2"/>
      <c r="W212" s="2"/>
      <c r="X212" s="2"/>
      <c r="Y212" s="2"/>
    </row>
    <row r="213" ht="15.75" customHeight="1">
      <c r="A213" s="3"/>
      <c r="B213" s="3"/>
      <c r="C213" s="3"/>
      <c r="D213" s="2"/>
      <c r="E213" s="3"/>
      <c r="F213" s="2"/>
      <c r="G213" s="2"/>
      <c r="H213" s="2"/>
      <c r="I213" s="2"/>
      <c r="J213" s="3"/>
      <c r="K213" s="3"/>
      <c r="L213" s="2"/>
      <c r="M213" s="2"/>
      <c r="N213" s="2"/>
      <c r="O213" s="2"/>
      <c r="P213" s="2"/>
      <c r="Q213" s="2"/>
      <c r="R213" s="2"/>
      <c r="S213" s="2"/>
      <c r="T213" s="2"/>
      <c r="U213" s="2"/>
      <c r="V213" s="2"/>
      <c r="W213" s="2"/>
      <c r="X213" s="2"/>
      <c r="Y213" s="2"/>
    </row>
    <row r="214" ht="15.75" customHeight="1">
      <c r="A214" s="3"/>
      <c r="B214" s="3"/>
      <c r="C214" s="3"/>
      <c r="D214" s="2"/>
      <c r="E214" s="3"/>
      <c r="F214" s="2"/>
      <c r="G214" s="2"/>
      <c r="H214" s="2"/>
      <c r="I214" s="2"/>
      <c r="J214" s="3"/>
      <c r="K214" s="3"/>
      <c r="L214" s="2"/>
      <c r="M214" s="2"/>
      <c r="N214" s="2"/>
      <c r="O214" s="2"/>
      <c r="P214" s="2"/>
      <c r="Q214" s="2"/>
      <c r="R214" s="2"/>
      <c r="S214" s="2"/>
      <c r="T214" s="2"/>
      <c r="U214" s="2"/>
      <c r="V214" s="2"/>
      <c r="W214" s="2"/>
      <c r="X214" s="2"/>
      <c r="Y214" s="2"/>
    </row>
    <row r="215" ht="15.75" customHeight="1">
      <c r="A215" s="3"/>
      <c r="B215" s="3"/>
      <c r="C215" s="3"/>
      <c r="D215" s="2"/>
      <c r="E215" s="3"/>
      <c r="F215" s="2"/>
      <c r="G215" s="2"/>
      <c r="H215" s="2"/>
      <c r="I215" s="2"/>
      <c r="J215" s="3"/>
      <c r="K215" s="3"/>
      <c r="L215" s="2"/>
      <c r="M215" s="2"/>
      <c r="N215" s="2"/>
      <c r="O215" s="2"/>
      <c r="P215" s="2"/>
      <c r="Q215" s="2"/>
      <c r="R215" s="2"/>
      <c r="S215" s="2"/>
      <c r="T215" s="2"/>
      <c r="U215" s="2"/>
      <c r="V215" s="2"/>
      <c r="W215" s="2"/>
      <c r="X215" s="2"/>
      <c r="Y215" s="2"/>
    </row>
    <row r="216" ht="15.75" customHeight="1">
      <c r="A216" s="3"/>
      <c r="B216" s="3"/>
      <c r="C216" s="3"/>
      <c r="D216" s="2"/>
      <c r="E216" s="3"/>
      <c r="F216" s="2"/>
      <c r="G216" s="2"/>
      <c r="H216" s="2"/>
      <c r="I216" s="2"/>
      <c r="J216" s="3"/>
      <c r="K216" s="3"/>
      <c r="L216" s="2"/>
      <c r="M216" s="2"/>
      <c r="N216" s="2"/>
      <c r="O216" s="2"/>
      <c r="P216" s="2"/>
      <c r="Q216" s="2"/>
      <c r="R216" s="2"/>
      <c r="S216" s="2"/>
      <c r="T216" s="2"/>
      <c r="U216" s="2"/>
      <c r="V216" s="2"/>
      <c r="W216" s="2"/>
      <c r="X216" s="2"/>
      <c r="Y216" s="2"/>
    </row>
    <row r="217" ht="15.75" customHeight="1">
      <c r="A217" s="3"/>
      <c r="B217" s="3"/>
      <c r="C217" s="3"/>
      <c r="D217" s="2"/>
      <c r="E217" s="3"/>
      <c r="F217" s="2"/>
      <c r="G217" s="2"/>
      <c r="H217" s="2"/>
      <c r="I217" s="2"/>
      <c r="J217" s="3"/>
      <c r="K217" s="3"/>
      <c r="L217" s="2"/>
      <c r="M217" s="2"/>
      <c r="N217" s="2"/>
      <c r="O217" s="2"/>
      <c r="P217" s="2"/>
      <c r="Q217" s="2"/>
      <c r="R217" s="2"/>
      <c r="S217" s="2"/>
      <c r="T217" s="2"/>
      <c r="U217" s="2"/>
      <c r="V217" s="2"/>
      <c r="W217" s="2"/>
      <c r="X217" s="2"/>
      <c r="Y217" s="2"/>
    </row>
    <row r="218" ht="15.75" customHeight="1">
      <c r="A218" s="3"/>
      <c r="B218" s="3"/>
      <c r="C218" s="3"/>
      <c r="D218" s="2"/>
      <c r="E218" s="3"/>
      <c r="F218" s="2"/>
      <c r="G218" s="2"/>
      <c r="H218" s="2"/>
      <c r="I218" s="2"/>
      <c r="J218" s="3"/>
      <c r="K218" s="3"/>
      <c r="L218" s="2"/>
      <c r="M218" s="2"/>
      <c r="N218" s="2"/>
      <c r="O218" s="2"/>
      <c r="P218" s="2"/>
      <c r="Q218" s="2"/>
      <c r="R218" s="2"/>
      <c r="S218" s="2"/>
      <c r="T218" s="2"/>
      <c r="U218" s="2"/>
      <c r="V218" s="2"/>
      <c r="W218" s="2"/>
      <c r="X218" s="2"/>
      <c r="Y218" s="2"/>
    </row>
    <row r="219" ht="15.75" customHeight="1">
      <c r="A219" s="3"/>
      <c r="B219" s="3"/>
      <c r="C219" s="3"/>
      <c r="D219" s="2"/>
      <c r="E219" s="3"/>
      <c r="F219" s="2"/>
      <c r="G219" s="2"/>
      <c r="H219" s="2"/>
      <c r="I219" s="2"/>
      <c r="J219" s="3"/>
      <c r="K219" s="3"/>
      <c r="L219" s="2"/>
      <c r="M219" s="2"/>
      <c r="N219" s="2"/>
      <c r="O219" s="2"/>
      <c r="P219" s="2"/>
      <c r="Q219" s="2"/>
      <c r="R219" s="2"/>
      <c r="S219" s="2"/>
      <c r="T219" s="2"/>
      <c r="U219" s="2"/>
      <c r="V219" s="2"/>
      <c r="W219" s="2"/>
      <c r="X219" s="2"/>
      <c r="Y219" s="2"/>
    </row>
    <row r="220" ht="15.75" customHeight="1">
      <c r="A220" s="3"/>
      <c r="B220" s="3"/>
      <c r="C220" s="3"/>
      <c r="D220" s="2"/>
      <c r="E220" s="3"/>
      <c r="F220" s="2"/>
      <c r="G220" s="2"/>
      <c r="H220" s="2"/>
      <c r="I220" s="2"/>
      <c r="J220" s="3"/>
      <c r="K220" s="3"/>
      <c r="L220" s="2"/>
      <c r="M220" s="2"/>
      <c r="N220" s="2"/>
      <c r="O220" s="2"/>
      <c r="P220" s="2"/>
      <c r="Q220" s="2"/>
      <c r="R220" s="2"/>
      <c r="S220" s="2"/>
      <c r="T220" s="2"/>
      <c r="U220" s="2"/>
      <c r="V220" s="2"/>
      <c r="W220" s="2"/>
      <c r="X220" s="2"/>
      <c r="Y220" s="2"/>
    </row>
    <row r="221" ht="15.75" customHeight="1">
      <c r="A221" s="3"/>
      <c r="B221" s="3"/>
      <c r="C221" s="3"/>
      <c r="D221" s="2"/>
      <c r="E221" s="3"/>
      <c r="F221" s="2"/>
      <c r="G221" s="2"/>
      <c r="H221" s="2"/>
      <c r="I221" s="2"/>
      <c r="J221" s="3"/>
      <c r="K221" s="3"/>
      <c r="L221" s="2"/>
      <c r="M221" s="2"/>
      <c r="N221" s="2"/>
      <c r="O221" s="2"/>
      <c r="P221" s="2"/>
      <c r="Q221" s="2"/>
      <c r="R221" s="2"/>
      <c r="S221" s="2"/>
      <c r="T221" s="2"/>
      <c r="U221" s="2"/>
      <c r="V221" s="2"/>
      <c r="W221" s="2"/>
      <c r="X221" s="2"/>
      <c r="Y221" s="2"/>
    </row>
    <row r="222" ht="15.75" customHeight="1">
      <c r="A222" s="3"/>
      <c r="B222" s="3"/>
      <c r="C222" s="3"/>
      <c r="D222" s="2"/>
      <c r="E222" s="3"/>
      <c r="F222" s="2"/>
      <c r="G222" s="2"/>
      <c r="H222" s="2"/>
      <c r="I222" s="2"/>
      <c r="J222" s="3"/>
      <c r="K222" s="3"/>
      <c r="L222" s="2"/>
      <c r="M222" s="2"/>
      <c r="N222" s="2"/>
      <c r="O222" s="2"/>
      <c r="P222" s="2"/>
      <c r="Q222" s="2"/>
      <c r="R222" s="2"/>
      <c r="S222" s="2"/>
      <c r="T222" s="2"/>
      <c r="U222" s="2"/>
      <c r="V222" s="2"/>
      <c r="W222" s="2"/>
      <c r="X222" s="2"/>
      <c r="Y222" s="2"/>
    </row>
    <row r="223" ht="15.75" customHeight="1">
      <c r="A223" s="3"/>
      <c r="B223" s="3"/>
      <c r="C223" s="3"/>
      <c r="D223" s="2"/>
      <c r="E223" s="3"/>
      <c r="F223" s="2"/>
      <c r="G223" s="2"/>
      <c r="H223" s="2"/>
      <c r="I223" s="2"/>
      <c r="J223" s="3"/>
      <c r="K223" s="3"/>
      <c r="L223" s="2"/>
      <c r="M223" s="2"/>
      <c r="N223" s="2"/>
      <c r="O223" s="2"/>
      <c r="P223" s="2"/>
      <c r="Q223" s="2"/>
      <c r="R223" s="2"/>
      <c r="S223" s="2"/>
      <c r="T223" s="2"/>
      <c r="U223" s="2"/>
      <c r="V223" s="2"/>
      <c r="W223" s="2"/>
      <c r="X223" s="2"/>
      <c r="Y223" s="2"/>
    </row>
    <row r="224" ht="15.75" customHeight="1">
      <c r="A224" s="3"/>
      <c r="B224" s="3"/>
      <c r="C224" s="3"/>
      <c r="D224" s="2"/>
      <c r="E224" s="3"/>
      <c r="F224" s="2"/>
      <c r="G224" s="2"/>
      <c r="H224" s="2"/>
      <c r="I224" s="2"/>
      <c r="J224" s="3"/>
      <c r="K224" s="3"/>
      <c r="L224" s="2"/>
      <c r="M224" s="2"/>
      <c r="N224" s="2"/>
      <c r="O224" s="2"/>
      <c r="P224" s="2"/>
      <c r="Q224" s="2"/>
      <c r="R224" s="2"/>
      <c r="S224" s="2"/>
      <c r="T224" s="2"/>
      <c r="U224" s="2"/>
      <c r="V224" s="2"/>
      <c r="W224" s="2"/>
      <c r="X224" s="2"/>
      <c r="Y224" s="2"/>
    </row>
    <row r="225" ht="15.75" customHeight="1">
      <c r="A225" s="3"/>
      <c r="B225" s="3"/>
      <c r="C225" s="3"/>
      <c r="D225" s="2"/>
      <c r="E225" s="3"/>
      <c r="F225" s="2"/>
      <c r="G225" s="2"/>
      <c r="H225" s="2"/>
      <c r="I225" s="2"/>
      <c r="J225" s="3"/>
      <c r="K225" s="3"/>
      <c r="L225" s="2"/>
      <c r="M225" s="2"/>
      <c r="N225" s="2"/>
      <c r="O225" s="2"/>
      <c r="P225" s="2"/>
      <c r="Q225" s="2"/>
      <c r="R225" s="2"/>
      <c r="S225" s="2"/>
      <c r="T225" s="2"/>
      <c r="U225" s="2"/>
      <c r="V225" s="2"/>
      <c r="W225" s="2"/>
      <c r="X225" s="2"/>
      <c r="Y225" s="2"/>
    </row>
    <row r="226" ht="15.75" customHeight="1">
      <c r="A226" s="3"/>
      <c r="B226" s="3"/>
      <c r="C226" s="3"/>
      <c r="D226" s="2"/>
      <c r="E226" s="3"/>
      <c r="F226" s="2"/>
      <c r="G226" s="2"/>
      <c r="H226" s="2"/>
      <c r="I226" s="2"/>
      <c r="J226" s="3"/>
      <c r="K226" s="3"/>
      <c r="L226" s="2"/>
      <c r="M226" s="2"/>
      <c r="N226" s="2"/>
      <c r="O226" s="2"/>
      <c r="P226" s="2"/>
      <c r="Q226" s="2"/>
      <c r="R226" s="2"/>
      <c r="S226" s="2"/>
      <c r="T226" s="2"/>
      <c r="U226" s="2"/>
      <c r="V226" s="2"/>
      <c r="W226" s="2"/>
      <c r="X226" s="2"/>
      <c r="Y226" s="2"/>
    </row>
    <row r="227" ht="15.75" customHeight="1">
      <c r="A227" s="3"/>
      <c r="B227" s="3"/>
      <c r="C227" s="3"/>
      <c r="D227" s="2"/>
      <c r="E227" s="3"/>
      <c r="F227" s="2"/>
      <c r="G227" s="2"/>
      <c r="H227" s="2"/>
      <c r="I227" s="2"/>
      <c r="J227" s="3"/>
      <c r="K227" s="3"/>
      <c r="L227" s="2"/>
      <c r="M227" s="2"/>
      <c r="N227" s="2"/>
      <c r="O227" s="2"/>
      <c r="P227" s="2"/>
      <c r="Q227" s="2"/>
      <c r="R227" s="2"/>
      <c r="S227" s="2"/>
      <c r="T227" s="2"/>
      <c r="U227" s="2"/>
      <c r="V227" s="2"/>
      <c r="W227" s="2"/>
      <c r="X227" s="2"/>
      <c r="Y227" s="2"/>
    </row>
    <row r="228" ht="15.75" customHeight="1">
      <c r="A228" s="3"/>
      <c r="B228" s="3"/>
      <c r="C228" s="3"/>
      <c r="D228" s="2"/>
      <c r="E228" s="3"/>
      <c r="F228" s="2"/>
      <c r="G228" s="2"/>
      <c r="H228" s="2"/>
      <c r="I228" s="2"/>
      <c r="J228" s="3"/>
      <c r="K228" s="3"/>
      <c r="L228" s="2"/>
      <c r="M228" s="2"/>
      <c r="N228" s="2"/>
      <c r="O228" s="2"/>
      <c r="P228" s="2"/>
      <c r="Q228" s="2"/>
      <c r="R228" s="2"/>
      <c r="S228" s="2"/>
      <c r="T228" s="2"/>
      <c r="U228" s="2"/>
      <c r="V228" s="2"/>
      <c r="W228" s="2"/>
      <c r="X228" s="2"/>
      <c r="Y228" s="2"/>
    </row>
    <row r="229" ht="15.75" customHeight="1">
      <c r="A229" s="3"/>
      <c r="B229" s="3"/>
      <c r="C229" s="3"/>
      <c r="D229" s="2"/>
      <c r="E229" s="3"/>
      <c r="F229" s="2"/>
      <c r="G229" s="2"/>
      <c r="H229" s="2"/>
      <c r="I229" s="2"/>
      <c r="J229" s="3"/>
      <c r="K229" s="3"/>
      <c r="L229" s="2"/>
      <c r="M229" s="2"/>
      <c r="N229" s="2"/>
      <c r="O229" s="2"/>
      <c r="P229" s="2"/>
      <c r="Q229" s="2"/>
      <c r="R229" s="2"/>
      <c r="S229" s="2"/>
      <c r="T229" s="2"/>
      <c r="U229" s="2"/>
      <c r="V229" s="2"/>
      <c r="W229" s="2"/>
      <c r="X229" s="2"/>
      <c r="Y229" s="2"/>
    </row>
    <row r="230" ht="15.75" customHeight="1">
      <c r="A230" s="3"/>
      <c r="B230" s="3"/>
      <c r="C230" s="3"/>
      <c r="D230" s="2"/>
      <c r="E230" s="3"/>
      <c r="F230" s="2"/>
      <c r="G230" s="2"/>
      <c r="H230" s="2"/>
      <c r="I230" s="2"/>
      <c r="J230" s="3"/>
      <c r="K230" s="3"/>
      <c r="L230" s="2"/>
      <c r="M230" s="2"/>
      <c r="N230" s="2"/>
      <c r="O230" s="2"/>
      <c r="P230" s="2"/>
      <c r="Q230" s="2"/>
      <c r="R230" s="2"/>
      <c r="S230" s="2"/>
      <c r="T230" s="2"/>
      <c r="U230" s="2"/>
      <c r="V230" s="2"/>
      <c r="W230" s="2"/>
      <c r="X230" s="2"/>
      <c r="Y230" s="2"/>
    </row>
    <row r="231" ht="15.75" customHeight="1">
      <c r="A231" s="3"/>
      <c r="B231" s="3"/>
      <c r="C231" s="3"/>
      <c r="D231" s="2"/>
      <c r="E231" s="3"/>
      <c r="F231" s="2"/>
      <c r="G231" s="2"/>
      <c r="H231" s="2"/>
      <c r="I231" s="2"/>
      <c r="J231" s="3"/>
      <c r="K231" s="3"/>
      <c r="L231" s="2"/>
      <c r="M231" s="2"/>
      <c r="N231" s="2"/>
      <c r="O231" s="2"/>
      <c r="P231" s="2"/>
      <c r="Q231" s="2"/>
      <c r="R231" s="2"/>
      <c r="S231" s="2"/>
      <c r="T231" s="2"/>
      <c r="U231" s="2"/>
      <c r="V231" s="2"/>
      <c r="W231" s="2"/>
      <c r="X231" s="2"/>
      <c r="Y231" s="2"/>
    </row>
    <row r="232" ht="15.75" customHeight="1">
      <c r="A232" s="3"/>
      <c r="B232" s="3"/>
      <c r="C232" s="3"/>
      <c r="D232" s="2"/>
      <c r="E232" s="3"/>
      <c r="F232" s="2"/>
      <c r="G232" s="2"/>
      <c r="H232" s="2"/>
      <c r="I232" s="2"/>
      <c r="J232" s="3"/>
      <c r="K232" s="3"/>
      <c r="L232" s="2"/>
      <c r="M232" s="2"/>
      <c r="N232" s="2"/>
      <c r="O232" s="2"/>
      <c r="P232" s="2"/>
      <c r="Q232" s="2"/>
      <c r="R232" s="2"/>
      <c r="S232" s="2"/>
      <c r="T232" s="2"/>
      <c r="U232" s="2"/>
      <c r="V232" s="2"/>
      <c r="W232" s="2"/>
      <c r="X232" s="2"/>
      <c r="Y232" s="2"/>
    </row>
    <row r="233" ht="15.75" customHeight="1">
      <c r="A233" s="3"/>
      <c r="B233" s="3"/>
      <c r="C233" s="3"/>
      <c r="D233" s="2"/>
      <c r="E233" s="3"/>
      <c r="F233" s="2"/>
      <c r="G233" s="2"/>
      <c r="H233" s="2"/>
      <c r="I233" s="2"/>
      <c r="J233" s="3"/>
      <c r="K233" s="3"/>
      <c r="L233" s="2"/>
      <c r="M233" s="2"/>
      <c r="N233" s="2"/>
      <c r="O233" s="2"/>
      <c r="P233" s="2"/>
      <c r="Q233" s="2"/>
      <c r="R233" s="2"/>
      <c r="S233" s="2"/>
      <c r="T233" s="2"/>
      <c r="U233" s="2"/>
      <c r="V233" s="2"/>
      <c r="W233" s="2"/>
      <c r="X233" s="2"/>
      <c r="Y233" s="2"/>
    </row>
    <row r="234" ht="15.75" customHeight="1">
      <c r="A234" s="3"/>
      <c r="B234" s="3"/>
      <c r="C234" s="3"/>
      <c r="D234" s="2"/>
      <c r="E234" s="3"/>
      <c r="F234" s="2"/>
      <c r="G234" s="2"/>
      <c r="H234" s="2"/>
      <c r="I234" s="2"/>
      <c r="J234" s="3"/>
      <c r="K234" s="3"/>
      <c r="L234" s="2"/>
      <c r="M234" s="2"/>
      <c r="N234" s="2"/>
      <c r="O234" s="2"/>
      <c r="P234" s="2"/>
      <c r="Q234" s="2"/>
      <c r="R234" s="2"/>
      <c r="S234" s="2"/>
      <c r="T234" s="2"/>
      <c r="U234" s="2"/>
      <c r="V234" s="2"/>
      <c r="W234" s="2"/>
      <c r="X234" s="2"/>
      <c r="Y234" s="2"/>
    </row>
    <row r="235" ht="15.75" customHeight="1">
      <c r="A235" s="3"/>
      <c r="B235" s="3"/>
      <c r="C235" s="3"/>
      <c r="D235" s="2"/>
      <c r="E235" s="3"/>
      <c r="F235" s="2"/>
      <c r="G235" s="2"/>
      <c r="H235" s="2"/>
      <c r="I235" s="2"/>
      <c r="J235" s="3"/>
      <c r="K235" s="3"/>
      <c r="L235" s="2"/>
      <c r="M235" s="2"/>
      <c r="N235" s="2"/>
      <c r="O235" s="2"/>
      <c r="P235" s="2"/>
      <c r="Q235" s="2"/>
      <c r="R235" s="2"/>
      <c r="S235" s="2"/>
      <c r="T235" s="2"/>
      <c r="U235" s="2"/>
      <c r="V235" s="2"/>
      <c r="W235" s="2"/>
      <c r="X235" s="2"/>
      <c r="Y235" s="2"/>
    </row>
    <row r="236" ht="15.75" customHeight="1">
      <c r="A236" s="3"/>
      <c r="B236" s="3"/>
      <c r="C236" s="3"/>
      <c r="D236" s="2"/>
      <c r="E236" s="3"/>
      <c r="F236" s="2"/>
      <c r="G236" s="2"/>
      <c r="H236" s="2"/>
      <c r="I236" s="2"/>
      <c r="J236" s="3"/>
      <c r="K236" s="3"/>
      <c r="L236" s="2"/>
      <c r="M236" s="2"/>
      <c r="N236" s="2"/>
      <c r="O236" s="2"/>
      <c r="P236" s="2"/>
      <c r="Q236" s="2"/>
      <c r="R236" s="2"/>
      <c r="S236" s="2"/>
      <c r="T236" s="2"/>
      <c r="U236" s="2"/>
      <c r="V236" s="2"/>
      <c r="W236" s="2"/>
      <c r="X236" s="2"/>
      <c r="Y236" s="2"/>
    </row>
    <row r="237" ht="15.75" customHeight="1">
      <c r="A237" s="3"/>
      <c r="B237" s="3"/>
      <c r="C237" s="3"/>
      <c r="D237" s="2"/>
      <c r="E237" s="3"/>
      <c r="F237" s="2"/>
      <c r="G237" s="2"/>
      <c r="H237" s="2"/>
      <c r="I237" s="2"/>
      <c r="J237" s="3"/>
      <c r="K237" s="3"/>
      <c r="L237" s="2"/>
      <c r="M237" s="2"/>
      <c r="N237" s="2"/>
      <c r="O237" s="2"/>
      <c r="P237" s="2"/>
      <c r="Q237" s="2"/>
      <c r="R237" s="2"/>
      <c r="S237" s="2"/>
      <c r="T237" s="2"/>
      <c r="U237" s="2"/>
      <c r="V237" s="2"/>
      <c r="W237" s="2"/>
      <c r="X237" s="2"/>
      <c r="Y237" s="2"/>
    </row>
    <row r="238" ht="15.75" customHeight="1">
      <c r="A238" s="3"/>
      <c r="B238" s="3"/>
      <c r="C238" s="3"/>
      <c r="D238" s="2"/>
      <c r="E238" s="3"/>
      <c r="F238" s="2"/>
      <c r="G238" s="2"/>
      <c r="H238" s="2"/>
      <c r="I238" s="2"/>
      <c r="J238" s="3"/>
      <c r="K238" s="3"/>
      <c r="L238" s="2"/>
      <c r="M238" s="2"/>
      <c r="N238" s="2"/>
      <c r="O238" s="2"/>
      <c r="P238" s="2"/>
      <c r="Q238" s="2"/>
      <c r="R238" s="2"/>
      <c r="S238" s="2"/>
      <c r="T238" s="2"/>
      <c r="U238" s="2"/>
      <c r="V238" s="2"/>
      <c r="W238" s="2"/>
      <c r="X238" s="2"/>
      <c r="Y238" s="2"/>
    </row>
    <row r="239" ht="15.75" customHeight="1">
      <c r="A239" s="3"/>
      <c r="B239" s="3"/>
      <c r="C239" s="3"/>
      <c r="D239" s="2"/>
      <c r="E239" s="3"/>
      <c r="F239" s="2"/>
      <c r="G239" s="2"/>
      <c r="H239" s="2"/>
      <c r="I239" s="2"/>
      <c r="J239" s="3"/>
      <c r="K239" s="3"/>
      <c r="L239" s="2"/>
      <c r="M239" s="2"/>
      <c r="N239" s="2"/>
      <c r="O239" s="2"/>
      <c r="P239" s="2"/>
      <c r="Q239" s="2"/>
      <c r="R239" s="2"/>
      <c r="S239" s="2"/>
      <c r="T239" s="2"/>
      <c r="U239" s="2"/>
      <c r="V239" s="2"/>
      <c r="W239" s="2"/>
      <c r="X239" s="2"/>
      <c r="Y239" s="2"/>
    </row>
    <row r="240" ht="15.75" customHeight="1">
      <c r="A240" s="3"/>
      <c r="B240" s="3"/>
      <c r="C240" s="3"/>
      <c r="D240" s="2"/>
      <c r="E240" s="3"/>
      <c r="F240" s="2"/>
      <c r="G240" s="2"/>
      <c r="H240" s="2"/>
      <c r="I240" s="2"/>
      <c r="J240" s="3"/>
      <c r="K240" s="3"/>
      <c r="L240" s="2"/>
      <c r="M240" s="2"/>
      <c r="N240" s="2"/>
      <c r="O240" s="2"/>
      <c r="P240" s="2"/>
      <c r="Q240" s="2"/>
      <c r="R240" s="2"/>
      <c r="S240" s="2"/>
      <c r="T240" s="2"/>
      <c r="U240" s="2"/>
      <c r="V240" s="2"/>
      <c r="W240" s="2"/>
      <c r="X240" s="2"/>
      <c r="Y240" s="2"/>
    </row>
    <row r="241" ht="15.75" customHeight="1">
      <c r="A241" s="3"/>
      <c r="B241" s="3"/>
      <c r="C241" s="3"/>
      <c r="D241" s="2"/>
      <c r="E241" s="3"/>
      <c r="F241" s="2"/>
      <c r="G241" s="2"/>
      <c r="H241" s="2"/>
      <c r="I241" s="2"/>
      <c r="J241" s="3"/>
      <c r="K241" s="3"/>
      <c r="L241" s="2"/>
      <c r="M241" s="2"/>
      <c r="N241" s="2"/>
      <c r="O241" s="2"/>
      <c r="P241" s="2"/>
      <c r="Q241" s="2"/>
      <c r="R241" s="2"/>
      <c r="S241" s="2"/>
      <c r="T241" s="2"/>
      <c r="U241" s="2"/>
      <c r="V241" s="2"/>
      <c r="W241" s="2"/>
      <c r="X241" s="2"/>
      <c r="Y241" s="2"/>
    </row>
    <row r="242" ht="15.75" customHeight="1">
      <c r="A242" s="3"/>
      <c r="B242" s="3"/>
      <c r="C242" s="3"/>
      <c r="D242" s="2"/>
      <c r="E242" s="3"/>
      <c r="F242" s="2"/>
      <c r="G242" s="2"/>
      <c r="H242" s="2"/>
      <c r="I242" s="2"/>
      <c r="J242" s="3"/>
      <c r="K242" s="3"/>
      <c r="L242" s="2"/>
      <c r="M242" s="2"/>
      <c r="N242" s="2"/>
      <c r="O242" s="2"/>
      <c r="P242" s="2"/>
      <c r="Q242" s="2"/>
      <c r="R242" s="2"/>
      <c r="S242" s="2"/>
      <c r="T242" s="2"/>
      <c r="U242" s="2"/>
      <c r="V242" s="2"/>
      <c r="W242" s="2"/>
      <c r="X242" s="2"/>
      <c r="Y242" s="2"/>
    </row>
    <row r="243" ht="15.75" customHeight="1">
      <c r="A243" s="3"/>
      <c r="B243" s="3"/>
      <c r="C243" s="3"/>
      <c r="D243" s="2"/>
      <c r="E243" s="3"/>
      <c r="F243" s="2"/>
      <c r="G243" s="2"/>
      <c r="H243" s="2"/>
      <c r="I243" s="2"/>
      <c r="J243" s="3"/>
      <c r="K243" s="3"/>
      <c r="L243" s="2"/>
      <c r="M243" s="2"/>
      <c r="N243" s="2"/>
      <c r="O243" s="2"/>
      <c r="P243" s="2"/>
      <c r="Q243" s="2"/>
      <c r="R243" s="2"/>
      <c r="S243" s="2"/>
      <c r="T243" s="2"/>
      <c r="U243" s="2"/>
      <c r="V243" s="2"/>
      <c r="W243" s="2"/>
      <c r="X243" s="2"/>
      <c r="Y243" s="2"/>
    </row>
    <row r="244" ht="15.75" customHeight="1">
      <c r="A244" s="3"/>
      <c r="B244" s="3"/>
      <c r="C244" s="3"/>
      <c r="D244" s="2"/>
      <c r="E244" s="3"/>
      <c r="F244" s="2"/>
      <c r="G244" s="2"/>
      <c r="H244" s="2"/>
      <c r="I244" s="2"/>
      <c r="J244" s="3"/>
      <c r="K244" s="3"/>
      <c r="L244" s="2"/>
      <c r="M244" s="2"/>
      <c r="N244" s="2"/>
      <c r="O244" s="2"/>
      <c r="P244" s="2"/>
      <c r="Q244" s="2"/>
      <c r="R244" s="2"/>
      <c r="S244" s="2"/>
      <c r="T244" s="2"/>
      <c r="U244" s="2"/>
      <c r="V244" s="2"/>
      <c r="W244" s="2"/>
      <c r="X244" s="2"/>
      <c r="Y244" s="2"/>
    </row>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Q$45"/>
  <conditionalFormatting sqref="B2:B45">
    <cfRule type="expression" dxfId="8" priority="1">
      <formula>B2="Funcional"</formula>
    </cfRule>
  </conditionalFormatting>
  <conditionalFormatting sqref="B2:B45">
    <cfRule type="expression" dxfId="9" priority="2">
      <formula>B2="No funcional"</formula>
    </cfRule>
  </conditionalFormatting>
  <conditionalFormatting sqref="E2:E45">
    <cfRule type="expression" dxfId="5" priority="3">
      <formula>E2="Alta"</formula>
    </cfRule>
  </conditionalFormatting>
  <conditionalFormatting sqref="E2:E45">
    <cfRule type="expression" dxfId="6" priority="4">
      <formula>E2="Media"</formula>
    </cfRule>
  </conditionalFormatting>
  <conditionalFormatting sqref="E2:E45">
    <cfRule type="expression" dxfId="7" priority="5">
      <formula>E2="Baja"</formula>
    </cfRule>
  </conditionalFormatting>
  <dataValidations>
    <dataValidation type="list" allowBlank="1" showErrorMessage="1" sqref="E2:E45">
      <formula1>"Alta,Media,Baja,Por definir"</formula1>
    </dataValidation>
    <dataValidation type="list" allowBlank="1" showErrorMessage="1" sqref="B2:B45">
      <formula1>"Funcional,No funcional"</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2.0"/>
    <col customWidth="1" min="2" max="2" width="38.0"/>
    <col customWidth="1" min="3" max="3" width="30.0"/>
    <col customWidth="1" min="4" max="4" width="14.0"/>
    <col customWidth="1" min="5" max="5" width="14.75"/>
    <col customWidth="1" min="6" max="6" width="35.0"/>
    <col customWidth="1" min="7" max="7" width="50.0"/>
    <col customWidth="1" min="8" max="8" width="55.0"/>
    <col customWidth="1" min="9" max="9" width="24.0"/>
    <col customWidth="1" min="10" max="26" width="8.63"/>
  </cols>
  <sheetData>
    <row r="1" ht="22.5" customHeight="1">
      <c r="A1" s="6" t="s">
        <v>21</v>
      </c>
      <c r="B1" s="6" t="s">
        <v>25</v>
      </c>
      <c r="C1" s="6" t="s">
        <v>30</v>
      </c>
      <c r="D1" s="6" t="s">
        <v>34</v>
      </c>
      <c r="E1" s="6" t="s">
        <v>5</v>
      </c>
      <c r="F1" s="6" t="s">
        <v>43</v>
      </c>
      <c r="G1" s="6" t="s">
        <v>47</v>
      </c>
      <c r="H1" s="6" t="s">
        <v>48</v>
      </c>
      <c r="I1" s="6" t="s">
        <v>52</v>
      </c>
      <c r="J1" s="2"/>
      <c r="K1" s="2"/>
      <c r="L1" s="2"/>
      <c r="M1" s="2"/>
      <c r="N1" s="2"/>
      <c r="O1" s="2"/>
      <c r="P1" s="2"/>
      <c r="Q1" s="2"/>
      <c r="R1" s="2"/>
      <c r="S1" s="2"/>
      <c r="T1" s="2"/>
      <c r="U1" s="2"/>
      <c r="V1" s="2"/>
      <c r="W1" s="2"/>
      <c r="X1" s="2"/>
      <c r="Y1" s="2"/>
      <c r="Z1" s="2"/>
    </row>
    <row r="2" ht="22.5" customHeight="1">
      <c r="A2" s="7" t="s">
        <v>68</v>
      </c>
      <c r="B2" s="7" t="s">
        <v>77</v>
      </c>
      <c r="C2" s="7" t="s">
        <v>29</v>
      </c>
      <c r="D2" s="7" t="s">
        <v>79</v>
      </c>
      <c r="E2" s="8" t="s">
        <v>83</v>
      </c>
      <c r="F2" s="7" t="s">
        <v>90</v>
      </c>
      <c r="G2" s="8" t="s">
        <v>93</v>
      </c>
      <c r="H2" s="8" t="s">
        <v>95</v>
      </c>
      <c r="I2" s="10" t="s">
        <v>97</v>
      </c>
      <c r="J2" s="2"/>
      <c r="K2" s="2"/>
      <c r="L2" s="2"/>
      <c r="M2" s="2"/>
      <c r="N2" s="2"/>
      <c r="O2" s="2"/>
      <c r="P2" s="2"/>
      <c r="Q2" s="2"/>
      <c r="R2" s="2"/>
      <c r="S2" s="2"/>
      <c r="T2" s="2"/>
      <c r="U2" s="2"/>
      <c r="V2" s="2"/>
      <c r="W2" s="2"/>
      <c r="X2" s="2"/>
      <c r="Y2" s="2"/>
      <c r="Z2" s="2"/>
    </row>
    <row r="3" ht="195.75" customHeight="1">
      <c r="A3" s="7" t="s">
        <v>118</v>
      </c>
      <c r="B3" s="7" t="s">
        <v>123</v>
      </c>
      <c r="C3" s="7" t="s">
        <v>29</v>
      </c>
      <c r="D3" s="7" t="s">
        <v>79</v>
      </c>
      <c r="E3" s="8" t="s">
        <v>83</v>
      </c>
      <c r="F3" s="7" t="s">
        <v>134</v>
      </c>
      <c r="G3" s="8" t="s">
        <v>137</v>
      </c>
      <c r="H3" s="8" t="s">
        <v>140</v>
      </c>
      <c r="I3" s="10" t="s">
        <v>97</v>
      </c>
      <c r="J3" s="2"/>
      <c r="K3" s="2"/>
      <c r="L3" s="2"/>
      <c r="M3" s="2"/>
      <c r="N3" s="2"/>
      <c r="O3" s="2"/>
      <c r="P3" s="2"/>
      <c r="Q3" s="2"/>
      <c r="R3" s="2"/>
      <c r="S3" s="2"/>
      <c r="T3" s="2"/>
      <c r="U3" s="2"/>
      <c r="V3" s="2"/>
      <c r="W3" s="2"/>
      <c r="X3" s="2"/>
      <c r="Y3" s="2"/>
      <c r="Z3" s="2"/>
    </row>
    <row r="4" ht="195.75" customHeight="1">
      <c r="A4" s="7" t="s">
        <v>155</v>
      </c>
      <c r="B4" s="7" t="s">
        <v>160</v>
      </c>
      <c r="C4" s="7" t="s">
        <v>29</v>
      </c>
      <c r="D4" s="7" t="s">
        <v>79</v>
      </c>
      <c r="E4" s="8" t="s">
        <v>83</v>
      </c>
      <c r="F4" s="7" t="s">
        <v>167</v>
      </c>
      <c r="G4" s="8" t="s">
        <v>173</v>
      </c>
      <c r="H4" s="8" t="s">
        <v>179</v>
      </c>
      <c r="I4" s="10" t="s">
        <v>97</v>
      </c>
      <c r="J4" s="2"/>
      <c r="K4" s="2"/>
      <c r="L4" s="2"/>
      <c r="M4" s="2"/>
      <c r="N4" s="2"/>
      <c r="O4" s="2"/>
      <c r="P4" s="2"/>
      <c r="Q4" s="2"/>
      <c r="R4" s="2"/>
      <c r="S4" s="2"/>
      <c r="T4" s="2"/>
      <c r="U4" s="2"/>
      <c r="V4" s="2"/>
      <c r="W4" s="2"/>
      <c r="X4" s="2"/>
      <c r="Y4" s="2"/>
      <c r="Z4" s="2"/>
    </row>
    <row r="5" ht="237.75" customHeight="1">
      <c r="A5" s="7" t="s">
        <v>194</v>
      </c>
      <c r="B5" s="7" t="s">
        <v>198</v>
      </c>
      <c r="C5" s="7" t="s">
        <v>29</v>
      </c>
      <c r="D5" s="7" t="s">
        <v>79</v>
      </c>
      <c r="E5" s="8" t="s">
        <v>83</v>
      </c>
      <c r="F5" s="7" t="s">
        <v>206</v>
      </c>
      <c r="G5" s="8" t="s">
        <v>210</v>
      </c>
      <c r="H5" s="8" t="s">
        <v>212</v>
      </c>
      <c r="I5" s="10" t="s">
        <v>97</v>
      </c>
      <c r="J5" s="2"/>
      <c r="K5" s="2"/>
      <c r="L5" s="2"/>
      <c r="M5" s="2"/>
      <c r="N5" s="2"/>
      <c r="O5" s="2"/>
      <c r="P5" s="2"/>
      <c r="Q5" s="2"/>
      <c r="R5" s="2"/>
      <c r="S5" s="2"/>
      <c r="T5" s="2"/>
      <c r="U5" s="2"/>
      <c r="V5" s="2"/>
      <c r="W5" s="2"/>
      <c r="X5" s="2"/>
      <c r="Y5" s="2"/>
      <c r="Z5" s="2"/>
    </row>
    <row r="6" ht="210.0" customHeight="1">
      <c r="A6" s="7" t="s">
        <v>228</v>
      </c>
      <c r="B6" s="7" t="s">
        <v>231</v>
      </c>
      <c r="C6" s="7" t="s">
        <v>29</v>
      </c>
      <c r="D6" s="7" t="s">
        <v>79</v>
      </c>
      <c r="E6" s="8" t="s">
        <v>83</v>
      </c>
      <c r="F6" s="7" t="s">
        <v>237</v>
      </c>
      <c r="G6" s="8" t="s">
        <v>241</v>
      </c>
      <c r="H6" s="8" t="s">
        <v>246</v>
      </c>
      <c r="I6" s="10" t="s">
        <v>97</v>
      </c>
      <c r="J6" s="2"/>
      <c r="K6" s="2"/>
      <c r="L6" s="2"/>
      <c r="M6" s="2"/>
      <c r="N6" s="2"/>
      <c r="O6" s="2"/>
      <c r="P6" s="2"/>
      <c r="Q6" s="2"/>
      <c r="R6" s="2"/>
      <c r="S6" s="2"/>
      <c r="T6" s="2"/>
      <c r="U6" s="2"/>
      <c r="V6" s="2"/>
      <c r="W6" s="2"/>
      <c r="X6" s="2"/>
      <c r="Y6" s="2"/>
      <c r="Z6" s="2"/>
    </row>
    <row r="7" ht="223.5" customHeight="1">
      <c r="A7" s="7" t="s">
        <v>259</v>
      </c>
      <c r="B7" s="7" t="s">
        <v>263</v>
      </c>
      <c r="C7" s="7" t="s">
        <v>29</v>
      </c>
      <c r="D7" s="7" t="s">
        <v>79</v>
      </c>
      <c r="E7" s="8" t="s">
        <v>83</v>
      </c>
      <c r="F7" s="7" t="s">
        <v>274</v>
      </c>
      <c r="G7" s="8" t="s">
        <v>279</v>
      </c>
      <c r="H7" s="8" t="s">
        <v>281</v>
      </c>
      <c r="I7" s="10" t="s">
        <v>282</v>
      </c>
      <c r="J7" s="2"/>
      <c r="K7" s="2"/>
      <c r="L7" s="2"/>
      <c r="M7" s="2"/>
      <c r="N7" s="2"/>
      <c r="O7" s="2"/>
      <c r="P7" s="2"/>
      <c r="Q7" s="2"/>
      <c r="R7" s="2"/>
      <c r="S7" s="2"/>
      <c r="T7" s="2"/>
      <c r="U7" s="2"/>
      <c r="V7" s="2"/>
      <c r="W7" s="2"/>
      <c r="X7" s="2"/>
      <c r="Y7" s="2"/>
      <c r="Z7" s="2"/>
    </row>
    <row r="8" ht="237.75" customHeight="1">
      <c r="A8" s="7" t="s">
        <v>298</v>
      </c>
      <c r="B8" s="7" t="s">
        <v>301</v>
      </c>
      <c r="C8" s="7" t="s">
        <v>82</v>
      </c>
      <c r="D8" s="7" t="s">
        <v>79</v>
      </c>
      <c r="E8" s="8" t="s">
        <v>83</v>
      </c>
      <c r="F8" s="7" t="s">
        <v>315</v>
      </c>
      <c r="G8" s="8" t="s">
        <v>317</v>
      </c>
      <c r="H8" s="8" t="s">
        <v>319</v>
      </c>
      <c r="I8" s="10" t="s">
        <v>97</v>
      </c>
      <c r="J8" s="2"/>
      <c r="K8" s="2"/>
      <c r="L8" s="2"/>
      <c r="M8" s="2"/>
      <c r="N8" s="2"/>
      <c r="O8" s="2"/>
      <c r="P8" s="2"/>
      <c r="Q8" s="2"/>
      <c r="R8" s="2"/>
      <c r="S8" s="2"/>
      <c r="T8" s="2"/>
      <c r="U8" s="2"/>
      <c r="V8" s="2"/>
      <c r="W8" s="2"/>
      <c r="X8" s="2"/>
      <c r="Y8" s="2"/>
      <c r="Z8" s="2"/>
    </row>
    <row r="9" ht="408.75" customHeight="1">
      <c r="A9" s="7" t="s">
        <v>335</v>
      </c>
      <c r="B9" s="7" t="s">
        <v>338</v>
      </c>
      <c r="C9" s="7" t="s">
        <v>82</v>
      </c>
      <c r="D9" s="7" t="s">
        <v>79</v>
      </c>
      <c r="E9" s="8" t="s">
        <v>83</v>
      </c>
      <c r="F9" s="7" t="s">
        <v>348</v>
      </c>
      <c r="G9" s="8" t="s">
        <v>352</v>
      </c>
      <c r="H9" s="8" t="s">
        <v>358</v>
      </c>
      <c r="I9" s="10" t="s">
        <v>282</v>
      </c>
      <c r="J9" s="2"/>
      <c r="K9" s="2"/>
      <c r="L9" s="2"/>
      <c r="M9" s="2"/>
      <c r="N9" s="2"/>
      <c r="O9" s="2"/>
      <c r="P9" s="2"/>
      <c r="Q9" s="2"/>
      <c r="R9" s="2"/>
      <c r="S9" s="2"/>
      <c r="T9" s="2"/>
      <c r="U9" s="2"/>
      <c r="V9" s="2"/>
      <c r="W9" s="2"/>
      <c r="X9" s="2"/>
      <c r="Y9" s="2"/>
      <c r="Z9" s="2"/>
    </row>
    <row r="10" ht="391.5" customHeight="1">
      <c r="A10" s="7" t="s">
        <v>371</v>
      </c>
      <c r="B10" s="7" t="s">
        <v>374</v>
      </c>
      <c r="C10" s="7" t="s">
        <v>82</v>
      </c>
      <c r="D10" s="7" t="s">
        <v>79</v>
      </c>
      <c r="E10" s="8" t="s">
        <v>83</v>
      </c>
      <c r="F10" s="7" t="s">
        <v>381</v>
      </c>
      <c r="G10" s="8" t="s">
        <v>385</v>
      </c>
      <c r="H10" s="8" t="s">
        <v>390</v>
      </c>
      <c r="I10" s="10" t="s">
        <v>97</v>
      </c>
      <c r="J10" s="2"/>
      <c r="K10" s="2"/>
      <c r="L10" s="2"/>
      <c r="M10" s="2"/>
      <c r="N10" s="2"/>
      <c r="O10" s="2"/>
      <c r="P10" s="2"/>
      <c r="Q10" s="2"/>
      <c r="R10" s="2"/>
      <c r="S10" s="2"/>
      <c r="T10" s="2"/>
      <c r="U10" s="2"/>
      <c r="V10" s="2"/>
      <c r="W10" s="2"/>
      <c r="X10" s="2"/>
      <c r="Y10" s="2"/>
      <c r="Z10" s="2"/>
    </row>
    <row r="11" ht="22.5" customHeight="1">
      <c r="A11" s="7" t="s">
        <v>399</v>
      </c>
      <c r="B11" s="7" t="s">
        <v>401</v>
      </c>
      <c r="C11" s="7" t="s">
        <v>82</v>
      </c>
      <c r="D11" s="7" t="s">
        <v>79</v>
      </c>
      <c r="E11" s="8" t="s">
        <v>83</v>
      </c>
      <c r="F11" s="7" t="s">
        <v>410</v>
      </c>
      <c r="G11" s="8" t="s">
        <v>413</v>
      </c>
      <c r="H11" s="8" t="s">
        <v>416</v>
      </c>
      <c r="I11" s="10" t="s">
        <v>97</v>
      </c>
      <c r="J11" s="2"/>
      <c r="K11" s="2"/>
      <c r="L11" s="2"/>
      <c r="M11" s="2"/>
      <c r="N11" s="2"/>
      <c r="O11" s="2"/>
      <c r="P11" s="2"/>
      <c r="Q11" s="2"/>
      <c r="R11" s="2"/>
      <c r="S11" s="2"/>
      <c r="T11" s="2"/>
      <c r="U11" s="2"/>
      <c r="V11" s="2"/>
      <c r="W11" s="2"/>
      <c r="X11" s="2"/>
      <c r="Y11" s="2"/>
      <c r="Z11" s="2"/>
    </row>
    <row r="12" ht="349.5" customHeight="1">
      <c r="A12" s="7" t="s">
        <v>424</v>
      </c>
      <c r="B12" s="7" t="s">
        <v>108</v>
      </c>
      <c r="C12" s="7" t="s">
        <v>82</v>
      </c>
      <c r="D12" s="7" t="s">
        <v>79</v>
      </c>
      <c r="E12" s="8" t="s">
        <v>83</v>
      </c>
      <c r="F12" s="7" t="s">
        <v>435</v>
      </c>
      <c r="G12" s="8" t="s">
        <v>436</v>
      </c>
      <c r="H12" s="8" t="s">
        <v>441</v>
      </c>
      <c r="I12" s="10" t="s">
        <v>282</v>
      </c>
      <c r="J12" s="2"/>
      <c r="K12" s="2"/>
      <c r="L12" s="2"/>
      <c r="M12" s="2"/>
      <c r="N12" s="2"/>
      <c r="O12" s="2"/>
      <c r="P12" s="2"/>
      <c r="Q12" s="2"/>
      <c r="R12" s="2"/>
      <c r="S12" s="2"/>
      <c r="T12" s="2"/>
      <c r="U12" s="2"/>
      <c r="V12" s="2"/>
      <c r="W12" s="2"/>
      <c r="X12" s="2"/>
      <c r="Y12" s="2"/>
      <c r="Z12" s="2"/>
    </row>
    <row r="13" ht="408.75" customHeight="1">
      <c r="A13" s="7" t="s">
        <v>453</v>
      </c>
      <c r="B13" s="7" t="s">
        <v>454</v>
      </c>
      <c r="C13" s="7" t="s">
        <v>82</v>
      </c>
      <c r="D13" s="7" t="s">
        <v>79</v>
      </c>
      <c r="E13" s="8" t="s">
        <v>83</v>
      </c>
      <c r="F13" s="7" t="s">
        <v>466</v>
      </c>
      <c r="G13" s="8" t="s">
        <v>467</v>
      </c>
      <c r="H13" s="8" t="s">
        <v>468</v>
      </c>
      <c r="I13" s="10" t="s">
        <v>97</v>
      </c>
      <c r="J13" s="2"/>
      <c r="K13" s="2"/>
      <c r="L13" s="2"/>
      <c r="M13" s="2"/>
      <c r="N13" s="2"/>
      <c r="O13" s="2"/>
      <c r="P13" s="2"/>
      <c r="Q13" s="2"/>
      <c r="R13" s="2"/>
      <c r="S13" s="2"/>
      <c r="T13" s="2"/>
      <c r="U13" s="2"/>
      <c r="V13" s="2"/>
      <c r="W13" s="2"/>
      <c r="X13" s="2"/>
      <c r="Y13" s="2"/>
      <c r="Z13" s="2"/>
    </row>
    <row r="14" ht="408.75" customHeight="1">
      <c r="A14" s="7" t="s">
        <v>480</v>
      </c>
      <c r="B14" s="7" t="s">
        <v>287</v>
      </c>
      <c r="C14" s="7" t="s">
        <v>82</v>
      </c>
      <c r="D14" s="7" t="s">
        <v>79</v>
      </c>
      <c r="E14" s="8" t="s">
        <v>83</v>
      </c>
      <c r="F14" s="7" t="s">
        <v>490</v>
      </c>
      <c r="G14" s="8" t="s">
        <v>493</v>
      </c>
      <c r="H14" s="8" t="s">
        <v>497</v>
      </c>
      <c r="I14" s="10" t="s">
        <v>97</v>
      </c>
      <c r="J14" s="2"/>
      <c r="K14" s="2"/>
      <c r="L14" s="2"/>
      <c r="M14" s="2"/>
      <c r="N14" s="2"/>
      <c r="O14" s="2"/>
      <c r="P14" s="2"/>
      <c r="Q14" s="2"/>
      <c r="R14" s="2"/>
      <c r="S14" s="2"/>
      <c r="T14" s="2"/>
      <c r="U14" s="2"/>
      <c r="V14" s="2"/>
      <c r="W14" s="2"/>
      <c r="X14" s="2"/>
      <c r="Y14" s="2"/>
      <c r="Z14" s="2"/>
    </row>
    <row r="15" ht="321.75" customHeight="1">
      <c r="A15" s="7" t="s">
        <v>506</v>
      </c>
      <c r="B15" s="7" t="s">
        <v>299</v>
      </c>
      <c r="C15" s="7" t="s">
        <v>82</v>
      </c>
      <c r="D15" s="7" t="s">
        <v>79</v>
      </c>
      <c r="E15" s="8" t="s">
        <v>520</v>
      </c>
      <c r="F15" s="7" t="s">
        <v>523</v>
      </c>
      <c r="G15" s="8" t="s">
        <v>526</v>
      </c>
      <c r="H15" s="8" t="s">
        <v>530</v>
      </c>
      <c r="I15" s="10" t="s">
        <v>282</v>
      </c>
      <c r="J15" s="2"/>
      <c r="K15" s="2"/>
      <c r="L15" s="2"/>
      <c r="M15" s="2"/>
      <c r="N15" s="2"/>
      <c r="O15" s="2"/>
      <c r="P15" s="2"/>
      <c r="Q15" s="2"/>
      <c r="R15" s="2"/>
      <c r="S15" s="2"/>
      <c r="T15" s="2"/>
      <c r="U15" s="2"/>
      <c r="V15" s="2"/>
      <c r="W15" s="2"/>
      <c r="X15" s="2"/>
      <c r="Y15" s="2"/>
      <c r="Z15" s="2"/>
    </row>
    <row r="16" ht="408.75" customHeight="1">
      <c r="A16" s="7" t="s">
        <v>544</v>
      </c>
      <c r="B16" s="7" t="s">
        <v>549</v>
      </c>
      <c r="C16" s="7" t="s">
        <v>82</v>
      </c>
      <c r="D16" s="7" t="s">
        <v>79</v>
      </c>
      <c r="E16" s="8" t="s">
        <v>83</v>
      </c>
      <c r="F16" s="7" t="s">
        <v>551</v>
      </c>
      <c r="G16" s="8" t="s">
        <v>555</v>
      </c>
      <c r="H16" s="8" t="s">
        <v>558</v>
      </c>
      <c r="I16" s="10" t="s">
        <v>282</v>
      </c>
      <c r="J16" s="2"/>
      <c r="K16" s="2"/>
      <c r="L16" s="2"/>
      <c r="M16" s="2"/>
      <c r="N16" s="2"/>
      <c r="O16" s="2"/>
      <c r="P16" s="2"/>
      <c r="Q16" s="2"/>
      <c r="R16" s="2"/>
      <c r="S16" s="2"/>
      <c r="T16" s="2"/>
      <c r="U16" s="2"/>
      <c r="V16" s="2"/>
      <c r="W16" s="2"/>
      <c r="X16" s="2"/>
      <c r="Y16" s="2"/>
      <c r="Z16" s="2"/>
    </row>
    <row r="17" ht="22.5" customHeight="1">
      <c r="A17" s="7" t="s">
        <v>559</v>
      </c>
      <c r="B17" s="7" t="s">
        <v>562</v>
      </c>
      <c r="C17" s="7" t="s">
        <v>168</v>
      </c>
      <c r="D17" s="7" t="s">
        <v>79</v>
      </c>
      <c r="E17" s="8" t="s">
        <v>83</v>
      </c>
      <c r="F17" s="7" t="s">
        <v>566</v>
      </c>
      <c r="G17" s="8" t="s">
        <v>569</v>
      </c>
      <c r="H17" s="8" t="s">
        <v>572</v>
      </c>
      <c r="I17" s="10" t="s">
        <v>97</v>
      </c>
      <c r="J17" s="2"/>
      <c r="K17" s="2"/>
      <c r="L17" s="2"/>
      <c r="M17" s="2"/>
      <c r="N17" s="2"/>
      <c r="O17" s="2"/>
      <c r="P17" s="2"/>
      <c r="Q17" s="2"/>
      <c r="R17" s="2"/>
      <c r="S17" s="2"/>
      <c r="T17" s="2"/>
      <c r="U17" s="2"/>
      <c r="V17" s="2"/>
      <c r="W17" s="2"/>
      <c r="X17" s="2"/>
      <c r="Y17" s="2"/>
      <c r="Z17" s="2"/>
    </row>
    <row r="18" ht="22.5" customHeight="1">
      <c r="A18" s="7" t="s">
        <v>579</v>
      </c>
      <c r="B18" s="7" t="s">
        <v>582</v>
      </c>
      <c r="C18" s="7" t="s">
        <v>168</v>
      </c>
      <c r="D18" s="7" t="s">
        <v>79</v>
      </c>
      <c r="E18" s="8" t="s">
        <v>83</v>
      </c>
      <c r="F18" s="7" t="s">
        <v>586</v>
      </c>
      <c r="G18" s="8" t="s">
        <v>587</v>
      </c>
      <c r="H18" s="8" t="s">
        <v>590</v>
      </c>
      <c r="I18" s="10" t="s">
        <v>97</v>
      </c>
      <c r="J18" s="2"/>
      <c r="K18" s="2"/>
      <c r="L18" s="2"/>
      <c r="M18" s="2"/>
      <c r="N18" s="2"/>
      <c r="O18" s="2"/>
      <c r="P18" s="2"/>
      <c r="Q18" s="2"/>
      <c r="R18" s="2"/>
      <c r="S18" s="2"/>
      <c r="T18" s="2"/>
      <c r="U18" s="2"/>
      <c r="V18" s="2"/>
      <c r="W18" s="2"/>
      <c r="X18" s="2"/>
      <c r="Y18" s="2"/>
      <c r="Z18" s="2"/>
    </row>
    <row r="19" ht="22.5" customHeight="1">
      <c r="A19" s="7" t="s">
        <v>597</v>
      </c>
      <c r="B19" s="7" t="s">
        <v>165</v>
      </c>
      <c r="C19" s="7" t="s">
        <v>168</v>
      </c>
      <c r="D19" s="7" t="s">
        <v>79</v>
      </c>
      <c r="E19" s="8" t="s">
        <v>520</v>
      </c>
      <c r="F19" s="7" t="s">
        <v>602</v>
      </c>
      <c r="G19" s="8" t="s">
        <v>604</v>
      </c>
      <c r="H19" s="8" t="s">
        <v>608</v>
      </c>
      <c r="I19" s="10" t="s">
        <v>282</v>
      </c>
      <c r="J19" s="2"/>
      <c r="K19" s="2"/>
      <c r="L19" s="2"/>
      <c r="M19" s="2"/>
      <c r="N19" s="2"/>
      <c r="O19" s="2"/>
      <c r="P19" s="2"/>
      <c r="Q19" s="2"/>
      <c r="R19" s="2"/>
      <c r="S19" s="2"/>
      <c r="T19" s="2"/>
      <c r="U19" s="2"/>
      <c r="V19" s="2"/>
      <c r="W19" s="2"/>
      <c r="X19" s="2"/>
      <c r="Y19" s="2"/>
      <c r="Z19" s="2"/>
    </row>
    <row r="20" ht="391.5" customHeight="1">
      <c r="A20" s="7" t="s">
        <v>611</v>
      </c>
      <c r="B20" s="7" t="s">
        <v>615</v>
      </c>
      <c r="C20" s="7" t="s">
        <v>168</v>
      </c>
      <c r="D20" s="7" t="s">
        <v>79</v>
      </c>
      <c r="E20" s="8" t="s">
        <v>83</v>
      </c>
      <c r="F20" s="7" t="s">
        <v>620</v>
      </c>
      <c r="G20" s="8" t="s">
        <v>621</v>
      </c>
      <c r="H20" s="8" t="s">
        <v>622</v>
      </c>
      <c r="I20" s="10" t="s">
        <v>97</v>
      </c>
      <c r="J20" s="2"/>
      <c r="K20" s="2"/>
      <c r="L20" s="2"/>
      <c r="M20" s="2"/>
      <c r="N20" s="2"/>
      <c r="O20" s="2"/>
      <c r="P20" s="2"/>
      <c r="Q20" s="2"/>
      <c r="R20" s="2"/>
      <c r="S20" s="2"/>
      <c r="T20" s="2"/>
      <c r="U20" s="2"/>
      <c r="V20" s="2"/>
      <c r="W20" s="2"/>
      <c r="X20" s="2"/>
      <c r="Y20" s="2"/>
      <c r="Z20" s="2"/>
    </row>
    <row r="21" ht="245.25" customHeight="1">
      <c r="A21" s="7" t="s">
        <v>623</v>
      </c>
      <c r="B21" s="7" t="s">
        <v>624</v>
      </c>
      <c r="C21" s="7" t="s">
        <v>168</v>
      </c>
      <c r="D21" s="7" t="s">
        <v>79</v>
      </c>
      <c r="E21" s="8" t="s">
        <v>83</v>
      </c>
      <c r="F21" s="7" t="s">
        <v>625</v>
      </c>
      <c r="G21" s="8" t="s">
        <v>626</v>
      </c>
      <c r="H21" s="8" t="s">
        <v>627</v>
      </c>
      <c r="I21" s="10" t="s">
        <v>97</v>
      </c>
      <c r="J21" s="2"/>
      <c r="K21" s="2"/>
      <c r="L21" s="2"/>
      <c r="M21" s="2"/>
      <c r="N21" s="2"/>
      <c r="O21" s="2"/>
      <c r="P21" s="2"/>
      <c r="Q21" s="2"/>
      <c r="R21" s="2"/>
      <c r="S21" s="2"/>
      <c r="T21" s="2"/>
      <c r="U21" s="2"/>
      <c r="V21" s="2"/>
      <c r="W21" s="2"/>
      <c r="X21" s="2"/>
      <c r="Y21" s="2"/>
      <c r="Z21" s="2"/>
    </row>
    <row r="22" ht="245.25" customHeight="1">
      <c r="A22" s="7" t="s">
        <v>628</v>
      </c>
      <c r="B22" s="7" t="s">
        <v>629</v>
      </c>
      <c r="C22" s="7" t="s">
        <v>168</v>
      </c>
      <c r="D22" s="7" t="s">
        <v>79</v>
      </c>
      <c r="E22" s="8" t="s">
        <v>520</v>
      </c>
      <c r="F22" s="7" t="s">
        <v>630</v>
      </c>
      <c r="G22" s="8" t="s">
        <v>631</v>
      </c>
      <c r="H22" s="8" t="s">
        <v>632</v>
      </c>
      <c r="I22" s="10" t="s">
        <v>282</v>
      </c>
      <c r="J22" s="2"/>
      <c r="K22" s="2"/>
      <c r="L22" s="2"/>
      <c r="M22" s="2"/>
      <c r="N22" s="2"/>
      <c r="O22" s="2"/>
      <c r="P22" s="2"/>
      <c r="Q22" s="2"/>
      <c r="R22" s="2"/>
      <c r="S22" s="2"/>
      <c r="T22" s="2"/>
      <c r="U22" s="2"/>
      <c r="V22" s="2"/>
      <c r="W22" s="2"/>
      <c r="X22" s="2"/>
      <c r="Y22" s="2"/>
      <c r="Z22" s="2"/>
    </row>
    <row r="23" ht="408.75" customHeight="1">
      <c r="A23" s="7" t="s">
        <v>633</v>
      </c>
      <c r="B23" s="7" t="s">
        <v>634</v>
      </c>
      <c r="C23" s="7" t="s">
        <v>216</v>
      </c>
      <c r="D23" s="7" t="s">
        <v>635</v>
      </c>
      <c r="E23" s="8" t="s">
        <v>83</v>
      </c>
      <c r="F23" s="7" t="s">
        <v>189</v>
      </c>
      <c r="G23" s="8" t="s">
        <v>636</v>
      </c>
      <c r="H23" s="8" t="s">
        <v>637</v>
      </c>
      <c r="I23" s="10" t="s">
        <v>97</v>
      </c>
      <c r="J23" s="2"/>
      <c r="K23" s="2"/>
      <c r="L23" s="2"/>
      <c r="M23" s="2"/>
      <c r="N23" s="2"/>
      <c r="O23" s="2"/>
      <c r="P23" s="2"/>
      <c r="Q23" s="2"/>
      <c r="R23" s="2"/>
      <c r="S23" s="2"/>
      <c r="T23" s="2"/>
      <c r="U23" s="2"/>
      <c r="V23" s="2"/>
      <c r="W23" s="2"/>
      <c r="X23" s="2"/>
      <c r="Y23" s="2"/>
      <c r="Z23" s="2"/>
    </row>
    <row r="24" ht="245.25" customHeight="1">
      <c r="A24" s="7" t="s">
        <v>638</v>
      </c>
      <c r="B24" s="7" t="s">
        <v>639</v>
      </c>
      <c r="C24" s="7" t="s">
        <v>216</v>
      </c>
      <c r="D24" s="7" t="s">
        <v>635</v>
      </c>
      <c r="E24" s="8" t="s">
        <v>83</v>
      </c>
      <c r="F24" s="7" t="s">
        <v>189</v>
      </c>
      <c r="G24" s="8" t="s">
        <v>640</v>
      </c>
      <c r="H24" s="8" t="s">
        <v>641</v>
      </c>
      <c r="I24" s="10" t="s">
        <v>282</v>
      </c>
      <c r="J24" s="2"/>
      <c r="K24" s="2"/>
      <c r="L24" s="2"/>
      <c r="M24" s="2"/>
      <c r="N24" s="2"/>
      <c r="O24" s="2"/>
      <c r="P24" s="2"/>
      <c r="Q24" s="2"/>
      <c r="R24" s="2"/>
      <c r="S24" s="2"/>
      <c r="T24" s="2"/>
      <c r="U24" s="2"/>
      <c r="V24" s="2"/>
      <c r="W24" s="2"/>
      <c r="X24" s="2"/>
      <c r="Y24" s="2"/>
      <c r="Z24" s="2"/>
    </row>
    <row r="25" ht="245.25" customHeight="1">
      <c r="A25" s="7" t="s">
        <v>642</v>
      </c>
      <c r="B25" s="7" t="s">
        <v>643</v>
      </c>
      <c r="C25" s="7" t="s">
        <v>216</v>
      </c>
      <c r="D25" s="7" t="s">
        <v>635</v>
      </c>
      <c r="E25" s="8" t="s">
        <v>83</v>
      </c>
      <c r="F25" s="7" t="s">
        <v>644</v>
      </c>
      <c r="G25" s="8" t="s">
        <v>645</v>
      </c>
      <c r="H25" s="8" t="s">
        <v>646</v>
      </c>
      <c r="I25" s="10" t="s">
        <v>97</v>
      </c>
      <c r="J25" s="2"/>
      <c r="K25" s="2"/>
      <c r="L25" s="2"/>
      <c r="M25" s="2"/>
      <c r="N25" s="2"/>
      <c r="O25" s="2"/>
      <c r="P25" s="2"/>
      <c r="Q25" s="2"/>
      <c r="R25" s="2"/>
      <c r="S25" s="2"/>
      <c r="T25" s="2"/>
      <c r="U25" s="2"/>
      <c r="V25" s="2"/>
      <c r="W25" s="2"/>
      <c r="X25" s="2"/>
      <c r="Y25" s="2"/>
      <c r="Z25" s="2"/>
    </row>
    <row r="26" ht="245.25" customHeight="1">
      <c r="A26" s="7" t="s">
        <v>647</v>
      </c>
      <c r="B26" s="7" t="s">
        <v>648</v>
      </c>
      <c r="C26" s="7" t="s">
        <v>216</v>
      </c>
      <c r="D26" s="7" t="s">
        <v>635</v>
      </c>
      <c r="E26" s="8" t="s">
        <v>83</v>
      </c>
      <c r="F26" s="7" t="s">
        <v>644</v>
      </c>
      <c r="G26" s="8" t="s">
        <v>649</v>
      </c>
      <c r="H26" s="8" t="s">
        <v>650</v>
      </c>
      <c r="I26" s="10" t="s">
        <v>97</v>
      </c>
      <c r="J26" s="2"/>
      <c r="K26" s="2"/>
      <c r="L26" s="2"/>
      <c r="M26" s="2"/>
      <c r="N26" s="2"/>
      <c r="O26" s="2"/>
      <c r="P26" s="2"/>
      <c r="Q26" s="2"/>
      <c r="R26" s="2"/>
      <c r="S26" s="2"/>
      <c r="T26" s="2"/>
      <c r="U26" s="2"/>
      <c r="V26" s="2"/>
      <c r="W26" s="2"/>
      <c r="X26" s="2"/>
      <c r="Y26" s="2"/>
      <c r="Z26" s="2"/>
    </row>
    <row r="27" ht="408.75" customHeight="1">
      <c r="A27" s="7" t="s">
        <v>651</v>
      </c>
      <c r="B27" s="7" t="s">
        <v>652</v>
      </c>
      <c r="C27" s="7" t="s">
        <v>216</v>
      </c>
      <c r="D27" s="7" t="s">
        <v>635</v>
      </c>
      <c r="E27" s="8" t="s">
        <v>83</v>
      </c>
      <c r="F27" s="7" t="s">
        <v>653</v>
      </c>
      <c r="G27" s="8" t="s">
        <v>654</v>
      </c>
      <c r="H27" s="8" t="s">
        <v>655</v>
      </c>
      <c r="I27" s="10" t="s">
        <v>282</v>
      </c>
      <c r="J27" s="2"/>
      <c r="K27" s="2"/>
      <c r="L27" s="2"/>
      <c r="M27" s="2"/>
      <c r="N27" s="2"/>
      <c r="O27" s="2"/>
      <c r="P27" s="2"/>
      <c r="Q27" s="2"/>
      <c r="R27" s="2"/>
      <c r="S27" s="2"/>
      <c r="T27" s="2"/>
      <c r="U27" s="2"/>
      <c r="V27" s="2"/>
      <c r="W27" s="2"/>
      <c r="X27" s="2"/>
      <c r="Y27" s="2"/>
      <c r="Z27" s="2"/>
    </row>
    <row r="28" ht="378.0" customHeight="1">
      <c r="A28" s="7" t="s">
        <v>656</v>
      </c>
      <c r="B28" s="7" t="s">
        <v>657</v>
      </c>
      <c r="C28" s="7" t="s">
        <v>216</v>
      </c>
      <c r="D28" s="7" t="s">
        <v>635</v>
      </c>
      <c r="E28" s="8" t="s">
        <v>520</v>
      </c>
      <c r="F28" s="7" t="s">
        <v>658</v>
      </c>
      <c r="G28" s="8" t="s">
        <v>659</v>
      </c>
      <c r="H28" s="8" t="s">
        <v>660</v>
      </c>
      <c r="I28" s="10" t="s">
        <v>282</v>
      </c>
      <c r="J28" s="2"/>
      <c r="K28" s="2"/>
      <c r="L28" s="2"/>
      <c r="M28" s="2"/>
      <c r="N28" s="2"/>
      <c r="O28" s="2"/>
      <c r="P28" s="2"/>
      <c r="Q28" s="2"/>
      <c r="R28" s="2"/>
      <c r="S28" s="2"/>
      <c r="T28" s="2"/>
      <c r="U28" s="2"/>
      <c r="V28" s="2"/>
      <c r="W28" s="2"/>
      <c r="X28" s="2"/>
      <c r="Y28" s="2"/>
      <c r="Z28" s="2"/>
    </row>
    <row r="29" ht="408.75" customHeight="1">
      <c r="A29" s="7" t="s">
        <v>661</v>
      </c>
      <c r="B29" s="7" t="s">
        <v>662</v>
      </c>
      <c r="C29" s="7" t="s">
        <v>216</v>
      </c>
      <c r="D29" s="7" t="s">
        <v>635</v>
      </c>
      <c r="E29" s="8" t="s">
        <v>83</v>
      </c>
      <c r="F29" s="7" t="s">
        <v>663</v>
      </c>
      <c r="G29" s="8" t="s">
        <v>664</v>
      </c>
      <c r="H29" s="8" t="s">
        <v>665</v>
      </c>
      <c r="I29" s="10" t="s">
        <v>282</v>
      </c>
      <c r="J29" s="2"/>
      <c r="K29" s="2"/>
      <c r="L29" s="2"/>
      <c r="M29" s="2"/>
      <c r="N29" s="2"/>
      <c r="O29" s="2"/>
      <c r="P29" s="2"/>
      <c r="Q29" s="2"/>
      <c r="R29" s="2"/>
      <c r="S29" s="2"/>
      <c r="T29" s="2"/>
      <c r="U29" s="2"/>
      <c r="V29" s="2"/>
      <c r="W29" s="2"/>
      <c r="X29" s="2"/>
      <c r="Y29" s="2"/>
      <c r="Z29" s="2"/>
    </row>
    <row r="30" ht="408.75" customHeight="1">
      <c r="A30" s="7" t="s">
        <v>666</v>
      </c>
      <c r="B30" s="7" t="s">
        <v>667</v>
      </c>
      <c r="C30" s="7" t="s">
        <v>284</v>
      </c>
      <c r="D30" s="7" t="s">
        <v>635</v>
      </c>
      <c r="E30" s="8" t="s">
        <v>83</v>
      </c>
      <c r="F30" s="7" t="s">
        <v>668</v>
      </c>
      <c r="G30" s="8" t="s">
        <v>669</v>
      </c>
      <c r="H30" s="8" t="s">
        <v>670</v>
      </c>
      <c r="I30" s="10" t="s">
        <v>97</v>
      </c>
      <c r="J30" s="2"/>
      <c r="K30" s="2"/>
      <c r="L30" s="2"/>
      <c r="M30" s="2"/>
      <c r="N30" s="2"/>
      <c r="O30" s="2"/>
      <c r="P30" s="2"/>
      <c r="Q30" s="2"/>
      <c r="R30" s="2"/>
      <c r="S30" s="2"/>
      <c r="T30" s="2"/>
      <c r="U30" s="2"/>
      <c r="V30" s="2"/>
      <c r="W30" s="2"/>
      <c r="X30" s="2"/>
      <c r="Y30" s="2"/>
      <c r="Z30" s="2"/>
    </row>
    <row r="31" ht="408.75" customHeight="1">
      <c r="A31" s="7" t="s">
        <v>671</v>
      </c>
      <c r="B31" s="7" t="s">
        <v>672</v>
      </c>
      <c r="C31" s="7" t="s">
        <v>284</v>
      </c>
      <c r="D31" s="7" t="s">
        <v>635</v>
      </c>
      <c r="E31" s="8" t="s">
        <v>83</v>
      </c>
      <c r="F31" s="7" t="s">
        <v>668</v>
      </c>
      <c r="G31" s="8" t="s">
        <v>673</v>
      </c>
      <c r="H31" s="8" t="s">
        <v>674</v>
      </c>
      <c r="I31" s="10" t="s">
        <v>97</v>
      </c>
      <c r="J31" s="2"/>
      <c r="K31" s="2"/>
      <c r="L31" s="2"/>
      <c r="M31" s="2"/>
      <c r="N31" s="2"/>
      <c r="O31" s="2"/>
      <c r="P31" s="2"/>
      <c r="Q31" s="2"/>
      <c r="R31" s="2"/>
      <c r="S31" s="2"/>
      <c r="T31" s="2"/>
      <c r="U31" s="2"/>
      <c r="V31" s="2"/>
      <c r="W31" s="2"/>
      <c r="X31" s="2"/>
      <c r="Y31" s="2"/>
      <c r="Z31" s="2"/>
    </row>
    <row r="32" ht="408.75" customHeight="1">
      <c r="A32" s="7" t="s">
        <v>675</v>
      </c>
      <c r="B32" s="7" t="s">
        <v>248</v>
      </c>
      <c r="C32" s="7" t="s">
        <v>284</v>
      </c>
      <c r="D32" s="7" t="s">
        <v>635</v>
      </c>
      <c r="E32" s="8" t="s">
        <v>520</v>
      </c>
      <c r="F32" s="7" t="s">
        <v>676</v>
      </c>
      <c r="G32" s="8" t="s">
        <v>677</v>
      </c>
      <c r="H32" s="8" t="s">
        <v>678</v>
      </c>
      <c r="I32" s="10" t="s">
        <v>282</v>
      </c>
      <c r="J32" s="2"/>
      <c r="K32" s="2"/>
      <c r="L32" s="2"/>
      <c r="M32" s="2"/>
      <c r="N32" s="2"/>
      <c r="O32" s="2"/>
      <c r="P32" s="2"/>
      <c r="Q32" s="2"/>
      <c r="R32" s="2"/>
      <c r="S32" s="2"/>
      <c r="T32" s="2"/>
      <c r="U32" s="2"/>
      <c r="V32" s="2"/>
      <c r="W32" s="2"/>
      <c r="X32" s="2"/>
      <c r="Y32" s="2"/>
      <c r="Z32" s="2"/>
    </row>
    <row r="33" ht="245.25" customHeight="1">
      <c r="A33" s="7" t="s">
        <v>679</v>
      </c>
      <c r="B33" s="7" t="s">
        <v>680</v>
      </c>
      <c r="C33" s="7" t="s">
        <v>284</v>
      </c>
      <c r="D33" s="7" t="s">
        <v>635</v>
      </c>
      <c r="E33" s="8" t="s">
        <v>83</v>
      </c>
      <c r="F33" s="7" t="s">
        <v>681</v>
      </c>
      <c r="G33" s="8" t="s">
        <v>682</v>
      </c>
      <c r="H33" s="8" t="s">
        <v>683</v>
      </c>
      <c r="I33" s="10" t="s">
        <v>97</v>
      </c>
      <c r="J33" s="2"/>
      <c r="K33" s="2"/>
      <c r="L33" s="2"/>
      <c r="M33" s="2"/>
      <c r="N33" s="2"/>
      <c r="O33" s="2"/>
      <c r="P33" s="2"/>
      <c r="Q33" s="2"/>
      <c r="R33" s="2"/>
      <c r="S33" s="2"/>
      <c r="T33" s="2"/>
      <c r="U33" s="2"/>
      <c r="V33" s="2"/>
      <c r="W33" s="2"/>
      <c r="X33" s="2"/>
      <c r="Y33" s="2"/>
      <c r="Z33" s="2"/>
    </row>
    <row r="34" ht="245.25" customHeight="1">
      <c r="A34" s="7" t="s">
        <v>684</v>
      </c>
      <c r="B34" s="7" t="s">
        <v>685</v>
      </c>
      <c r="C34" s="7" t="s">
        <v>284</v>
      </c>
      <c r="D34" s="7" t="s">
        <v>635</v>
      </c>
      <c r="E34" s="8" t="s">
        <v>83</v>
      </c>
      <c r="F34" s="7" t="s">
        <v>681</v>
      </c>
      <c r="G34" s="8" t="s">
        <v>686</v>
      </c>
      <c r="H34" s="8" t="s">
        <v>687</v>
      </c>
      <c r="I34" s="10" t="s">
        <v>97</v>
      </c>
      <c r="J34" s="2"/>
      <c r="K34" s="2"/>
      <c r="L34" s="2"/>
      <c r="M34" s="2"/>
      <c r="N34" s="2"/>
      <c r="O34" s="2"/>
      <c r="P34" s="2"/>
      <c r="Q34" s="2"/>
      <c r="R34" s="2"/>
      <c r="S34" s="2"/>
      <c r="T34" s="2"/>
      <c r="U34" s="2"/>
      <c r="V34" s="2"/>
      <c r="W34" s="2"/>
      <c r="X34" s="2"/>
      <c r="Y34" s="2"/>
      <c r="Z34" s="2"/>
    </row>
    <row r="35" ht="179.25" customHeight="1">
      <c r="A35" s="7" t="s">
        <v>688</v>
      </c>
      <c r="B35" s="7" t="s">
        <v>689</v>
      </c>
      <c r="C35" s="7" t="s">
        <v>284</v>
      </c>
      <c r="D35" s="7" t="s">
        <v>635</v>
      </c>
      <c r="E35" s="8" t="s">
        <v>83</v>
      </c>
      <c r="F35" s="7" t="s">
        <v>690</v>
      </c>
      <c r="G35" s="8" t="s">
        <v>691</v>
      </c>
      <c r="H35" s="8" t="s">
        <v>692</v>
      </c>
      <c r="I35" s="10" t="s">
        <v>282</v>
      </c>
      <c r="J35" s="2"/>
      <c r="K35" s="2"/>
      <c r="L35" s="2"/>
      <c r="M35" s="2"/>
      <c r="N35" s="2"/>
      <c r="O35" s="2"/>
      <c r="P35" s="2"/>
      <c r="Q35" s="2"/>
      <c r="R35" s="2"/>
      <c r="S35" s="2"/>
      <c r="T35" s="2"/>
      <c r="U35" s="2"/>
      <c r="V35" s="2"/>
      <c r="W35" s="2"/>
      <c r="X35" s="2"/>
      <c r="Y35" s="2"/>
      <c r="Z35" s="2"/>
    </row>
    <row r="36" ht="391.5" customHeight="1">
      <c r="A36" s="7" t="s">
        <v>693</v>
      </c>
      <c r="B36" s="7" t="s">
        <v>694</v>
      </c>
      <c r="C36" s="7" t="s">
        <v>377</v>
      </c>
      <c r="D36" s="7" t="s">
        <v>635</v>
      </c>
      <c r="E36" s="8" t="s">
        <v>83</v>
      </c>
      <c r="F36" s="7" t="s">
        <v>695</v>
      </c>
      <c r="G36" s="8" t="s">
        <v>696</v>
      </c>
      <c r="H36" s="8" t="s">
        <v>697</v>
      </c>
      <c r="I36" s="10" t="s">
        <v>282</v>
      </c>
      <c r="J36" s="2"/>
      <c r="K36" s="2"/>
      <c r="L36" s="2"/>
      <c r="M36" s="2"/>
      <c r="N36" s="2"/>
      <c r="O36" s="2"/>
      <c r="P36" s="2"/>
      <c r="Q36" s="2"/>
      <c r="R36" s="2"/>
      <c r="S36" s="2"/>
      <c r="T36" s="2"/>
      <c r="U36" s="2"/>
      <c r="V36" s="2"/>
      <c r="W36" s="2"/>
      <c r="X36" s="2"/>
      <c r="Y36" s="2"/>
      <c r="Z36" s="2"/>
    </row>
    <row r="37" ht="363.75" customHeight="1">
      <c r="A37" s="7" t="s">
        <v>698</v>
      </c>
      <c r="B37" s="7" t="s">
        <v>699</v>
      </c>
      <c r="C37" s="7" t="s">
        <v>377</v>
      </c>
      <c r="D37" s="7" t="s">
        <v>635</v>
      </c>
      <c r="E37" s="8" t="s">
        <v>520</v>
      </c>
      <c r="F37" s="7" t="s">
        <v>700</v>
      </c>
      <c r="G37" s="8" t="s">
        <v>701</v>
      </c>
      <c r="H37" s="8" t="s">
        <v>702</v>
      </c>
      <c r="I37" s="10" t="s">
        <v>282</v>
      </c>
      <c r="J37" s="2"/>
      <c r="K37" s="2"/>
      <c r="L37" s="2"/>
      <c r="M37" s="2"/>
      <c r="N37" s="2"/>
      <c r="O37" s="2"/>
      <c r="P37" s="2"/>
      <c r="Q37" s="2"/>
      <c r="R37" s="2"/>
      <c r="S37" s="2"/>
      <c r="T37" s="2"/>
      <c r="U37" s="2"/>
      <c r="V37" s="2"/>
      <c r="W37" s="2"/>
      <c r="X37" s="2"/>
      <c r="Y37" s="2"/>
      <c r="Z37" s="2"/>
    </row>
    <row r="38" ht="391.5" customHeight="1">
      <c r="A38" s="7" t="s">
        <v>703</v>
      </c>
      <c r="B38" s="7" t="s">
        <v>704</v>
      </c>
      <c r="C38" s="7" t="s">
        <v>377</v>
      </c>
      <c r="D38" s="7" t="s">
        <v>635</v>
      </c>
      <c r="E38" s="8" t="s">
        <v>83</v>
      </c>
      <c r="F38" s="7" t="s">
        <v>705</v>
      </c>
      <c r="G38" s="8" t="s">
        <v>706</v>
      </c>
      <c r="H38" s="8" t="s">
        <v>707</v>
      </c>
      <c r="I38" s="10" t="s">
        <v>282</v>
      </c>
      <c r="J38" s="2"/>
      <c r="K38" s="2"/>
      <c r="L38" s="2"/>
      <c r="M38" s="2"/>
      <c r="N38" s="2"/>
      <c r="O38" s="2"/>
      <c r="P38" s="2"/>
      <c r="Q38" s="2"/>
      <c r="R38" s="2"/>
      <c r="S38" s="2"/>
      <c r="T38" s="2"/>
      <c r="U38" s="2"/>
      <c r="V38" s="2"/>
      <c r="W38" s="2"/>
      <c r="X38" s="2"/>
      <c r="Y38" s="2"/>
      <c r="Z38" s="2"/>
    </row>
    <row r="39" ht="189.0" customHeight="1">
      <c r="A39" s="7" t="s">
        <v>708</v>
      </c>
      <c r="B39" s="7" t="s">
        <v>709</v>
      </c>
      <c r="C39" s="7" t="s">
        <v>377</v>
      </c>
      <c r="D39" s="7" t="s">
        <v>635</v>
      </c>
      <c r="E39" s="8" t="s">
        <v>520</v>
      </c>
      <c r="F39" s="7" t="s">
        <v>700</v>
      </c>
      <c r="G39" s="8" t="s">
        <v>710</v>
      </c>
      <c r="H39" s="8" t="s">
        <v>711</v>
      </c>
      <c r="I39" s="10" t="s">
        <v>282</v>
      </c>
      <c r="J39" s="2"/>
      <c r="K39" s="2"/>
      <c r="L39" s="2"/>
      <c r="M39" s="2"/>
      <c r="N39" s="2"/>
      <c r="O39" s="2"/>
      <c r="P39" s="2"/>
      <c r="Q39" s="2"/>
      <c r="R39" s="2"/>
      <c r="S39" s="2"/>
      <c r="T39" s="2"/>
      <c r="U39" s="2"/>
      <c r="V39" s="2"/>
      <c r="W39" s="2"/>
      <c r="X39" s="2"/>
      <c r="Y39" s="2"/>
      <c r="Z39" s="2"/>
    </row>
    <row r="40" ht="378.0" customHeight="1">
      <c r="A40" s="7" t="s">
        <v>712</v>
      </c>
      <c r="B40" s="7" t="s">
        <v>713</v>
      </c>
      <c r="C40" s="7" t="s">
        <v>377</v>
      </c>
      <c r="D40" s="7" t="s">
        <v>635</v>
      </c>
      <c r="E40" s="8" t="s">
        <v>83</v>
      </c>
      <c r="F40" s="7" t="s">
        <v>714</v>
      </c>
      <c r="G40" s="8" t="s">
        <v>715</v>
      </c>
      <c r="H40" s="8" t="s">
        <v>716</v>
      </c>
      <c r="I40" s="10" t="s">
        <v>282</v>
      </c>
      <c r="J40" s="2"/>
      <c r="K40" s="2"/>
      <c r="L40" s="2"/>
      <c r="M40" s="2"/>
      <c r="N40" s="2"/>
      <c r="O40" s="2"/>
      <c r="P40" s="2"/>
      <c r="Q40" s="2"/>
      <c r="R40" s="2"/>
      <c r="S40" s="2"/>
      <c r="T40" s="2"/>
      <c r="U40" s="2"/>
      <c r="V40" s="2"/>
      <c r="W40" s="2"/>
      <c r="X40" s="2"/>
      <c r="Y40" s="2"/>
      <c r="Z40" s="2"/>
    </row>
    <row r="41" ht="179.25" customHeight="1">
      <c r="A41" s="7" t="s">
        <v>717</v>
      </c>
      <c r="B41" s="7" t="s">
        <v>718</v>
      </c>
      <c r="C41" s="7" t="s">
        <v>377</v>
      </c>
      <c r="D41" s="7" t="s">
        <v>635</v>
      </c>
      <c r="E41" s="8" t="s">
        <v>520</v>
      </c>
      <c r="F41" s="7" t="s">
        <v>719</v>
      </c>
      <c r="G41" s="8" t="s">
        <v>720</v>
      </c>
      <c r="H41" s="8" t="s">
        <v>721</v>
      </c>
      <c r="I41" s="10" t="s">
        <v>282</v>
      </c>
      <c r="J41" s="2"/>
      <c r="K41" s="2"/>
      <c r="L41" s="2"/>
      <c r="M41" s="2"/>
      <c r="N41" s="2"/>
      <c r="O41" s="2"/>
      <c r="P41" s="2"/>
      <c r="Q41" s="2"/>
      <c r="R41" s="2"/>
      <c r="S41" s="2"/>
      <c r="T41" s="2"/>
      <c r="U41" s="2"/>
      <c r="V41" s="2"/>
      <c r="W41" s="2"/>
      <c r="X41" s="2"/>
      <c r="Y41" s="2"/>
      <c r="Z41" s="2"/>
    </row>
    <row r="42" ht="408.75" customHeight="1">
      <c r="A42" s="7" t="s">
        <v>722</v>
      </c>
      <c r="B42" s="7" t="s">
        <v>723</v>
      </c>
      <c r="C42" s="7" t="s">
        <v>377</v>
      </c>
      <c r="D42" s="7" t="s">
        <v>635</v>
      </c>
      <c r="E42" s="8" t="s">
        <v>83</v>
      </c>
      <c r="F42" s="7" t="s">
        <v>305</v>
      </c>
      <c r="G42" s="8" t="s">
        <v>724</v>
      </c>
      <c r="H42" s="8" t="s">
        <v>725</v>
      </c>
      <c r="I42" s="10" t="s">
        <v>97</v>
      </c>
      <c r="J42" s="2"/>
      <c r="K42" s="2"/>
      <c r="L42" s="2"/>
      <c r="M42" s="2"/>
      <c r="N42" s="2"/>
      <c r="O42" s="2"/>
      <c r="P42" s="2"/>
      <c r="Q42" s="2"/>
      <c r="R42" s="2"/>
      <c r="S42" s="2"/>
      <c r="T42" s="2"/>
      <c r="U42" s="2"/>
      <c r="V42" s="2"/>
      <c r="W42" s="2"/>
      <c r="X42" s="2"/>
      <c r="Y42" s="2"/>
      <c r="Z42" s="2"/>
    </row>
    <row r="43" ht="349.5" customHeight="1">
      <c r="A43" s="7" t="s">
        <v>726</v>
      </c>
      <c r="B43" s="7" t="s">
        <v>548</v>
      </c>
      <c r="C43" s="20" t="s">
        <v>82</v>
      </c>
      <c r="D43" s="7" t="s">
        <v>79</v>
      </c>
      <c r="E43" s="8" t="s">
        <v>83</v>
      </c>
      <c r="F43" s="7" t="s">
        <v>727</v>
      </c>
      <c r="G43" s="8" t="s">
        <v>728</v>
      </c>
      <c r="H43" s="8" t="s">
        <v>612</v>
      </c>
      <c r="I43" s="10" t="s">
        <v>97</v>
      </c>
      <c r="J43" s="2"/>
      <c r="K43" s="2"/>
      <c r="L43" s="2"/>
      <c r="M43" s="2"/>
      <c r="N43" s="2"/>
      <c r="O43" s="2"/>
      <c r="P43" s="2"/>
      <c r="Q43" s="2"/>
      <c r="R43" s="2"/>
      <c r="S43" s="2"/>
      <c r="T43" s="2"/>
      <c r="U43" s="2"/>
      <c r="V43" s="2"/>
      <c r="W43" s="2"/>
      <c r="X43" s="2"/>
      <c r="Y43" s="2"/>
      <c r="Z43" s="2"/>
    </row>
    <row r="44" ht="240.0" customHeight="1">
      <c r="A44" s="7" t="s">
        <v>729</v>
      </c>
      <c r="B44" s="7" t="s">
        <v>730</v>
      </c>
      <c r="C44" s="7" t="s">
        <v>29</v>
      </c>
      <c r="D44" s="7" t="s">
        <v>79</v>
      </c>
      <c r="E44" s="8" t="s">
        <v>83</v>
      </c>
      <c r="F44" s="7" t="s">
        <v>206</v>
      </c>
      <c r="G44" s="8" t="s">
        <v>731</v>
      </c>
      <c r="H44" s="8" t="s">
        <v>732</v>
      </c>
      <c r="I44" s="10" t="s">
        <v>282</v>
      </c>
      <c r="J44" s="2"/>
      <c r="K44" s="2"/>
      <c r="L44" s="2"/>
      <c r="M44" s="2"/>
      <c r="N44" s="2"/>
      <c r="O44" s="2"/>
      <c r="P44" s="2"/>
      <c r="Q44" s="2"/>
      <c r="R44" s="2"/>
      <c r="S44" s="2"/>
      <c r="T44" s="2"/>
      <c r="U44" s="2"/>
      <c r="V44" s="2"/>
      <c r="W44" s="2"/>
      <c r="X44" s="2"/>
      <c r="Y44" s="2"/>
      <c r="Z44" s="2"/>
    </row>
    <row r="45" ht="15.75" customHeight="1">
      <c r="A45" s="3"/>
      <c r="B45" s="3"/>
      <c r="C45" s="3"/>
      <c r="D45" s="3"/>
      <c r="E45" s="3"/>
      <c r="F45" s="3"/>
      <c r="G45" s="2"/>
      <c r="H45" s="2"/>
      <c r="I45" s="2"/>
      <c r="J45" s="2"/>
      <c r="K45" s="2"/>
      <c r="L45" s="2"/>
      <c r="M45" s="2"/>
      <c r="N45" s="2"/>
      <c r="O45" s="2"/>
      <c r="P45" s="2"/>
      <c r="Q45" s="2"/>
      <c r="R45" s="2"/>
      <c r="S45" s="2"/>
      <c r="T45" s="2"/>
      <c r="U45" s="2"/>
      <c r="V45" s="2"/>
      <c r="W45" s="2"/>
      <c r="X45" s="2"/>
      <c r="Y45" s="2"/>
      <c r="Z45" s="2"/>
    </row>
    <row r="46" ht="15.75" customHeight="1">
      <c r="A46" s="3"/>
      <c r="B46" s="3"/>
      <c r="C46" s="3"/>
      <c r="D46" s="3"/>
      <c r="E46" s="3"/>
      <c r="F46" s="3"/>
      <c r="G46" s="2"/>
      <c r="H46" s="2"/>
      <c r="I46" s="2"/>
      <c r="J46" s="2"/>
      <c r="K46" s="2"/>
      <c r="L46" s="2"/>
      <c r="M46" s="2"/>
      <c r="N46" s="2"/>
      <c r="O46" s="2"/>
      <c r="P46" s="2"/>
      <c r="Q46" s="2"/>
      <c r="R46" s="2"/>
      <c r="S46" s="2"/>
      <c r="T46" s="2"/>
      <c r="U46" s="2"/>
      <c r="V46" s="2"/>
      <c r="W46" s="2"/>
      <c r="X46" s="2"/>
      <c r="Y46" s="2"/>
      <c r="Z46" s="2"/>
    </row>
    <row r="47" ht="15.75" customHeight="1">
      <c r="A47" s="3"/>
      <c r="B47" s="3"/>
      <c r="C47" s="3"/>
      <c r="D47" s="3"/>
      <c r="E47" s="3"/>
      <c r="F47" s="3"/>
      <c r="G47" s="2"/>
      <c r="H47" s="2"/>
      <c r="I47" s="2"/>
      <c r="J47" s="2"/>
      <c r="K47" s="2"/>
      <c r="L47" s="2"/>
      <c r="M47" s="2"/>
      <c r="N47" s="2"/>
      <c r="O47" s="2"/>
      <c r="P47" s="2"/>
      <c r="Q47" s="2"/>
      <c r="R47" s="2"/>
      <c r="S47" s="2"/>
      <c r="T47" s="2"/>
      <c r="U47" s="2"/>
      <c r="V47" s="2"/>
      <c r="W47" s="2"/>
      <c r="X47" s="2"/>
      <c r="Y47" s="2"/>
      <c r="Z47" s="2"/>
    </row>
    <row r="48" ht="15.75" customHeight="1">
      <c r="A48" s="3"/>
      <c r="B48" s="3"/>
      <c r="C48" s="3"/>
      <c r="D48" s="3"/>
      <c r="E48" s="3"/>
      <c r="F48" s="3"/>
      <c r="G48" s="2"/>
      <c r="H48" s="2"/>
      <c r="I48" s="2"/>
      <c r="J48" s="2"/>
      <c r="K48" s="2"/>
      <c r="L48" s="2"/>
      <c r="M48" s="2"/>
      <c r="N48" s="2"/>
      <c r="O48" s="2"/>
      <c r="P48" s="2"/>
      <c r="Q48" s="2"/>
      <c r="R48" s="2"/>
      <c r="S48" s="2"/>
      <c r="T48" s="2"/>
      <c r="U48" s="2"/>
      <c r="V48" s="2"/>
      <c r="W48" s="2"/>
      <c r="X48" s="2"/>
      <c r="Y48" s="2"/>
      <c r="Z48" s="2"/>
    </row>
    <row r="49" ht="15.75" customHeight="1">
      <c r="A49" s="3"/>
      <c r="B49" s="3"/>
      <c r="C49" s="3"/>
      <c r="D49" s="3"/>
      <c r="E49" s="3"/>
      <c r="F49" s="3"/>
      <c r="G49" s="2"/>
      <c r="H49" s="2"/>
      <c r="I49" s="2"/>
      <c r="J49" s="2"/>
      <c r="K49" s="2"/>
      <c r="L49" s="2"/>
      <c r="M49" s="2"/>
      <c r="N49" s="2"/>
      <c r="O49" s="2"/>
      <c r="P49" s="2"/>
      <c r="Q49" s="2"/>
      <c r="R49" s="2"/>
      <c r="S49" s="2"/>
      <c r="T49" s="2"/>
      <c r="U49" s="2"/>
      <c r="V49" s="2"/>
      <c r="W49" s="2"/>
      <c r="X49" s="2"/>
      <c r="Y49" s="2"/>
      <c r="Z49" s="2"/>
    </row>
    <row r="50" ht="15.75" customHeight="1">
      <c r="A50" s="3"/>
      <c r="B50" s="3"/>
      <c r="C50" s="3"/>
      <c r="D50" s="3"/>
      <c r="E50" s="3"/>
      <c r="F50" s="3"/>
      <c r="G50" s="2"/>
      <c r="H50" s="2"/>
      <c r="I50" s="2"/>
      <c r="J50" s="2"/>
      <c r="K50" s="2"/>
      <c r="L50" s="2"/>
      <c r="M50" s="2"/>
      <c r="N50" s="2"/>
      <c r="O50" s="2"/>
      <c r="P50" s="2"/>
      <c r="Q50" s="2"/>
      <c r="R50" s="2"/>
      <c r="S50" s="2"/>
      <c r="T50" s="2"/>
      <c r="U50" s="2"/>
      <c r="V50" s="2"/>
      <c r="W50" s="2"/>
      <c r="X50" s="2"/>
      <c r="Y50" s="2"/>
      <c r="Z50" s="2"/>
    </row>
    <row r="51" ht="15.75" customHeight="1">
      <c r="A51" s="3"/>
      <c r="B51" s="3"/>
      <c r="C51" s="3"/>
      <c r="D51" s="3"/>
      <c r="E51" s="3"/>
      <c r="F51" s="3"/>
      <c r="G51" s="2"/>
      <c r="H51" s="2"/>
      <c r="I51" s="2"/>
      <c r="J51" s="2"/>
      <c r="K51" s="2"/>
      <c r="L51" s="2"/>
      <c r="M51" s="2"/>
      <c r="N51" s="2"/>
      <c r="O51" s="2"/>
      <c r="P51" s="2"/>
      <c r="Q51" s="2"/>
      <c r="R51" s="2"/>
      <c r="S51" s="2"/>
      <c r="T51" s="2"/>
      <c r="U51" s="2"/>
      <c r="V51" s="2"/>
      <c r="W51" s="2"/>
      <c r="X51" s="2"/>
      <c r="Y51" s="2"/>
      <c r="Z51" s="2"/>
    </row>
    <row r="52" ht="15.75" customHeight="1">
      <c r="A52" s="3"/>
      <c r="B52" s="3"/>
      <c r="C52" s="3"/>
      <c r="D52" s="3"/>
      <c r="E52" s="3"/>
      <c r="F52" s="3"/>
      <c r="G52" s="2"/>
      <c r="H52" s="2"/>
      <c r="I52" s="2"/>
      <c r="J52" s="2"/>
      <c r="K52" s="2"/>
      <c r="L52" s="2"/>
      <c r="M52" s="2"/>
      <c r="N52" s="2"/>
      <c r="O52" s="2"/>
      <c r="P52" s="2"/>
      <c r="Q52" s="2"/>
      <c r="R52" s="2"/>
      <c r="S52" s="2"/>
      <c r="T52" s="2"/>
      <c r="U52" s="2"/>
      <c r="V52" s="2"/>
      <c r="W52" s="2"/>
      <c r="X52" s="2"/>
      <c r="Y52" s="2"/>
      <c r="Z52" s="2"/>
    </row>
    <row r="53" ht="15.75" customHeight="1">
      <c r="A53" s="3"/>
      <c r="B53" s="3"/>
      <c r="C53" s="3"/>
      <c r="D53" s="3"/>
      <c r="E53" s="3"/>
      <c r="F53" s="3"/>
      <c r="G53" s="2"/>
      <c r="H53" s="2"/>
      <c r="I53" s="2"/>
      <c r="J53" s="2"/>
      <c r="K53" s="2"/>
      <c r="L53" s="2"/>
      <c r="M53" s="2"/>
      <c r="N53" s="2"/>
      <c r="O53" s="2"/>
      <c r="P53" s="2"/>
      <c r="Q53" s="2"/>
      <c r="R53" s="2"/>
      <c r="S53" s="2"/>
      <c r="T53" s="2"/>
      <c r="U53" s="2"/>
      <c r="V53" s="2"/>
      <c r="W53" s="2"/>
      <c r="X53" s="2"/>
      <c r="Y53" s="2"/>
      <c r="Z53" s="2"/>
    </row>
    <row r="54" ht="15.75" customHeight="1">
      <c r="A54" s="3"/>
      <c r="B54" s="3"/>
      <c r="C54" s="3"/>
      <c r="D54" s="3"/>
      <c r="E54" s="3"/>
      <c r="F54" s="3"/>
      <c r="G54" s="2"/>
      <c r="H54" s="2"/>
      <c r="I54" s="2"/>
      <c r="J54" s="2"/>
      <c r="K54" s="2"/>
      <c r="L54" s="2"/>
      <c r="M54" s="2"/>
      <c r="N54" s="2"/>
      <c r="O54" s="2"/>
      <c r="P54" s="2"/>
      <c r="Q54" s="2"/>
      <c r="R54" s="2"/>
      <c r="S54" s="2"/>
      <c r="T54" s="2"/>
      <c r="U54" s="2"/>
      <c r="V54" s="2"/>
      <c r="W54" s="2"/>
      <c r="X54" s="2"/>
      <c r="Y54" s="2"/>
      <c r="Z54" s="2"/>
    </row>
    <row r="55" ht="15.75" customHeight="1">
      <c r="A55" s="3"/>
      <c r="B55" s="3"/>
      <c r="C55" s="3"/>
      <c r="D55" s="3"/>
      <c r="E55" s="3"/>
      <c r="F55" s="3"/>
      <c r="G55" s="2"/>
      <c r="H55" s="2"/>
      <c r="I55" s="2"/>
      <c r="J55" s="2"/>
      <c r="K55" s="2"/>
      <c r="L55" s="2"/>
      <c r="M55" s="2"/>
      <c r="N55" s="2"/>
      <c r="O55" s="2"/>
      <c r="P55" s="2"/>
      <c r="Q55" s="2"/>
      <c r="R55" s="2"/>
      <c r="S55" s="2"/>
      <c r="T55" s="2"/>
      <c r="U55" s="2"/>
      <c r="V55" s="2"/>
      <c r="W55" s="2"/>
      <c r="X55" s="2"/>
      <c r="Y55" s="2"/>
      <c r="Z55" s="2"/>
    </row>
    <row r="56" ht="15.75" customHeight="1">
      <c r="A56" s="3"/>
      <c r="B56" s="3"/>
      <c r="C56" s="3"/>
      <c r="D56" s="3"/>
      <c r="E56" s="3"/>
      <c r="F56" s="3"/>
      <c r="G56" s="2"/>
      <c r="H56" s="2"/>
      <c r="I56" s="2"/>
      <c r="J56" s="2"/>
      <c r="K56" s="2"/>
      <c r="L56" s="2"/>
      <c r="M56" s="2"/>
      <c r="N56" s="2"/>
      <c r="O56" s="2"/>
      <c r="P56" s="2"/>
      <c r="Q56" s="2"/>
      <c r="R56" s="2"/>
      <c r="S56" s="2"/>
      <c r="T56" s="2"/>
      <c r="U56" s="2"/>
      <c r="V56" s="2"/>
      <c r="W56" s="2"/>
      <c r="X56" s="2"/>
      <c r="Y56" s="2"/>
      <c r="Z56" s="2"/>
    </row>
    <row r="57" ht="15.75" customHeight="1">
      <c r="A57" s="3"/>
      <c r="B57" s="3"/>
      <c r="C57" s="3"/>
      <c r="D57" s="3"/>
      <c r="E57" s="3"/>
      <c r="F57" s="3"/>
      <c r="G57" s="2"/>
      <c r="H57" s="2"/>
      <c r="I57" s="2"/>
      <c r="J57" s="2"/>
      <c r="K57" s="2"/>
      <c r="L57" s="2"/>
      <c r="M57" s="2"/>
      <c r="N57" s="2"/>
      <c r="O57" s="2"/>
      <c r="P57" s="2"/>
      <c r="Q57" s="2"/>
      <c r="R57" s="2"/>
      <c r="S57" s="2"/>
      <c r="T57" s="2"/>
      <c r="U57" s="2"/>
      <c r="V57" s="2"/>
      <c r="W57" s="2"/>
      <c r="X57" s="2"/>
      <c r="Y57" s="2"/>
      <c r="Z57" s="2"/>
    </row>
    <row r="58" ht="15.75" customHeight="1">
      <c r="A58" s="3"/>
      <c r="B58" s="3"/>
      <c r="C58" s="3"/>
      <c r="D58" s="3"/>
      <c r="E58" s="3"/>
      <c r="F58" s="3"/>
      <c r="G58" s="2"/>
      <c r="H58" s="2"/>
      <c r="I58" s="2"/>
      <c r="J58" s="2"/>
      <c r="K58" s="2"/>
      <c r="L58" s="2"/>
      <c r="M58" s="2"/>
      <c r="N58" s="2"/>
      <c r="O58" s="2"/>
      <c r="P58" s="2"/>
      <c r="Q58" s="2"/>
      <c r="R58" s="2"/>
      <c r="S58" s="2"/>
      <c r="T58" s="2"/>
      <c r="U58" s="2"/>
      <c r="V58" s="2"/>
      <c r="W58" s="2"/>
      <c r="X58" s="2"/>
      <c r="Y58" s="2"/>
      <c r="Z58" s="2"/>
    </row>
    <row r="59" ht="15.75" customHeight="1">
      <c r="A59" s="3"/>
      <c r="B59" s="3"/>
      <c r="C59" s="3"/>
      <c r="D59" s="3"/>
      <c r="E59" s="3"/>
      <c r="F59" s="3"/>
      <c r="G59" s="2"/>
      <c r="H59" s="2"/>
      <c r="I59" s="2"/>
      <c r="J59" s="2"/>
      <c r="K59" s="2"/>
      <c r="L59" s="2"/>
      <c r="M59" s="2"/>
      <c r="N59" s="2"/>
      <c r="O59" s="2"/>
      <c r="P59" s="2"/>
      <c r="Q59" s="2"/>
      <c r="R59" s="2"/>
      <c r="S59" s="2"/>
      <c r="T59" s="2"/>
      <c r="U59" s="2"/>
      <c r="V59" s="2"/>
      <c r="W59" s="2"/>
      <c r="X59" s="2"/>
      <c r="Y59" s="2"/>
      <c r="Z59" s="2"/>
    </row>
    <row r="60" ht="15.75" customHeight="1">
      <c r="A60" s="3"/>
      <c r="B60" s="3"/>
      <c r="C60" s="3"/>
      <c r="D60" s="3"/>
      <c r="E60" s="3"/>
      <c r="F60" s="3"/>
      <c r="G60" s="2"/>
      <c r="H60" s="2"/>
      <c r="I60" s="2"/>
      <c r="J60" s="2"/>
      <c r="K60" s="2"/>
      <c r="L60" s="2"/>
      <c r="M60" s="2"/>
      <c r="N60" s="2"/>
      <c r="O60" s="2"/>
      <c r="P60" s="2"/>
      <c r="Q60" s="2"/>
      <c r="R60" s="2"/>
      <c r="S60" s="2"/>
      <c r="T60" s="2"/>
      <c r="U60" s="2"/>
      <c r="V60" s="2"/>
      <c r="W60" s="2"/>
      <c r="X60" s="2"/>
      <c r="Y60" s="2"/>
      <c r="Z60" s="2"/>
    </row>
    <row r="61" ht="15.75" customHeight="1">
      <c r="A61" s="3"/>
      <c r="B61" s="3"/>
      <c r="C61" s="3"/>
      <c r="D61" s="3"/>
      <c r="E61" s="3"/>
      <c r="F61" s="3"/>
      <c r="G61" s="2"/>
      <c r="H61" s="2"/>
      <c r="I61" s="2"/>
      <c r="J61" s="2"/>
      <c r="K61" s="2"/>
      <c r="L61" s="2"/>
      <c r="M61" s="2"/>
      <c r="N61" s="2"/>
      <c r="O61" s="2"/>
      <c r="P61" s="2"/>
      <c r="Q61" s="2"/>
      <c r="R61" s="2"/>
      <c r="S61" s="2"/>
      <c r="T61" s="2"/>
      <c r="U61" s="2"/>
      <c r="V61" s="2"/>
      <c r="W61" s="2"/>
      <c r="X61" s="2"/>
      <c r="Y61" s="2"/>
      <c r="Z61" s="2"/>
    </row>
    <row r="62" ht="15.75" customHeight="1">
      <c r="A62" s="3"/>
      <c r="B62" s="3"/>
      <c r="C62" s="3"/>
      <c r="D62" s="3"/>
      <c r="E62" s="3"/>
      <c r="F62" s="3"/>
      <c r="G62" s="2"/>
      <c r="H62" s="2"/>
      <c r="I62" s="2"/>
      <c r="J62" s="2"/>
      <c r="K62" s="2"/>
      <c r="L62" s="2"/>
      <c r="M62" s="2"/>
      <c r="N62" s="2"/>
      <c r="O62" s="2"/>
      <c r="P62" s="2"/>
      <c r="Q62" s="2"/>
      <c r="R62" s="2"/>
      <c r="S62" s="2"/>
      <c r="T62" s="2"/>
      <c r="U62" s="2"/>
      <c r="V62" s="2"/>
      <c r="W62" s="2"/>
      <c r="X62" s="2"/>
      <c r="Y62" s="2"/>
      <c r="Z62" s="2"/>
    </row>
    <row r="63" ht="15.75" customHeight="1">
      <c r="A63" s="3"/>
      <c r="B63" s="3"/>
      <c r="C63" s="3"/>
      <c r="D63" s="3"/>
      <c r="E63" s="3"/>
      <c r="F63" s="3"/>
      <c r="G63" s="2"/>
      <c r="H63" s="2"/>
      <c r="I63" s="2"/>
      <c r="J63" s="2"/>
      <c r="K63" s="2"/>
      <c r="L63" s="2"/>
      <c r="M63" s="2"/>
      <c r="N63" s="2"/>
      <c r="O63" s="2"/>
      <c r="P63" s="2"/>
      <c r="Q63" s="2"/>
      <c r="R63" s="2"/>
      <c r="S63" s="2"/>
      <c r="T63" s="2"/>
      <c r="U63" s="2"/>
      <c r="V63" s="2"/>
      <c r="W63" s="2"/>
      <c r="X63" s="2"/>
      <c r="Y63" s="2"/>
      <c r="Z63" s="2"/>
    </row>
    <row r="64" ht="15.75" customHeight="1">
      <c r="A64" s="3"/>
      <c r="B64" s="3"/>
      <c r="C64" s="3"/>
      <c r="D64" s="3"/>
      <c r="E64" s="3"/>
      <c r="F64" s="3"/>
      <c r="G64" s="2"/>
      <c r="H64" s="2"/>
      <c r="I64" s="2"/>
      <c r="J64" s="2"/>
      <c r="K64" s="2"/>
      <c r="L64" s="2"/>
      <c r="M64" s="2"/>
      <c r="N64" s="2"/>
      <c r="O64" s="2"/>
      <c r="P64" s="2"/>
      <c r="Q64" s="2"/>
      <c r="R64" s="2"/>
      <c r="S64" s="2"/>
      <c r="T64" s="2"/>
      <c r="U64" s="2"/>
      <c r="V64" s="2"/>
      <c r="W64" s="2"/>
      <c r="X64" s="2"/>
      <c r="Y64" s="2"/>
      <c r="Z64" s="2"/>
    </row>
    <row r="65" ht="15.75" customHeight="1">
      <c r="A65" s="3"/>
      <c r="B65" s="3"/>
      <c r="C65" s="3"/>
      <c r="D65" s="3"/>
      <c r="E65" s="3"/>
      <c r="F65" s="3"/>
      <c r="G65" s="2"/>
      <c r="H65" s="2"/>
      <c r="I65" s="2"/>
      <c r="J65" s="2"/>
      <c r="K65" s="2"/>
      <c r="L65" s="2"/>
      <c r="M65" s="2"/>
      <c r="N65" s="2"/>
      <c r="O65" s="2"/>
      <c r="P65" s="2"/>
      <c r="Q65" s="2"/>
      <c r="R65" s="2"/>
      <c r="S65" s="2"/>
      <c r="T65" s="2"/>
      <c r="U65" s="2"/>
      <c r="V65" s="2"/>
      <c r="W65" s="2"/>
      <c r="X65" s="2"/>
      <c r="Y65" s="2"/>
      <c r="Z65" s="2"/>
    </row>
    <row r="66" ht="15.75" customHeight="1">
      <c r="A66" s="3"/>
      <c r="B66" s="3"/>
      <c r="C66" s="3"/>
      <c r="D66" s="3"/>
      <c r="E66" s="3"/>
      <c r="F66" s="3"/>
      <c r="G66" s="2"/>
      <c r="H66" s="2"/>
      <c r="I66" s="2"/>
      <c r="J66" s="2"/>
      <c r="K66" s="2"/>
      <c r="L66" s="2"/>
      <c r="M66" s="2"/>
      <c r="N66" s="2"/>
      <c r="O66" s="2"/>
      <c r="P66" s="2"/>
      <c r="Q66" s="2"/>
      <c r="R66" s="2"/>
      <c r="S66" s="2"/>
      <c r="T66" s="2"/>
      <c r="U66" s="2"/>
      <c r="V66" s="2"/>
      <c r="W66" s="2"/>
      <c r="X66" s="2"/>
      <c r="Y66" s="2"/>
      <c r="Z66" s="2"/>
    </row>
    <row r="67" ht="15.75" customHeight="1">
      <c r="A67" s="3"/>
      <c r="B67" s="3"/>
      <c r="C67" s="3"/>
      <c r="D67" s="3"/>
      <c r="E67" s="3"/>
      <c r="F67" s="3"/>
      <c r="G67" s="2"/>
      <c r="H67" s="2"/>
      <c r="I67" s="2"/>
      <c r="J67" s="2"/>
      <c r="K67" s="2"/>
      <c r="L67" s="2"/>
      <c r="M67" s="2"/>
      <c r="N67" s="2"/>
      <c r="O67" s="2"/>
      <c r="P67" s="2"/>
      <c r="Q67" s="2"/>
      <c r="R67" s="2"/>
      <c r="S67" s="2"/>
      <c r="T67" s="2"/>
      <c r="U67" s="2"/>
      <c r="V67" s="2"/>
      <c r="W67" s="2"/>
      <c r="X67" s="2"/>
      <c r="Y67" s="2"/>
      <c r="Z67" s="2"/>
    </row>
    <row r="68" ht="15.75" customHeight="1">
      <c r="A68" s="3"/>
      <c r="B68" s="3"/>
      <c r="C68" s="3"/>
      <c r="D68" s="3"/>
      <c r="E68" s="3"/>
      <c r="F68" s="3"/>
      <c r="G68" s="2"/>
      <c r="H68" s="2"/>
      <c r="I68" s="2"/>
      <c r="J68" s="2"/>
      <c r="K68" s="2"/>
      <c r="L68" s="2"/>
      <c r="M68" s="2"/>
      <c r="N68" s="2"/>
      <c r="O68" s="2"/>
      <c r="P68" s="2"/>
      <c r="Q68" s="2"/>
      <c r="R68" s="2"/>
      <c r="S68" s="2"/>
      <c r="T68" s="2"/>
      <c r="U68" s="2"/>
      <c r="V68" s="2"/>
      <c r="W68" s="2"/>
      <c r="X68" s="2"/>
      <c r="Y68" s="2"/>
      <c r="Z68" s="2"/>
    </row>
    <row r="69" ht="15.75" customHeight="1">
      <c r="A69" s="3"/>
      <c r="B69" s="3"/>
      <c r="C69" s="3"/>
      <c r="D69" s="3"/>
      <c r="E69" s="3"/>
      <c r="F69" s="3"/>
      <c r="G69" s="2"/>
      <c r="H69" s="2"/>
      <c r="I69" s="2"/>
      <c r="J69" s="2"/>
      <c r="K69" s="2"/>
      <c r="L69" s="2"/>
      <c r="M69" s="2"/>
      <c r="N69" s="2"/>
      <c r="O69" s="2"/>
      <c r="P69" s="2"/>
      <c r="Q69" s="2"/>
      <c r="R69" s="2"/>
      <c r="S69" s="2"/>
      <c r="T69" s="2"/>
      <c r="U69" s="2"/>
      <c r="V69" s="2"/>
      <c r="W69" s="2"/>
      <c r="X69" s="2"/>
      <c r="Y69" s="2"/>
      <c r="Z69" s="2"/>
    </row>
    <row r="70" ht="15.75" customHeight="1">
      <c r="A70" s="3"/>
      <c r="B70" s="3"/>
      <c r="C70" s="3"/>
      <c r="D70" s="3"/>
      <c r="E70" s="3"/>
      <c r="F70" s="3"/>
      <c r="G70" s="2"/>
      <c r="H70" s="2"/>
      <c r="I70" s="2"/>
      <c r="J70" s="2"/>
      <c r="K70" s="2"/>
      <c r="L70" s="2"/>
      <c r="M70" s="2"/>
      <c r="N70" s="2"/>
      <c r="O70" s="2"/>
      <c r="P70" s="2"/>
      <c r="Q70" s="2"/>
      <c r="R70" s="2"/>
      <c r="S70" s="2"/>
      <c r="T70" s="2"/>
      <c r="U70" s="2"/>
      <c r="V70" s="2"/>
      <c r="W70" s="2"/>
      <c r="X70" s="2"/>
      <c r="Y70" s="2"/>
      <c r="Z70" s="2"/>
    </row>
    <row r="71" ht="15.75" customHeight="1">
      <c r="A71" s="3"/>
      <c r="B71" s="3"/>
      <c r="C71" s="3"/>
      <c r="D71" s="3"/>
      <c r="E71" s="3"/>
      <c r="F71" s="3"/>
      <c r="G71" s="2"/>
      <c r="H71" s="2"/>
      <c r="I71" s="2"/>
      <c r="J71" s="2"/>
      <c r="K71" s="2"/>
      <c r="L71" s="2"/>
      <c r="M71" s="2"/>
      <c r="N71" s="2"/>
      <c r="O71" s="2"/>
      <c r="P71" s="2"/>
      <c r="Q71" s="2"/>
      <c r="R71" s="2"/>
      <c r="S71" s="2"/>
      <c r="T71" s="2"/>
      <c r="U71" s="2"/>
      <c r="V71" s="2"/>
      <c r="W71" s="2"/>
      <c r="X71" s="2"/>
      <c r="Y71" s="2"/>
      <c r="Z71" s="2"/>
    </row>
    <row r="72" ht="15.75" customHeight="1">
      <c r="A72" s="3"/>
      <c r="B72" s="3"/>
      <c r="C72" s="3"/>
      <c r="D72" s="3"/>
      <c r="E72" s="3"/>
      <c r="F72" s="3"/>
      <c r="G72" s="2"/>
      <c r="H72" s="2"/>
      <c r="I72" s="2"/>
      <c r="J72" s="2"/>
      <c r="K72" s="2"/>
      <c r="L72" s="2"/>
      <c r="M72" s="2"/>
      <c r="N72" s="2"/>
      <c r="O72" s="2"/>
      <c r="P72" s="2"/>
      <c r="Q72" s="2"/>
      <c r="R72" s="2"/>
      <c r="S72" s="2"/>
      <c r="T72" s="2"/>
      <c r="U72" s="2"/>
      <c r="V72" s="2"/>
      <c r="W72" s="2"/>
      <c r="X72" s="2"/>
      <c r="Y72" s="2"/>
      <c r="Z72" s="2"/>
    </row>
    <row r="73" ht="15.75" customHeight="1">
      <c r="A73" s="3"/>
      <c r="B73" s="3"/>
      <c r="C73" s="3"/>
      <c r="D73" s="3"/>
      <c r="E73" s="3"/>
      <c r="F73" s="3"/>
      <c r="G73" s="2"/>
      <c r="H73" s="2"/>
      <c r="I73" s="2"/>
      <c r="J73" s="2"/>
      <c r="K73" s="2"/>
      <c r="L73" s="2"/>
      <c r="M73" s="2"/>
      <c r="N73" s="2"/>
      <c r="O73" s="2"/>
      <c r="P73" s="2"/>
      <c r="Q73" s="2"/>
      <c r="R73" s="2"/>
      <c r="S73" s="2"/>
      <c r="T73" s="2"/>
      <c r="U73" s="2"/>
      <c r="V73" s="2"/>
      <c r="W73" s="2"/>
      <c r="X73" s="2"/>
      <c r="Y73" s="2"/>
      <c r="Z73" s="2"/>
    </row>
    <row r="74" ht="15.75" customHeight="1">
      <c r="A74" s="3"/>
      <c r="B74" s="3"/>
      <c r="C74" s="3"/>
      <c r="D74" s="3"/>
      <c r="E74" s="3"/>
      <c r="F74" s="3"/>
      <c r="G74" s="2"/>
      <c r="H74" s="2"/>
      <c r="I74" s="2"/>
      <c r="J74" s="2"/>
      <c r="K74" s="2"/>
      <c r="L74" s="2"/>
      <c r="M74" s="2"/>
      <c r="N74" s="2"/>
      <c r="O74" s="2"/>
      <c r="P74" s="2"/>
      <c r="Q74" s="2"/>
      <c r="R74" s="2"/>
      <c r="S74" s="2"/>
      <c r="T74" s="2"/>
      <c r="U74" s="2"/>
      <c r="V74" s="2"/>
      <c r="W74" s="2"/>
      <c r="X74" s="2"/>
      <c r="Y74" s="2"/>
      <c r="Z74" s="2"/>
    </row>
    <row r="75" ht="15.75" customHeight="1">
      <c r="A75" s="3"/>
      <c r="B75" s="3"/>
      <c r="C75" s="3"/>
      <c r="D75" s="3"/>
      <c r="E75" s="3"/>
      <c r="F75" s="3"/>
      <c r="G75" s="2"/>
      <c r="H75" s="2"/>
      <c r="I75" s="2"/>
      <c r="J75" s="2"/>
      <c r="K75" s="2"/>
      <c r="L75" s="2"/>
      <c r="M75" s="2"/>
      <c r="N75" s="2"/>
      <c r="O75" s="2"/>
      <c r="P75" s="2"/>
      <c r="Q75" s="2"/>
      <c r="R75" s="2"/>
      <c r="S75" s="2"/>
      <c r="T75" s="2"/>
      <c r="U75" s="2"/>
      <c r="V75" s="2"/>
      <c r="W75" s="2"/>
      <c r="X75" s="2"/>
      <c r="Y75" s="2"/>
      <c r="Z75" s="2"/>
    </row>
    <row r="76" ht="15.75" customHeight="1">
      <c r="A76" s="3"/>
      <c r="B76" s="3"/>
      <c r="C76" s="3"/>
      <c r="D76" s="3"/>
      <c r="E76" s="3"/>
      <c r="F76" s="3"/>
      <c r="G76" s="2"/>
      <c r="H76" s="2"/>
      <c r="I76" s="2"/>
      <c r="J76" s="2"/>
      <c r="K76" s="2"/>
      <c r="L76" s="2"/>
      <c r="M76" s="2"/>
      <c r="N76" s="2"/>
      <c r="O76" s="2"/>
      <c r="P76" s="2"/>
      <c r="Q76" s="2"/>
      <c r="R76" s="2"/>
      <c r="S76" s="2"/>
      <c r="T76" s="2"/>
      <c r="U76" s="2"/>
      <c r="V76" s="2"/>
      <c r="W76" s="2"/>
      <c r="X76" s="2"/>
      <c r="Y76" s="2"/>
      <c r="Z76" s="2"/>
    </row>
    <row r="77" ht="15.75" customHeight="1">
      <c r="A77" s="3"/>
      <c r="B77" s="3"/>
      <c r="C77" s="3"/>
      <c r="D77" s="3"/>
      <c r="E77" s="3"/>
      <c r="F77" s="3"/>
      <c r="G77" s="2"/>
      <c r="H77" s="2"/>
      <c r="I77" s="2"/>
      <c r="J77" s="2"/>
      <c r="K77" s="2"/>
      <c r="L77" s="2"/>
      <c r="M77" s="2"/>
      <c r="N77" s="2"/>
      <c r="O77" s="2"/>
      <c r="P77" s="2"/>
      <c r="Q77" s="2"/>
      <c r="R77" s="2"/>
      <c r="S77" s="2"/>
      <c r="T77" s="2"/>
      <c r="U77" s="2"/>
      <c r="V77" s="2"/>
      <c r="W77" s="2"/>
      <c r="X77" s="2"/>
      <c r="Y77" s="2"/>
      <c r="Z77" s="2"/>
    </row>
    <row r="78" ht="15.75" customHeight="1">
      <c r="A78" s="3"/>
      <c r="B78" s="3"/>
      <c r="C78" s="3"/>
      <c r="D78" s="3"/>
      <c r="E78" s="3"/>
      <c r="F78" s="3"/>
      <c r="G78" s="2"/>
      <c r="H78" s="2"/>
      <c r="I78" s="2"/>
      <c r="J78" s="2"/>
      <c r="K78" s="2"/>
      <c r="L78" s="2"/>
      <c r="M78" s="2"/>
      <c r="N78" s="2"/>
      <c r="O78" s="2"/>
      <c r="P78" s="2"/>
      <c r="Q78" s="2"/>
      <c r="R78" s="2"/>
      <c r="S78" s="2"/>
      <c r="T78" s="2"/>
      <c r="U78" s="2"/>
      <c r="V78" s="2"/>
      <c r="W78" s="2"/>
      <c r="X78" s="2"/>
      <c r="Y78" s="2"/>
      <c r="Z78" s="2"/>
    </row>
    <row r="79" ht="15.75" customHeight="1">
      <c r="A79" s="3"/>
      <c r="B79" s="3"/>
      <c r="C79" s="3"/>
      <c r="D79" s="3"/>
      <c r="E79" s="3"/>
      <c r="F79" s="3"/>
      <c r="G79" s="2"/>
      <c r="H79" s="2"/>
      <c r="I79" s="2"/>
      <c r="J79" s="2"/>
      <c r="K79" s="2"/>
      <c r="L79" s="2"/>
      <c r="M79" s="2"/>
      <c r="N79" s="2"/>
      <c r="O79" s="2"/>
      <c r="P79" s="2"/>
      <c r="Q79" s="2"/>
      <c r="R79" s="2"/>
      <c r="S79" s="2"/>
      <c r="T79" s="2"/>
      <c r="U79" s="2"/>
      <c r="V79" s="2"/>
      <c r="W79" s="2"/>
      <c r="X79" s="2"/>
      <c r="Y79" s="2"/>
      <c r="Z79" s="2"/>
    </row>
    <row r="80" ht="15.75" customHeight="1">
      <c r="A80" s="3"/>
      <c r="B80" s="3"/>
      <c r="C80" s="3"/>
      <c r="D80" s="3"/>
      <c r="E80" s="3"/>
      <c r="F80" s="3"/>
      <c r="G80" s="2"/>
      <c r="H80" s="2"/>
      <c r="I80" s="2"/>
      <c r="J80" s="2"/>
      <c r="K80" s="2"/>
      <c r="L80" s="2"/>
      <c r="M80" s="2"/>
      <c r="N80" s="2"/>
      <c r="O80" s="2"/>
      <c r="P80" s="2"/>
      <c r="Q80" s="2"/>
      <c r="R80" s="2"/>
      <c r="S80" s="2"/>
      <c r="T80" s="2"/>
      <c r="U80" s="2"/>
      <c r="V80" s="2"/>
      <c r="W80" s="2"/>
      <c r="X80" s="2"/>
      <c r="Y80" s="2"/>
      <c r="Z80" s="2"/>
    </row>
    <row r="81" ht="15.75" customHeight="1">
      <c r="A81" s="3"/>
      <c r="B81" s="3"/>
      <c r="C81" s="3"/>
      <c r="D81" s="3"/>
      <c r="E81" s="3"/>
      <c r="F81" s="3"/>
      <c r="G81" s="2"/>
      <c r="H81" s="2"/>
      <c r="I81" s="2"/>
      <c r="J81" s="2"/>
      <c r="K81" s="2"/>
      <c r="L81" s="2"/>
      <c r="M81" s="2"/>
      <c r="N81" s="2"/>
      <c r="O81" s="2"/>
      <c r="P81" s="2"/>
      <c r="Q81" s="2"/>
      <c r="R81" s="2"/>
      <c r="S81" s="2"/>
      <c r="T81" s="2"/>
      <c r="U81" s="2"/>
      <c r="V81" s="2"/>
      <c r="W81" s="2"/>
      <c r="X81" s="2"/>
      <c r="Y81" s="2"/>
      <c r="Z81" s="2"/>
    </row>
    <row r="82" ht="15.75" customHeight="1">
      <c r="A82" s="3"/>
      <c r="B82" s="3"/>
      <c r="C82" s="3"/>
      <c r="D82" s="3"/>
      <c r="E82" s="3"/>
      <c r="F82" s="3"/>
      <c r="G82" s="2"/>
      <c r="H82" s="2"/>
      <c r="I82" s="2"/>
      <c r="J82" s="2"/>
      <c r="K82" s="2"/>
      <c r="L82" s="2"/>
      <c r="M82" s="2"/>
      <c r="N82" s="2"/>
      <c r="O82" s="2"/>
      <c r="P82" s="2"/>
      <c r="Q82" s="2"/>
      <c r="R82" s="2"/>
      <c r="S82" s="2"/>
      <c r="T82" s="2"/>
      <c r="U82" s="2"/>
      <c r="V82" s="2"/>
      <c r="W82" s="2"/>
      <c r="X82" s="2"/>
      <c r="Y82" s="2"/>
      <c r="Z82" s="2"/>
    </row>
    <row r="83" ht="15.75" customHeight="1">
      <c r="A83" s="3"/>
      <c r="B83" s="3"/>
      <c r="C83" s="3"/>
      <c r="D83" s="3"/>
      <c r="E83" s="3"/>
      <c r="F83" s="3"/>
      <c r="G83" s="2"/>
      <c r="H83" s="2"/>
      <c r="I83" s="2"/>
      <c r="J83" s="2"/>
      <c r="K83" s="2"/>
      <c r="L83" s="2"/>
      <c r="M83" s="2"/>
      <c r="N83" s="2"/>
      <c r="O83" s="2"/>
      <c r="P83" s="2"/>
      <c r="Q83" s="2"/>
      <c r="R83" s="2"/>
      <c r="S83" s="2"/>
      <c r="T83" s="2"/>
      <c r="U83" s="2"/>
      <c r="V83" s="2"/>
      <c r="W83" s="2"/>
      <c r="X83" s="2"/>
      <c r="Y83" s="2"/>
      <c r="Z83" s="2"/>
    </row>
    <row r="84" ht="15.75" customHeight="1">
      <c r="A84" s="3"/>
      <c r="B84" s="3"/>
      <c r="C84" s="3"/>
      <c r="D84" s="3"/>
      <c r="E84" s="3"/>
      <c r="F84" s="3"/>
      <c r="G84" s="2"/>
      <c r="H84" s="2"/>
      <c r="I84" s="2"/>
      <c r="J84" s="2"/>
      <c r="K84" s="2"/>
      <c r="L84" s="2"/>
      <c r="M84" s="2"/>
      <c r="N84" s="2"/>
      <c r="O84" s="2"/>
      <c r="P84" s="2"/>
      <c r="Q84" s="2"/>
      <c r="R84" s="2"/>
      <c r="S84" s="2"/>
      <c r="T84" s="2"/>
      <c r="U84" s="2"/>
      <c r="V84" s="2"/>
      <c r="W84" s="2"/>
      <c r="X84" s="2"/>
      <c r="Y84" s="2"/>
      <c r="Z84" s="2"/>
    </row>
    <row r="85" ht="15.75" customHeight="1">
      <c r="A85" s="3"/>
      <c r="B85" s="3"/>
      <c r="C85" s="3"/>
      <c r="D85" s="3"/>
      <c r="E85" s="3"/>
      <c r="F85" s="3"/>
      <c r="G85" s="2"/>
      <c r="H85" s="2"/>
      <c r="I85" s="2"/>
      <c r="J85" s="2"/>
      <c r="K85" s="2"/>
      <c r="L85" s="2"/>
      <c r="M85" s="2"/>
      <c r="N85" s="2"/>
      <c r="O85" s="2"/>
      <c r="P85" s="2"/>
      <c r="Q85" s="2"/>
      <c r="R85" s="2"/>
      <c r="S85" s="2"/>
      <c r="T85" s="2"/>
      <c r="U85" s="2"/>
      <c r="V85" s="2"/>
      <c r="W85" s="2"/>
      <c r="X85" s="2"/>
      <c r="Y85" s="2"/>
      <c r="Z85" s="2"/>
    </row>
    <row r="86" ht="15.75" customHeight="1">
      <c r="A86" s="3"/>
      <c r="B86" s="3"/>
      <c r="C86" s="3"/>
      <c r="D86" s="3"/>
      <c r="E86" s="3"/>
      <c r="F86" s="3"/>
      <c r="G86" s="2"/>
      <c r="H86" s="2"/>
      <c r="I86" s="2"/>
      <c r="J86" s="2"/>
      <c r="K86" s="2"/>
      <c r="L86" s="2"/>
      <c r="M86" s="2"/>
      <c r="N86" s="2"/>
      <c r="O86" s="2"/>
      <c r="P86" s="2"/>
      <c r="Q86" s="2"/>
      <c r="R86" s="2"/>
      <c r="S86" s="2"/>
      <c r="T86" s="2"/>
      <c r="U86" s="2"/>
      <c r="V86" s="2"/>
      <c r="W86" s="2"/>
      <c r="X86" s="2"/>
      <c r="Y86" s="2"/>
      <c r="Z86" s="2"/>
    </row>
    <row r="87" ht="15.75" customHeight="1">
      <c r="A87" s="3"/>
      <c r="B87" s="3"/>
      <c r="C87" s="3"/>
      <c r="D87" s="3"/>
      <c r="E87" s="3"/>
      <c r="F87" s="3"/>
      <c r="G87" s="2"/>
      <c r="H87" s="2"/>
      <c r="I87" s="2"/>
      <c r="J87" s="2"/>
      <c r="K87" s="2"/>
      <c r="L87" s="2"/>
      <c r="M87" s="2"/>
      <c r="N87" s="2"/>
      <c r="O87" s="2"/>
      <c r="P87" s="2"/>
      <c r="Q87" s="2"/>
      <c r="R87" s="2"/>
      <c r="S87" s="2"/>
      <c r="T87" s="2"/>
      <c r="U87" s="2"/>
      <c r="V87" s="2"/>
      <c r="W87" s="2"/>
      <c r="X87" s="2"/>
      <c r="Y87" s="2"/>
      <c r="Z87" s="2"/>
    </row>
    <row r="88" ht="15.75" customHeight="1">
      <c r="A88" s="3"/>
      <c r="B88" s="3"/>
      <c r="C88" s="3"/>
      <c r="D88" s="3"/>
      <c r="E88" s="3"/>
      <c r="F88" s="3"/>
      <c r="G88" s="2"/>
      <c r="H88" s="2"/>
      <c r="I88" s="2"/>
      <c r="J88" s="2"/>
      <c r="K88" s="2"/>
      <c r="L88" s="2"/>
      <c r="M88" s="2"/>
      <c r="N88" s="2"/>
      <c r="O88" s="2"/>
      <c r="P88" s="2"/>
      <c r="Q88" s="2"/>
      <c r="R88" s="2"/>
      <c r="S88" s="2"/>
      <c r="T88" s="2"/>
      <c r="U88" s="2"/>
      <c r="V88" s="2"/>
      <c r="W88" s="2"/>
      <c r="X88" s="2"/>
      <c r="Y88" s="2"/>
      <c r="Z88" s="2"/>
    </row>
    <row r="89" ht="15.75" customHeight="1">
      <c r="A89" s="3"/>
      <c r="B89" s="3"/>
      <c r="C89" s="3"/>
      <c r="D89" s="3"/>
      <c r="E89" s="3"/>
      <c r="F89" s="3"/>
      <c r="G89" s="2"/>
      <c r="H89" s="2"/>
      <c r="I89" s="2"/>
      <c r="J89" s="2"/>
      <c r="K89" s="2"/>
      <c r="L89" s="2"/>
      <c r="M89" s="2"/>
      <c r="N89" s="2"/>
      <c r="O89" s="2"/>
      <c r="P89" s="2"/>
      <c r="Q89" s="2"/>
      <c r="R89" s="2"/>
      <c r="S89" s="2"/>
      <c r="T89" s="2"/>
      <c r="U89" s="2"/>
      <c r="V89" s="2"/>
      <c r="W89" s="2"/>
      <c r="X89" s="2"/>
      <c r="Y89" s="2"/>
      <c r="Z89" s="2"/>
    </row>
    <row r="90" ht="15.75" customHeight="1">
      <c r="A90" s="3"/>
      <c r="B90" s="3"/>
      <c r="C90" s="3"/>
      <c r="D90" s="3"/>
      <c r="E90" s="3"/>
      <c r="F90" s="3"/>
      <c r="G90" s="2"/>
      <c r="H90" s="2"/>
      <c r="I90" s="2"/>
      <c r="J90" s="2"/>
      <c r="K90" s="2"/>
      <c r="L90" s="2"/>
      <c r="M90" s="2"/>
      <c r="N90" s="2"/>
      <c r="O90" s="2"/>
      <c r="P90" s="2"/>
      <c r="Q90" s="2"/>
      <c r="R90" s="2"/>
      <c r="S90" s="2"/>
      <c r="T90" s="2"/>
      <c r="U90" s="2"/>
      <c r="V90" s="2"/>
      <c r="W90" s="2"/>
      <c r="X90" s="2"/>
      <c r="Y90" s="2"/>
      <c r="Z90" s="2"/>
    </row>
    <row r="91" ht="15.75" customHeight="1">
      <c r="A91" s="3"/>
      <c r="B91" s="3"/>
      <c r="C91" s="3"/>
      <c r="D91" s="3"/>
      <c r="E91" s="3"/>
      <c r="F91" s="3"/>
      <c r="G91" s="2"/>
      <c r="H91" s="2"/>
      <c r="I91" s="2"/>
      <c r="J91" s="2"/>
      <c r="K91" s="2"/>
      <c r="L91" s="2"/>
      <c r="M91" s="2"/>
      <c r="N91" s="2"/>
      <c r="O91" s="2"/>
      <c r="P91" s="2"/>
      <c r="Q91" s="2"/>
      <c r="R91" s="2"/>
      <c r="S91" s="2"/>
      <c r="T91" s="2"/>
      <c r="U91" s="2"/>
      <c r="V91" s="2"/>
      <c r="W91" s="2"/>
      <c r="X91" s="2"/>
      <c r="Y91" s="2"/>
      <c r="Z91" s="2"/>
    </row>
    <row r="92" ht="15.75" customHeight="1">
      <c r="A92" s="3"/>
      <c r="B92" s="3"/>
      <c r="C92" s="3"/>
      <c r="D92" s="3"/>
      <c r="E92" s="3"/>
      <c r="F92" s="3"/>
      <c r="G92" s="2"/>
      <c r="H92" s="2"/>
      <c r="I92" s="2"/>
      <c r="J92" s="2"/>
      <c r="K92" s="2"/>
      <c r="L92" s="2"/>
      <c r="M92" s="2"/>
      <c r="N92" s="2"/>
      <c r="O92" s="2"/>
      <c r="P92" s="2"/>
      <c r="Q92" s="2"/>
      <c r="R92" s="2"/>
      <c r="S92" s="2"/>
      <c r="T92" s="2"/>
      <c r="U92" s="2"/>
      <c r="V92" s="2"/>
      <c r="W92" s="2"/>
      <c r="X92" s="2"/>
      <c r="Y92" s="2"/>
      <c r="Z92" s="2"/>
    </row>
    <row r="93" ht="15.75" customHeight="1">
      <c r="A93" s="3"/>
      <c r="B93" s="3"/>
      <c r="C93" s="3"/>
      <c r="D93" s="3"/>
      <c r="E93" s="3"/>
      <c r="F93" s="3"/>
      <c r="G93" s="2"/>
      <c r="H93" s="2"/>
      <c r="I93" s="2"/>
      <c r="J93" s="2"/>
      <c r="K93" s="2"/>
      <c r="L93" s="2"/>
      <c r="M93" s="2"/>
      <c r="N93" s="2"/>
      <c r="O93" s="2"/>
      <c r="P93" s="2"/>
      <c r="Q93" s="2"/>
      <c r="R93" s="2"/>
      <c r="S93" s="2"/>
      <c r="T93" s="2"/>
      <c r="U93" s="2"/>
      <c r="V93" s="2"/>
      <c r="W93" s="2"/>
      <c r="X93" s="2"/>
      <c r="Y93" s="2"/>
      <c r="Z93" s="2"/>
    </row>
    <row r="94" ht="15.75" customHeight="1">
      <c r="A94" s="3"/>
      <c r="B94" s="3"/>
      <c r="C94" s="3"/>
      <c r="D94" s="3"/>
      <c r="E94" s="3"/>
      <c r="F94" s="3"/>
      <c r="G94" s="2"/>
      <c r="H94" s="2"/>
      <c r="I94" s="2"/>
      <c r="J94" s="2"/>
      <c r="K94" s="2"/>
      <c r="L94" s="2"/>
      <c r="M94" s="2"/>
      <c r="N94" s="2"/>
      <c r="O94" s="2"/>
      <c r="P94" s="2"/>
      <c r="Q94" s="2"/>
      <c r="R94" s="2"/>
      <c r="S94" s="2"/>
      <c r="T94" s="2"/>
      <c r="U94" s="2"/>
      <c r="V94" s="2"/>
      <c r="W94" s="2"/>
      <c r="X94" s="2"/>
      <c r="Y94" s="2"/>
      <c r="Z94" s="2"/>
    </row>
    <row r="95" ht="15.75" customHeight="1">
      <c r="A95" s="3"/>
      <c r="B95" s="3"/>
      <c r="C95" s="3"/>
      <c r="D95" s="3"/>
      <c r="E95" s="3"/>
      <c r="F95" s="3"/>
      <c r="G95" s="2"/>
      <c r="H95" s="2"/>
      <c r="I95" s="2"/>
      <c r="J95" s="2"/>
      <c r="K95" s="2"/>
      <c r="L95" s="2"/>
      <c r="M95" s="2"/>
      <c r="N95" s="2"/>
      <c r="O95" s="2"/>
      <c r="P95" s="2"/>
      <c r="Q95" s="2"/>
      <c r="R95" s="2"/>
      <c r="S95" s="2"/>
      <c r="T95" s="2"/>
      <c r="U95" s="2"/>
      <c r="V95" s="2"/>
      <c r="W95" s="2"/>
      <c r="X95" s="2"/>
      <c r="Y95" s="2"/>
      <c r="Z95" s="2"/>
    </row>
    <row r="96" ht="15.75" customHeight="1">
      <c r="A96" s="3"/>
      <c r="B96" s="3"/>
      <c r="C96" s="3"/>
      <c r="D96" s="3"/>
      <c r="E96" s="3"/>
      <c r="F96" s="3"/>
      <c r="G96" s="2"/>
      <c r="H96" s="2"/>
      <c r="I96" s="2"/>
      <c r="J96" s="2"/>
      <c r="K96" s="2"/>
      <c r="L96" s="2"/>
      <c r="M96" s="2"/>
      <c r="N96" s="2"/>
      <c r="O96" s="2"/>
      <c r="P96" s="2"/>
      <c r="Q96" s="2"/>
      <c r="R96" s="2"/>
      <c r="S96" s="2"/>
      <c r="T96" s="2"/>
      <c r="U96" s="2"/>
      <c r="V96" s="2"/>
      <c r="W96" s="2"/>
      <c r="X96" s="2"/>
      <c r="Y96" s="2"/>
      <c r="Z96" s="2"/>
    </row>
    <row r="97" ht="15.75" customHeight="1">
      <c r="A97" s="3"/>
      <c r="B97" s="3"/>
      <c r="C97" s="3"/>
      <c r="D97" s="3"/>
      <c r="E97" s="3"/>
      <c r="F97" s="3"/>
      <c r="G97" s="2"/>
      <c r="H97" s="2"/>
      <c r="I97" s="2"/>
      <c r="J97" s="2"/>
      <c r="K97" s="2"/>
      <c r="L97" s="2"/>
      <c r="M97" s="2"/>
      <c r="N97" s="2"/>
      <c r="O97" s="2"/>
      <c r="P97" s="2"/>
      <c r="Q97" s="2"/>
      <c r="R97" s="2"/>
      <c r="S97" s="2"/>
      <c r="T97" s="2"/>
      <c r="U97" s="2"/>
      <c r="V97" s="2"/>
      <c r="W97" s="2"/>
      <c r="X97" s="2"/>
      <c r="Y97" s="2"/>
      <c r="Z97" s="2"/>
    </row>
    <row r="98" ht="15.75" customHeight="1">
      <c r="A98" s="3"/>
      <c r="B98" s="3"/>
      <c r="C98" s="3"/>
      <c r="D98" s="3"/>
      <c r="E98" s="3"/>
      <c r="F98" s="3"/>
      <c r="G98" s="2"/>
      <c r="H98" s="2"/>
      <c r="I98" s="2"/>
      <c r="J98" s="2"/>
      <c r="K98" s="2"/>
      <c r="L98" s="2"/>
      <c r="M98" s="2"/>
      <c r="N98" s="2"/>
      <c r="O98" s="2"/>
      <c r="P98" s="2"/>
      <c r="Q98" s="2"/>
      <c r="R98" s="2"/>
      <c r="S98" s="2"/>
      <c r="T98" s="2"/>
      <c r="U98" s="2"/>
      <c r="V98" s="2"/>
      <c r="W98" s="2"/>
      <c r="X98" s="2"/>
      <c r="Y98" s="2"/>
      <c r="Z98" s="2"/>
    </row>
    <row r="99" ht="15.75" customHeight="1">
      <c r="A99" s="3"/>
      <c r="B99" s="3"/>
      <c r="C99" s="3"/>
      <c r="D99" s="3"/>
      <c r="E99" s="3"/>
      <c r="F99" s="3"/>
      <c r="G99" s="2"/>
      <c r="H99" s="2"/>
      <c r="I99" s="2"/>
      <c r="J99" s="2"/>
      <c r="K99" s="2"/>
      <c r="L99" s="2"/>
      <c r="M99" s="2"/>
      <c r="N99" s="2"/>
      <c r="O99" s="2"/>
      <c r="P99" s="2"/>
      <c r="Q99" s="2"/>
      <c r="R99" s="2"/>
      <c r="S99" s="2"/>
      <c r="T99" s="2"/>
      <c r="U99" s="2"/>
      <c r="V99" s="2"/>
      <c r="W99" s="2"/>
      <c r="X99" s="2"/>
      <c r="Y99" s="2"/>
      <c r="Z99" s="2"/>
    </row>
    <row r="100" ht="15.75" customHeight="1">
      <c r="A100" s="3"/>
      <c r="B100" s="3"/>
      <c r="C100" s="3"/>
      <c r="D100" s="3"/>
      <c r="E100" s="3"/>
      <c r="F100" s="3"/>
      <c r="G100" s="2"/>
      <c r="H100" s="2"/>
      <c r="I100" s="2"/>
      <c r="J100" s="2"/>
      <c r="K100" s="2"/>
      <c r="L100" s="2"/>
      <c r="M100" s="2"/>
      <c r="N100" s="2"/>
      <c r="O100" s="2"/>
      <c r="P100" s="2"/>
      <c r="Q100" s="2"/>
      <c r="R100" s="2"/>
      <c r="S100" s="2"/>
      <c r="T100" s="2"/>
      <c r="U100" s="2"/>
      <c r="V100" s="2"/>
      <c r="W100" s="2"/>
      <c r="X100" s="2"/>
      <c r="Y100" s="2"/>
      <c r="Z100" s="2"/>
    </row>
    <row r="101" ht="15.75" customHeight="1">
      <c r="A101" s="3"/>
      <c r="B101" s="3"/>
      <c r="C101" s="3"/>
      <c r="D101" s="3"/>
      <c r="E101" s="3"/>
      <c r="F101" s="3"/>
      <c r="G101" s="2"/>
      <c r="H101" s="2"/>
      <c r="I101" s="2"/>
      <c r="J101" s="2"/>
      <c r="K101" s="2"/>
      <c r="L101" s="2"/>
      <c r="M101" s="2"/>
      <c r="N101" s="2"/>
      <c r="O101" s="2"/>
      <c r="P101" s="2"/>
      <c r="Q101" s="2"/>
      <c r="R101" s="2"/>
      <c r="S101" s="2"/>
      <c r="T101" s="2"/>
      <c r="U101" s="2"/>
      <c r="V101" s="2"/>
      <c r="W101" s="2"/>
      <c r="X101" s="2"/>
      <c r="Y101" s="2"/>
      <c r="Z101" s="2"/>
    </row>
    <row r="102" ht="15.75" customHeight="1">
      <c r="A102" s="3"/>
      <c r="B102" s="3"/>
      <c r="C102" s="3"/>
      <c r="D102" s="3"/>
      <c r="E102" s="3"/>
      <c r="F102" s="3"/>
      <c r="G102" s="2"/>
      <c r="H102" s="2"/>
      <c r="I102" s="2"/>
      <c r="J102" s="2"/>
      <c r="K102" s="2"/>
      <c r="L102" s="2"/>
      <c r="M102" s="2"/>
      <c r="N102" s="2"/>
      <c r="O102" s="2"/>
      <c r="P102" s="2"/>
      <c r="Q102" s="2"/>
      <c r="R102" s="2"/>
      <c r="S102" s="2"/>
      <c r="T102" s="2"/>
      <c r="U102" s="2"/>
      <c r="V102" s="2"/>
      <c r="W102" s="2"/>
      <c r="X102" s="2"/>
      <c r="Y102" s="2"/>
      <c r="Z102" s="2"/>
    </row>
    <row r="103" ht="15.75" customHeight="1">
      <c r="A103" s="3"/>
      <c r="B103" s="3"/>
      <c r="C103" s="3"/>
      <c r="D103" s="3"/>
      <c r="E103" s="3"/>
      <c r="F103" s="3"/>
      <c r="G103" s="2"/>
      <c r="H103" s="2"/>
      <c r="I103" s="2"/>
      <c r="J103" s="2"/>
      <c r="K103" s="2"/>
      <c r="L103" s="2"/>
      <c r="M103" s="2"/>
      <c r="N103" s="2"/>
      <c r="O103" s="2"/>
      <c r="P103" s="2"/>
      <c r="Q103" s="2"/>
      <c r="R103" s="2"/>
      <c r="S103" s="2"/>
      <c r="T103" s="2"/>
      <c r="U103" s="2"/>
      <c r="V103" s="2"/>
      <c r="W103" s="2"/>
      <c r="X103" s="2"/>
      <c r="Y103" s="2"/>
      <c r="Z103" s="2"/>
    </row>
    <row r="104" ht="15.75" customHeight="1">
      <c r="A104" s="3"/>
      <c r="B104" s="3"/>
      <c r="C104" s="3"/>
      <c r="D104" s="3"/>
      <c r="E104" s="3"/>
      <c r="F104" s="3"/>
      <c r="G104" s="2"/>
      <c r="H104" s="2"/>
      <c r="I104" s="2"/>
      <c r="J104" s="2"/>
      <c r="K104" s="2"/>
      <c r="L104" s="2"/>
      <c r="M104" s="2"/>
      <c r="N104" s="2"/>
      <c r="O104" s="2"/>
      <c r="P104" s="2"/>
      <c r="Q104" s="2"/>
      <c r="R104" s="2"/>
      <c r="S104" s="2"/>
      <c r="T104" s="2"/>
      <c r="U104" s="2"/>
      <c r="V104" s="2"/>
      <c r="W104" s="2"/>
      <c r="X104" s="2"/>
      <c r="Y104" s="2"/>
      <c r="Z104" s="2"/>
    </row>
    <row r="105" ht="15.75" customHeight="1">
      <c r="A105" s="3"/>
      <c r="B105" s="3"/>
      <c r="C105" s="3"/>
      <c r="D105" s="3"/>
      <c r="E105" s="3"/>
      <c r="F105" s="3"/>
      <c r="G105" s="2"/>
      <c r="H105" s="2"/>
      <c r="I105" s="2"/>
      <c r="J105" s="2"/>
      <c r="K105" s="2"/>
      <c r="L105" s="2"/>
      <c r="M105" s="2"/>
      <c r="N105" s="2"/>
      <c r="O105" s="2"/>
      <c r="P105" s="2"/>
      <c r="Q105" s="2"/>
      <c r="R105" s="2"/>
      <c r="S105" s="2"/>
      <c r="T105" s="2"/>
      <c r="U105" s="2"/>
      <c r="V105" s="2"/>
      <c r="W105" s="2"/>
      <c r="X105" s="2"/>
      <c r="Y105" s="2"/>
      <c r="Z105" s="2"/>
    </row>
    <row r="106" ht="15.75" customHeight="1">
      <c r="A106" s="3"/>
      <c r="B106" s="3"/>
      <c r="C106" s="3"/>
      <c r="D106" s="3"/>
      <c r="E106" s="3"/>
      <c r="F106" s="3"/>
      <c r="G106" s="2"/>
      <c r="H106" s="2"/>
      <c r="I106" s="2"/>
      <c r="J106" s="2"/>
      <c r="K106" s="2"/>
      <c r="L106" s="2"/>
      <c r="M106" s="2"/>
      <c r="N106" s="2"/>
      <c r="O106" s="2"/>
      <c r="P106" s="2"/>
      <c r="Q106" s="2"/>
      <c r="R106" s="2"/>
      <c r="S106" s="2"/>
      <c r="T106" s="2"/>
      <c r="U106" s="2"/>
      <c r="V106" s="2"/>
      <c r="W106" s="2"/>
      <c r="X106" s="2"/>
      <c r="Y106" s="2"/>
      <c r="Z106" s="2"/>
    </row>
    <row r="107" ht="15.75" customHeight="1">
      <c r="A107" s="3"/>
      <c r="B107" s="3"/>
      <c r="C107" s="3"/>
      <c r="D107" s="3"/>
      <c r="E107" s="3"/>
      <c r="F107" s="3"/>
      <c r="G107" s="2"/>
      <c r="H107" s="2"/>
      <c r="I107" s="2"/>
      <c r="J107" s="2"/>
      <c r="K107" s="2"/>
      <c r="L107" s="2"/>
      <c r="M107" s="2"/>
      <c r="N107" s="2"/>
      <c r="O107" s="2"/>
      <c r="P107" s="2"/>
      <c r="Q107" s="2"/>
      <c r="R107" s="2"/>
      <c r="S107" s="2"/>
      <c r="T107" s="2"/>
      <c r="U107" s="2"/>
      <c r="V107" s="2"/>
      <c r="W107" s="2"/>
      <c r="X107" s="2"/>
      <c r="Y107" s="2"/>
      <c r="Z107" s="2"/>
    </row>
    <row r="108" ht="15.75" customHeight="1">
      <c r="A108" s="3"/>
      <c r="B108" s="3"/>
      <c r="C108" s="3"/>
      <c r="D108" s="3"/>
      <c r="E108" s="3"/>
      <c r="F108" s="3"/>
      <c r="G108" s="2"/>
      <c r="H108" s="2"/>
      <c r="I108" s="2"/>
      <c r="J108" s="2"/>
      <c r="K108" s="2"/>
      <c r="L108" s="2"/>
      <c r="M108" s="2"/>
      <c r="N108" s="2"/>
      <c r="O108" s="2"/>
      <c r="P108" s="2"/>
      <c r="Q108" s="2"/>
      <c r="R108" s="2"/>
      <c r="S108" s="2"/>
      <c r="T108" s="2"/>
      <c r="U108" s="2"/>
      <c r="V108" s="2"/>
      <c r="W108" s="2"/>
      <c r="X108" s="2"/>
      <c r="Y108" s="2"/>
      <c r="Z108" s="2"/>
    </row>
    <row r="109" ht="15.75" customHeight="1">
      <c r="A109" s="3"/>
      <c r="B109" s="3"/>
      <c r="C109" s="3"/>
      <c r="D109" s="3"/>
      <c r="E109" s="3"/>
      <c r="F109" s="3"/>
      <c r="G109" s="2"/>
      <c r="H109" s="2"/>
      <c r="I109" s="2"/>
      <c r="J109" s="2"/>
      <c r="K109" s="2"/>
      <c r="L109" s="2"/>
      <c r="M109" s="2"/>
      <c r="N109" s="2"/>
      <c r="O109" s="2"/>
      <c r="P109" s="2"/>
      <c r="Q109" s="2"/>
      <c r="R109" s="2"/>
      <c r="S109" s="2"/>
      <c r="T109" s="2"/>
      <c r="U109" s="2"/>
      <c r="V109" s="2"/>
      <c r="W109" s="2"/>
      <c r="X109" s="2"/>
      <c r="Y109" s="2"/>
      <c r="Z109" s="2"/>
    </row>
    <row r="110" ht="15.75" customHeight="1">
      <c r="A110" s="3"/>
      <c r="B110" s="3"/>
      <c r="C110" s="3"/>
      <c r="D110" s="3"/>
      <c r="E110" s="3"/>
      <c r="F110" s="3"/>
      <c r="G110" s="2"/>
      <c r="H110" s="2"/>
      <c r="I110" s="2"/>
      <c r="J110" s="2"/>
      <c r="K110" s="2"/>
      <c r="L110" s="2"/>
      <c r="M110" s="2"/>
      <c r="N110" s="2"/>
      <c r="O110" s="2"/>
      <c r="P110" s="2"/>
      <c r="Q110" s="2"/>
      <c r="R110" s="2"/>
      <c r="S110" s="2"/>
      <c r="T110" s="2"/>
      <c r="U110" s="2"/>
      <c r="V110" s="2"/>
      <c r="W110" s="2"/>
      <c r="X110" s="2"/>
      <c r="Y110" s="2"/>
      <c r="Z110" s="2"/>
    </row>
    <row r="111" ht="15.75" customHeight="1">
      <c r="A111" s="3"/>
      <c r="B111" s="3"/>
      <c r="C111" s="3"/>
      <c r="D111" s="3"/>
      <c r="E111" s="3"/>
      <c r="F111" s="3"/>
      <c r="G111" s="2"/>
      <c r="H111" s="2"/>
      <c r="I111" s="2"/>
      <c r="J111" s="2"/>
      <c r="K111" s="2"/>
      <c r="L111" s="2"/>
      <c r="M111" s="2"/>
      <c r="N111" s="2"/>
      <c r="O111" s="2"/>
      <c r="P111" s="2"/>
      <c r="Q111" s="2"/>
      <c r="R111" s="2"/>
      <c r="S111" s="2"/>
      <c r="T111" s="2"/>
      <c r="U111" s="2"/>
      <c r="V111" s="2"/>
      <c r="W111" s="2"/>
      <c r="X111" s="2"/>
      <c r="Y111" s="2"/>
      <c r="Z111" s="2"/>
    </row>
    <row r="112" ht="15.75" customHeight="1">
      <c r="A112" s="3"/>
      <c r="B112" s="3"/>
      <c r="C112" s="3"/>
      <c r="D112" s="3"/>
      <c r="E112" s="3"/>
      <c r="F112" s="3"/>
      <c r="G112" s="2"/>
      <c r="H112" s="2"/>
      <c r="I112" s="2"/>
      <c r="J112" s="2"/>
      <c r="K112" s="2"/>
      <c r="L112" s="2"/>
      <c r="M112" s="2"/>
      <c r="N112" s="2"/>
      <c r="O112" s="2"/>
      <c r="P112" s="2"/>
      <c r="Q112" s="2"/>
      <c r="R112" s="2"/>
      <c r="S112" s="2"/>
      <c r="T112" s="2"/>
      <c r="U112" s="2"/>
      <c r="V112" s="2"/>
      <c r="W112" s="2"/>
      <c r="X112" s="2"/>
      <c r="Y112" s="2"/>
      <c r="Z112" s="2"/>
    </row>
    <row r="113" ht="15.75" customHeight="1">
      <c r="A113" s="3"/>
      <c r="B113" s="3"/>
      <c r="C113" s="3"/>
      <c r="D113" s="3"/>
      <c r="E113" s="3"/>
      <c r="F113" s="3"/>
      <c r="G113" s="2"/>
      <c r="H113" s="2"/>
      <c r="I113" s="2"/>
      <c r="J113" s="2"/>
      <c r="K113" s="2"/>
      <c r="L113" s="2"/>
      <c r="M113" s="2"/>
      <c r="N113" s="2"/>
      <c r="O113" s="2"/>
      <c r="P113" s="2"/>
      <c r="Q113" s="2"/>
      <c r="R113" s="2"/>
      <c r="S113" s="2"/>
      <c r="T113" s="2"/>
      <c r="U113" s="2"/>
      <c r="V113" s="2"/>
      <c r="W113" s="2"/>
      <c r="X113" s="2"/>
      <c r="Y113" s="2"/>
      <c r="Z113" s="2"/>
    </row>
    <row r="114" ht="15.75" customHeight="1">
      <c r="A114" s="3"/>
      <c r="B114" s="3"/>
      <c r="C114" s="3"/>
      <c r="D114" s="3"/>
      <c r="E114" s="3"/>
      <c r="F114" s="3"/>
      <c r="G114" s="2"/>
      <c r="H114" s="2"/>
      <c r="I114" s="2"/>
      <c r="J114" s="2"/>
      <c r="K114" s="2"/>
      <c r="L114" s="2"/>
      <c r="M114" s="2"/>
      <c r="N114" s="2"/>
      <c r="O114" s="2"/>
      <c r="P114" s="2"/>
      <c r="Q114" s="2"/>
      <c r="R114" s="2"/>
      <c r="S114" s="2"/>
      <c r="T114" s="2"/>
      <c r="U114" s="2"/>
      <c r="V114" s="2"/>
      <c r="W114" s="2"/>
      <c r="X114" s="2"/>
      <c r="Y114" s="2"/>
      <c r="Z114" s="2"/>
    </row>
    <row r="115" ht="15.75" customHeight="1">
      <c r="A115" s="3"/>
      <c r="B115" s="3"/>
      <c r="C115" s="3"/>
      <c r="D115" s="3"/>
      <c r="E115" s="3"/>
      <c r="F115" s="3"/>
      <c r="G115" s="2"/>
      <c r="H115" s="2"/>
      <c r="I115" s="2"/>
      <c r="J115" s="2"/>
      <c r="K115" s="2"/>
      <c r="L115" s="2"/>
      <c r="M115" s="2"/>
      <c r="N115" s="2"/>
      <c r="O115" s="2"/>
      <c r="P115" s="2"/>
      <c r="Q115" s="2"/>
      <c r="R115" s="2"/>
      <c r="S115" s="2"/>
      <c r="T115" s="2"/>
      <c r="U115" s="2"/>
      <c r="V115" s="2"/>
      <c r="W115" s="2"/>
      <c r="X115" s="2"/>
      <c r="Y115" s="2"/>
      <c r="Z115" s="2"/>
    </row>
    <row r="116" ht="15.75" customHeight="1">
      <c r="A116" s="3"/>
      <c r="B116" s="3"/>
      <c r="C116" s="3"/>
      <c r="D116" s="3"/>
      <c r="E116" s="3"/>
      <c r="F116" s="3"/>
      <c r="G116" s="2"/>
      <c r="H116" s="2"/>
      <c r="I116" s="2"/>
      <c r="J116" s="2"/>
      <c r="K116" s="2"/>
      <c r="L116" s="2"/>
      <c r="M116" s="2"/>
      <c r="N116" s="2"/>
      <c r="O116" s="2"/>
      <c r="P116" s="2"/>
      <c r="Q116" s="2"/>
      <c r="R116" s="2"/>
      <c r="S116" s="2"/>
      <c r="T116" s="2"/>
      <c r="U116" s="2"/>
      <c r="V116" s="2"/>
      <c r="W116" s="2"/>
      <c r="X116" s="2"/>
      <c r="Y116" s="2"/>
      <c r="Z116" s="2"/>
    </row>
    <row r="117" ht="15.75" customHeight="1">
      <c r="A117" s="3"/>
      <c r="B117" s="3"/>
      <c r="C117" s="3"/>
      <c r="D117" s="3"/>
      <c r="E117" s="3"/>
      <c r="F117" s="3"/>
      <c r="G117" s="2"/>
      <c r="H117" s="2"/>
      <c r="I117" s="2"/>
      <c r="J117" s="2"/>
      <c r="K117" s="2"/>
      <c r="L117" s="2"/>
      <c r="M117" s="2"/>
      <c r="N117" s="2"/>
      <c r="O117" s="2"/>
      <c r="P117" s="2"/>
      <c r="Q117" s="2"/>
      <c r="R117" s="2"/>
      <c r="S117" s="2"/>
      <c r="T117" s="2"/>
      <c r="U117" s="2"/>
      <c r="V117" s="2"/>
      <c r="W117" s="2"/>
      <c r="X117" s="2"/>
      <c r="Y117" s="2"/>
      <c r="Z117" s="2"/>
    </row>
    <row r="118" ht="15.75" customHeight="1">
      <c r="A118" s="3"/>
      <c r="B118" s="3"/>
      <c r="C118" s="3"/>
      <c r="D118" s="3"/>
      <c r="E118" s="3"/>
      <c r="F118" s="3"/>
      <c r="G118" s="2"/>
      <c r="H118" s="2"/>
      <c r="I118" s="2"/>
      <c r="J118" s="2"/>
      <c r="K118" s="2"/>
      <c r="L118" s="2"/>
      <c r="M118" s="2"/>
      <c r="N118" s="2"/>
      <c r="O118" s="2"/>
      <c r="P118" s="2"/>
      <c r="Q118" s="2"/>
      <c r="R118" s="2"/>
      <c r="S118" s="2"/>
      <c r="T118" s="2"/>
      <c r="U118" s="2"/>
      <c r="V118" s="2"/>
      <c r="W118" s="2"/>
      <c r="X118" s="2"/>
      <c r="Y118" s="2"/>
      <c r="Z118" s="2"/>
    </row>
    <row r="119" ht="15.75" customHeight="1">
      <c r="A119" s="3"/>
      <c r="B119" s="3"/>
      <c r="C119" s="3"/>
      <c r="D119" s="3"/>
      <c r="E119" s="3"/>
      <c r="F119" s="3"/>
      <c r="G119" s="2"/>
      <c r="H119" s="2"/>
      <c r="I119" s="2"/>
      <c r="J119" s="2"/>
      <c r="K119" s="2"/>
      <c r="L119" s="2"/>
      <c r="M119" s="2"/>
      <c r="N119" s="2"/>
      <c r="O119" s="2"/>
      <c r="P119" s="2"/>
      <c r="Q119" s="2"/>
      <c r="R119" s="2"/>
      <c r="S119" s="2"/>
      <c r="T119" s="2"/>
      <c r="U119" s="2"/>
      <c r="V119" s="2"/>
      <c r="W119" s="2"/>
      <c r="X119" s="2"/>
      <c r="Y119" s="2"/>
      <c r="Z119" s="2"/>
    </row>
    <row r="120" ht="15.75" customHeight="1">
      <c r="A120" s="3"/>
      <c r="B120" s="3"/>
      <c r="C120" s="3"/>
      <c r="D120" s="3"/>
      <c r="E120" s="3"/>
      <c r="F120" s="3"/>
      <c r="G120" s="2"/>
      <c r="H120" s="2"/>
      <c r="I120" s="2"/>
      <c r="J120" s="2"/>
      <c r="K120" s="2"/>
      <c r="L120" s="2"/>
      <c r="M120" s="2"/>
      <c r="N120" s="2"/>
      <c r="O120" s="2"/>
      <c r="P120" s="2"/>
      <c r="Q120" s="2"/>
      <c r="R120" s="2"/>
      <c r="S120" s="2"/>
      <c r="T120" s="2"/>
      <c r="U120" s="2"/>
      <c r="V120" s="2"/>
      <c r="W120" s="2"/>
      <c r="X120" s="2"/>
      <c r="Y120" s="2"/>
      <c r="Z120" s="2"/>
    </row>
    <row r="121" ht="15.75" customHeight="1">
      <c r="A121" s="3"/>
      <c r="B121" s="3"/>
      <c r="C121" s="3"/>
      <c r="D121" s="3"/>
      <c r="E121" s="3"/>
      <c r="F121" s="3"/>
      <c r="G121" s="2"/>
      <c r="H121" s="2"/>
      <c r="I121" s="2"/>
      <c r="J121" s="2"/>
      <c r="K121" s="2"/>
      <c r="L121" s="2"/>
      <c r="M121" s="2"/>
      <c r="N121" s="2"/>
      <c r="O121" s="2"/>
      <c r="P121" s="2"/>
      <c r="Q121" s="2"/>
      <c r="R121" s="2"/>
      <c r="S121" s="2"/>
      <c r="T121" s="2"/>
      <c r="U121" s="2"/>
      <c r="V121" s="2"/>
      <c r="W121" s="2"/>
      <c r="X121" s="2"/>
      <c r="Y121" s="2"/>
      <c r="Z121" s="2"/>
    </row>
    <row r="122" ht="15.75" customHeight="1">
      <c r="A122" s="3"/>
      <c r="B122" s="3"/>
      <c r="C122" s="3"/>
      <c r="D122" s="3"/>
      <c r="E122" s="3"/>
      <c r="F122" s="3"/>
      <c r="G122" s="2"/>
      <c r="H122" s="2"/>
      <c r="I122" s="2"/>
      <c r="J122" s="2"/>
      <c r="K122" s="2"/>
      <c r="L122" s="2"/>
      <c r="M122" s="2"/>
      <c r="N122" s="2"/>
      <c r="O122" s="2"/>
      <c r="P122" s="2"/>
      <c r="Q122" s="2"/>
      <c r="R122" s="2"/>
      <c r="S122" s="2"/>
      <c r="T122" s="2"/>
      <c r="U122" s="2"/>
      <c r="V122" s="2"/>
      <c r="W122" s="2"/>
      <c r="X122" s="2"/>
      <c r="Y122" s="2"/>
      <c r="Z122" s="2"/>
    </row>
    <row r="123" ht="15.75" customHeight="1">
      <c r="A123" s="3"/>
      <c r="B123" s="3"/>
      <c r="C123" s="3"/>
      <c r="D123" s="3"/>
      <c r="E123" s="3"/>
      <c r="F123" s="3"/>
      <c r="G123" s="2"/>
      <c r="H123" s="2"/>
      <c r="I123" s="2"/>
      <c r="J123" s="2"/>
      <c r="K123" s="2"/>
      <c r="L123" s="2"/>
      <c r="M123" s="2"/>
      <c r="N123" s="2"/>
      <c r="O123" s="2"/>
      <c r="P123" s="2"/>
      <c r="Q123" s="2"/>
      <c r="R123" s="2"/>
      <c r="S123" s="2"/>
      <c r="T123" s="2"/>
      <c r="U123" s="2"/>
      <c r="V123" s="2"/>
      <c r="W123" s="2"/>
      <c r="X123" s="2"/>
      <c r="Y123" s="2"/>
      <c r="Z123" s="2"/>
    </row>
    <row r="124" ht="15.75" customHeight="1">
      <c r="A124" s="3"/>
      <c r="B124" s="3"/>
      <c r="C124" s="3"/>
      <c r="D124" s="3"/>
      <c r="E124" s="3"/>
      <c r="F124" s="3"/>
      <c r="G124" s="2"/>
      <c r="H124" s="2"/>
      <c r="I124" s="2"/>
      <c r="J124" s="2"/>
      <c r="K124" s="2"/>
      <c r="L124" s="2"/>
      <c r="M124" s="2"/>
      <c r="N124" s="2"/>
      <c r="O124" s="2"/>
      <c r="P124" s="2"/>
      <c r="Q124" s="2"/>
      <c r="R124" s="2"/>
      <c r="S124" s="2"/>
      <c r="T124" s="2"/>
      <c r="U124" s="2"/>
      <c r="V124" s="2"/>
      <c r="W124" s="2"/>
      <c r="X124" s="2"/>
      <c r="Y124" s="2"/>
      <c r="Z124" s="2"/>
    </row>
    <row r="125" ht="15.75" customHeight="1">
      <c r="A125" s="3"/>
      <c r="B125" s="3"/>
      <c r="C125" s="3"/>
      <c r="D125" s="3"/>
      <c r="E125" s="3"/>
      <c r="F125" s="3"/>
      <c r="G125" s="2"/>
      <c r="H125" s="2"/>
      <c r="I125" s="2"/>
      <c r="J125" s="2"/>
      <c r="K125" s="2"/>
      <c r="L125" s="2"/>
      <c r="M125" s="2"/>
      <c r="N125" s="2"/>
      <c r="O125" s="2"/>
      <c r="P125" s="2"/>
      <c r="Q125" s="2"/>
      <c r="R125" s="2"/>
      <c r="S125" s="2"/>
      <c r="T125" s="2"/>
      <c r="U125" s="2"/>
      <c r="V125" s="2"/>
      <c r="W125" s="2"/>
      <c r="X125" s="2"/>
      <c r="Y125" s="2"/>
      <c r="Z125" s="2"/>
    </row>
    <row r="126" ht="15.75" customHeight="1">
      <c r="A126" s="3"/>
      <c r="B126" s="3"/>
      <c r="C126" s="3"/>
      <c r="D126" s="3"/>
      <c r="E126" s="3"/>
      <c r="F126" s="3"/>
      <c r="G126" s="2"/>
      <c r="H126" s="2"/>
      <c r="I126" s="2"/>
      <c r="J126" s="2"/>
      <c r="K126" s="2"/>
      <c r="L126" s="2"/>
      <c r="M126" s="2"/>
      <c r="N126" s="2"/>
      <c r="O126" s="2"/>
      <c r="P126" s="2"/>
      <c r="Q126" s="2"/>
      <c r="R126" s="2"/>
      <c r="S126" s="2"/>
      <c r="T126" s="2"/>
      <c r="U126" s="2"/>
      <c r="V126" s="2"/>
      <c r="W126" s="2"/>
      <c r="X126" s="2"/>
      <c r="Y126" s="2"/>
      <c r="Z126" s="2"/>
    </row>
    <row r="127" ht="15.75" customHeight="1">
      <c r="A127" s="3"/>
      <c r="B127" s="3"/>
      <c r="C127" s="3"/>
      <c r="D127" s="3"/>
      <c r="E127" s="3"/>
      <c r="F127" s="3"/>
      <c r="G127" s="2"/>
      <c r="H127" s="2"/>
      <c r="I127" s="2"/>
      <c r="J127" s="2"/>
      <c r="K127" s="2"/>
      <c r="L127" s="2"/>
      <c r="M127" s="2"/>
      <c r="N127" s="2"/>
      <c r="O127" s="2"/>
      <c r="P127" s="2"/>
      <c r="Q127" s="2"/>
      <c r="R127" s="2"/>
      <c r="S127" s="2"/>
      <c r="T127" s="2"/>
      <c r="U127" s="2"/>
      <c r="V127" s="2"/>
      <c r="W127" s="2"/>
      <c r="X127" s="2"/>
      <c r="Y127" s="2"/>
      <c r="Z127" s="2"/>
    </row>
    <row r="128" ht="15.75" customHeight="1">
      <c r="A128" s="3"/>
      <c r="B128" s="3"/>
      <c r="C128" s="3"/>
      <c r="D128" s="3"/>
      <c r="E128" s="3"/>
      <c r="F128" s="3"/>
      <c r="G128" s="2"/>
      <c r="H128" s="2"/>
      <c r="I128" s="2"/>
      <c r="J128" s="2"/>
      <c r="K128" s="2"/>
      <c r="L128" s="2"/>
      <c r="M128" s="2"/>
      <c r="N128" s="2"/>
      <c r="O128" s="2"/>
      <c r="P128" s="2"/>
      <c r="Q128" s="2"/>
      <c r="R128" s="2"/>
      <c r="S128" s="2"/>
      <c r="T128" s="2"/>
      <c r="U128" s="2"/>
      <c r="V128" s="2"/>
      <c r="W128" s="2"/>
      <c r="X128" s="2"/>
      <c r="Y128" s="2"/>
      <c r="Z128" s="2"/>
    </row>
    <row r="129" ht="15.75" customHeight="1">
      <c r="A129" s="3"/>
      <c r="B129" s="3"/>
      <c r="C129" s="3"/>
      <c r="D129" s="3"/>
      <c r="E129" s="3"/>
      <c r="F129" s="3"/>
      <c r="G129" s="2"/>
      <c r="H129" s="2"/>
      <c r="I129" s="2"/>
      <c r="J129" s="2"/>
      <c r="K129" s="2"/>
      <c r="L129" s="2"/>
      <c r="M129" s="2"/>
      <c r="N129" s="2"/>
      <c r="O129" s="2"/>
      <c r="P129" s="2"/>
      <c r="Q129" s="2"/>
      <c r="R129" s="2"/>
      <c r="S129" s="2"/>
      <c r="T129" s="2"/>
      <c r="U129" s="2"/>
      <c r="V129" s="2"/>
      <c r="W129" s="2"/>
      <c r="X129" s="2"/>
      <c r="Y129" s="2"/>
      <c r="Z129" s="2"/>
    </row>
    <row r="130" ht="15.75" customHeight="1">
      <c r="A130" s="3"/>
      <c r="B130" s="3"/>
      <c r="C130" s="3"/>
      <c r="D130" s="3"/>
      <c r="E130" s="3"/>
      <c r="F130" s="3"/>
      <c r="G130" s="2"/>
      <c r="H130" s="2"/>
      <c r="I130" s="2"/>
      <c r="J130" s="2"/>
      <c r="K130" s="2"/>
      <c r="L130" s="2"/>
      <c r="M130" s="2"/>
      <c r="N130" s="2"/>
      <c r="O130" s="2"/>
      <c r="P130" s="2"/>
      <c r="Q130" s="2"/>
      <c r="R130" s="2"/>
      <c r="S130" s="2"/>
      <c r="T130" s="2"/>
      <c r="U130" s="2"/>
      <c r="V130" s="2"/>
      <c r="W130" s="2"/>
      <c r="X130" s="2"/>
      <c r="Y130" s="2"/>
      <c r="Z130" s="2"/>
    </row>
    <row r="131" ht="15.75" customHeight="1">
      <c r="A131" s="3"/>
      <c r="B131" s="3"/>
      <c r="C131" s="3"/>
      <c r="D131" s="3"/>
      <c r="E131" s="3"/>
      <c r="F131" s="3"/>
      <c r="G131" s="2"/>
      <c r="H131" s="2"/>
      <c r="I131" s="2"/>
      <c r="J131" s="2"/>
      <c r="K131" s="2"/>
      <c r="L131" s="2"/>
      <c r="M131" s="2"/>
      <c r="N131" s="2"/>
      <c r="O131" s="2"/>
      <c r="P131" s="2"/>
      <c r="Q131" s="2"/>
      <c r="R131" s="2"/>
      <c r="S131" s="2"/>
      <c r="T131" s="2"/>
      <c r="U131" s="2"/>
      <c r="V131" s="2"/>
      <c r="W131" s="2"/>
      <c r="X131" s="2"/>
      <c r="Y131" s="2"/>
      <c r="Z131" s="2"/>
    </row>
    <row r="132" ht="15.75" customHeight="1">
      <c r="A132" s="3"/>
      <c r="B132" s="3"/>
      <c r="C132" s="3"/>
      <c r="D132" s="3"/>
      <c r="E132" s="3"/>
      <c r="F132" s="3"/>
      <c r="G132" s="2"/>
      <c r="H132" s="2"/>
      <c r="I132" s="2"/>
      <c r="J132" s="2"/>
      <c r="K132" s="2"/>
      <c r="L132" s="2"/>
      <c r="M132" s="2"/>
      <c r="N132" s="2"/>
      <c r="O132" s="2"/>
      <c r="P132" s="2"/>
      <c r="Q132" s="2"/>
      <c r="R132" s="2"/>
      <c r="S132" s="2"/>
      <c r="T132" s="2"/>
      <c r="U132" s="2"/>
      <c r="V132" s="2"/>
      <c r="W132" s="2"/>
      <c r="X132" s="2"/>
      <c r="Y132" s="2"/>
      <c r="Z132" s="2"/>
    </row>
    <row r="133" ht="15.75" customHeight="1">
      <c r="A133" s="3"/>
      <c r="B133" s="3"/>
      <c r="C133" s="3"/>
      <c r="D133" s="3"/>
      <c r="E133" s="3"/>
      <c r="F133" s="3"/>
      <c r="G133" s="2"/>
      <c r="H133" s="2"/>
      <c r="I133" s="2"/>
      <c r="J133" s="2"/>
      <c r="K133" s="2"/>
      <c r="L133" s="2"/>
      <c r="M133" s="2"/>
      <c r="N133" s="2"/>
      <c r="O133" s="2"/>
      <c r="P133" s="2"/>
      <c r="Q133" s="2"/>
      <c r="R133" s="2"/>
      <c r="S133" s="2"/>
      <c r="T133" s="2"/>
      <c r="U133" s="2"/>
      <c r="V133" s="2"/>
      <c r="W133" s="2"/>
      <c r="X133" s="2"/>
      <c r="Y133" s="2"/>
      <c r="Z133" s="2"/>
    </row>
    <row r="134" ht="15.75" customHeight="1">
      <c r="A134" s="3"/>
      <c r="B134" s="3"/>
      <c r="C134" s="3"/>
      <c r="D134" s="3"/>
      <c r="E134" s="3"/>
      <c r="F134" s="3"/>
      <c r="G134" s="2"/>
      <c r="H134" s="2"/>
      <c r="I134" s="2"/>
      <c r="J134" s="2"/>
      <c r="K134" s="2"/>
      <c r="L134" s="2"/>
      <c r="M134" s="2"/>
      <c r="N134" s="2"/>
      <c r="O134" s="2"/>
      <c r="P134" s="2"/>
      <c r="Q134" s="2"/>
      <c r="R134" s="2"/>
      <c r="S134" s="2"/>
      <c r="T134" s="2"/>
      <c r="U134" s="2"/>
      <c r="V134" s="2"/>
      <c r="W134" s="2"/>
      <c r="X134" s="2"/>
      <c r="Y134" s="2"/>
      <c r="Z134" s="2"/>
    </row>
    <row r="135" ht="15.75" customHeight="1">
      <c r="A135" s="3"/>
      <c r="B135" s="3"/>
      <c r="C135" s="3"/>
      <c r="D135" s="3"/>
      <c r="E135" s="3"/>
      <c r="F135" s="3"/>
      <c r="G135" s="2"/>
      <c r="H135" s="2"/>
      <c r="I135" s="2"/>
      <c r="J135" s="2"/>
      <c r="K135" s="2"/>
      <c r="L135" s="2"/>
      <c r="M135" s="2"/>
      <c r="N135" s="2"/>
      <c r="O135" s="2"/>
      <c r="P135" s="2"/>
      <c r="Q135" s="2"/>
      <c r="R135" s="2"/>
      <c r="S135" s="2"/>
      <c r="T135" s="2"/>
      <c r="U135" s="2"/>
      <c r="V135" s="2"/>
      <c r="W135" s="2"/>
      <c r="X135" s="2"/>
      <c r="Y135" s="2"/>
      <c r="Z135" s="2"/>
    </row>
    <row r="136" ht="15.75" customHeight="1">
      <c r="A136" s="3"/>
      <c r="B136" s="3"/>
      <c r="C136" s="3"/>
      <c r="D136" s="3"/>
      <c r="E136" s="3"/>
      <c r="F136" s="3"/>
      <c r="G136" s="2"/>
      <c r="H136" s="2"/>
      <c r="I136" s="2"/>
      <c r="J136" s="2"/>
      <c r="K136" s="2"/>
      <c r="L136" s="2"/>
      <c r="M136" s="2"/>
      <c r="N136" s="2"/>
      <c r="O136" s="2"/>
      <c r="P136" s="2"/>
      <c r="Q136" s="2"/>
      <c r="R136" s="2"/>
      <c r="S136" s="2"/>
      <c r="T136" s="2"/>
      <c r="U136" s="2"/>
      <c r="V136" s="2"/>
      <c r="W136" s="2"/>
      <c r="X136" s="2"/>
      <c r="Y136" s="2"/>
      <c r="Z136" s="2"/>
    </row>
    <row r="137" ht="15.75" customHeight="1">
      <c r="A137" s="3"/>
      <c r="B137" s="3"/>
      <c r="C137" s="3"/>
      <c r="D137" s="3"/>
      <c r="E137" s="3"/>
      <c r="F137" s="3"/>
      <c r="G137" s="2"/>
      <c r="H137" s="2"/>
      <c r="I137" s="2"/>
      <c r="J137" s="2"/>
      <c r="K137" s="2"/>
      <c r="L137" s="2"/>
      <c r="M137" s="2"/>
      <c r="N137" s="2"/>
      <c r="O137" s="2"/>
      <c r="P137" s="2"/>
      <c r="Q137" s="2"/>
      <c r="R137" s="2"/>
      <c r="S137" s="2"/>
      <c r="T137" s="2"/>
      <c r="U137" s="2"/>
      <c r="V137" s="2"/>
      <c r="W137" s="2"/>
      <c r="X137" s="2"/>
      <c r="Y137" s="2"/>
      <c r="Z137" s="2"/>
    </row>
    <row r="138" ht="15.75" customHeight="1">
      <c r="A138" s="3"/>
      <c r="B138" s="3"/>
      <c r="C138" s="3"/>
      <c r="D138" s="3"/>
      <c r="E138" s="3"/>
      <c r="F138" s="3"/>
      <c r="G138" s="2"/>
      <c r="H138" s="2"/>
      <c r="I138" s="2"/>
      <c r="J138" s="2"/>
      <c r="K138" s="2"/>
      <c r="L138" s="2"/>
      <c r="M138" s="2"/>
      <c r="N138" s="2"/>
      <c r="O138" s="2"/>
      <c r="P138" s="2"/>
      <c r="Q138" s="2"/>
      <c r="R138" s="2"/>
      <c r="S138" s="2"/>
      <c r="T138" s="2"/>
      <c r="U138" s="2"/>
      <c r="V138" s="2"/>
      <c r="W138" s="2"/>
      <c r="X138" s="2"/>
      <c r="Y138" s="2"/>
      <c r="Z138" s="2"/>
    </row>
    <row r="139" ht="15.75" customHeight="1">
      <c r="A139" s="3"/>
      <c r="B139" s="3"/>
      <c r="C139" s="3"/>
      <c r="D139" s="3"/>
      <c r="E139" s="3"/>
      <c r="F139" s="3"/>
      <c r="G139" s="2"/>
      <c r="H139" s="2"/>
      <c r="I139" s="2"/>
      <c r="J139" s="2"/>
      <c r="K139" s="2"/>
      <c r="L139" s="2"/>
      <c r="M139" s="2"/>
      <c r="N139" s="2"/>
      <c r="O139" s="2"/>
      <c r="P139" s="2"/>
      <c r="Q139" s="2"/>
      <c r="R139" s="2"/>
      <c r="S139" s="2"/>
      <c r="T139" s="2"/>
      <c r="U139" s="2"/>
      <c r="V139" s="2"/>
      <c r="W139" s="2"/>
      <c r="X139" s="2"/>
      <c r="Y139" s="2"/>
      <c r="Z139" s="2"/>
    </row>
    <row r="140" ht="15.75" customHeight="1">
      <c r="A140" s="3"/>
      <c r="B140" s="3"/>
      <c r="C140" s="3"/>
      <c r="D140" s="3"/>
      <c r="E140" s="3"/>
      <c r="F140" s="3"/>
      <c r="G140" s="2"/>
      <c r="H140" s="2"/>
      <c r="I140" s="2"/>
      <c r="J140" s="2"/>
      <c r="K140" s="2"/>
      <c r="L140" s="2"/>
      <c r="M140" s="2"/>
      <c r="N140" s="2"/>
      <c r="O140" s="2"/>
      <c r="P140" s="2"/>
      <c r="Q140" s="2"/>
      <c r="R140" s="2"/>
      <c r="S140" s="2"/>
      <c r="T140" s="2"/>
      <c r="U140" s="2"/>
      <c r="V140" s="2"/>
      <c r="W140" s="2"/>
      <c r="X140" s="2"/>
      <c r="Y140" s="2"/>
      <c r="Z140" s="2"/>
    </row>
    <row r="141" ht="15.75" customHeight="1">
      <c r="A141" s="3"/>
      <c r="B141" s="3"/>
      <c r="C141" s="3"/>
      <c r="D141" s="3"/>
      <c r="E141" s="3"/>
      <c r="F141" s="3"/>
      <c r="G141" s="2"/>
      <c r="H141" s="2"/>
      <c r="I141" s="2"/>
      <c r="J141" s="2"/>
      <c r="K141" s="2"/>
      <c r="L141" s="2"/>
      <c r="M141" s="2"/>
      <c r="N141" s="2"/>
      <c r="O141" s="2"/>
      <c r="P141" s="2"/>
      <c r="Q141" s="2"/>
      <c r="R141" s="2"/>
      <c r="S141" s="2"/>
      <c r="T141" s="2"/>
      <c r="U141" s="2"/>
      <c r="V141" s="2"/>
      <c r="W141" s="2"/>
      <c r="X141" s="2"/>
      <c r="Y141" s="2"/>
      <c r="Z141" s="2"/>
    </row>
    <row r="142" ht="15.75" customHeight="1">
      <c r="A142" s="3"/>
      <c r="B142" s="3"/>
      <c r="C142" s="3"/>
      <c r="D142" s="3"/>
      <c r="E142" s="3"/>
      <c r="F142" s="3"/>
      <c r="G142" s="2"/>
      <c r="H142" s="2"/>
      <c r="I142" s="2"/>
      <c r="J142" s="2"/>
      <c r="K142" s="2"/>
      <c r="L142" s="2"/>
      <c r="M142" s="2"/>
      <c r="N142" s="2"/>
      <c r="O142" s="2"/>
      <c r="P142" s="2"/>
      <c r="Q142" s="2"/>
      <c r="R142" s="2"/>
      <c r="S142" s="2"/>
      <c r="T142" s="2"/>
      <c r="U142" s="2"/>
      <c r="V142" s="2"/>
      <c r="W142" s="2"/>
      <c r="X142" s="2"/>
      <c r="Y142" s="2"/>
      <c r="Z142" s="2"/>
    </row>
    <row r="143" ht="15.75" customHeight="1">
      <c r="A143" s="3"/>
      <c r="B143" s="3"/>
      <c r="C143" s="3"/>
      <c r="D143" s="3"/>
      <c r="E143" s="3"/>
      <c r="F143" s="3"/>
      <c r="G143" s="2"/>
      <c r="H143" s="2"/>
      <c r="I143" s="2"/>
      <c r="J143" s="2"/>
      <c r="K143" s="2"/>
      <c r="L143" s="2"/>
      <c r="M143" s="2"/>
      <c r="N143" s="2"/>
      <c r="O143" s="2"/>
      <c r="P143" s="2"/>
      <c r="Q143" s="2"/>
      <c r="R143" s="2"/>
      <c r="S143" s="2"/>
      <c r="T143" s="2"/>
      <c r="U143" s="2"/>
      <c r="V143" s="2"/>
      <c r="W143" s="2"/>
      <c r="X143" s="2"/>
      <c r="Y143" s="2"/>
      <c r="Z143" s="2"/>
    </row>
    <row r="144" ht="15.75" customHeight="1">
      <c r="A144" s="3"/>
      <c r="B144" s="3"/>
      <c r="C144" s="3"/>
      <c r="D144" s="3"/>
      <c r="E144" s="3"/>
      <c r="F144" s="3"/>
      <c r="G144" s="2"/>
      <c r="H144" s="2"/>
      <c r="I144" s="2"/>
      <c r="J144" s="2"/>
      <c r="K144" s="2"/>
      <c r="L144" s="2"/>
      <c r="M144" s="2"/>
      <c r="N144" s="2"/>
      <c r="O144" s="2"/>
      <c r="P144" s="2"/>
      <c r="Q144" s="2"/>
      <c r="R144" s="2"/>
      <c r="S144" s="2"/>
      <c r="T144" s="2"/>
      <c r="U144" s="2"/>
      <c r="V144" s="2"/>
      <c r="W144" s="2"/>
      <c r="X144" s="2"/>
      <c r="Y144" s="2"/>
      <c r="Z144" s="2"/>
    </row>
    <row r="145" ht="15.75" customHeight="1">
      <c r="A145" s="3"/>
      <c r="B145" s="3"/>
      <c r="C145" s="3"/>
      <c r="D145" s="3"/>
      <c r="E145" s="3"/>
      <c r="F145" s="3"/>
      <c r="G145" s="2"/>
      <c r="H145" s="2"/>
      <c r="I145" s="2"/>
      <c r="J145" s="2"/>
      <c r="K145" s="2"/>
      <c r="L145" s="2"/>
      <c r="M145" s="2"/>
      <c r="N145" s="2"/>
      <c r="O145" s="2"/>
      <c r="P145" s="2"/>
      <c r="Q145" s="2"/>
      <c r="R145" s="2"/>
      <c r="S145" s="2"/>
      <c r="T145" s="2"/>
      <c r="U145" s="2"/>
      <c r="V145" s="2"/>
      <c r="W145" s="2"/>
      <c r="X145" s="2"/>
      <c r="Y145" s="2"/>
      <c r="Z145" s="2"/>
    </row>
    <row r="146" ht="15.75" customHeight="1">
      <c r="A146" s="3"/>
      <c r="B146" s="3"/>
      <c r="C146" s="3"/>
      <c r="D146" s="3"/>
      <c r="E146" s="3"/>
      <c r="F146" s="3"/>
      <c r="G146" s="2"/>
      <c r="H146" s="2"/>
      <c r="I146" s="2"/>
      <c r="J146" s="2"/>
      <c r="K146" s="2"/>
      <c r="L146" s="2"/>
      <c r="M146" s="2"/>
      <c r="N146" s="2"/>
      <c r="O146" s="2"/>
      <c r="P146" s="2"/>
      <c r="Q146" s="2"/>
      <c r="R146" s="2"/>
      <c r="S146" s="2"/>
      <c r="T146" s="2"/>
      <c r="U146" s="2"/>
      <c r="V146" s="2"/>
      <c r="W146" s="2"/>
      <c r="X146" s="2"/>
      <c r="Y146" s="2"/>
      <c r="Z146" s="2"/>
    </row>
    <row r="147" ht="15.75" customHeight="1">
      <c r="A147" s="3"/>
      <c r="B147" s="3"/>
      <c r="C147" s="3"/>
      <c r="D147" s="3"/>
      <c r="E147" s="3"/>
      <c r="F147" s="3"/>
      <c r="G147" s="2"/>
      <c r="H147" s="2"/>
      <c r="I147" s="2"/>
      <c r="J147" s="2"/>
      <c r="K147" s="2"/>
      <c r="L147" s="2"/>
      <c r="M147" s="2"/>
      <c r="N147" s="2"/>
      <c r="O147" s="2"/>
      <c r="P147" s="2"/>
      <c r="Q147" s="2"/>
      <c r="R147" s="2"/>
      <c r="S147" s="2"/>
      <c r="T147" s="2"/>
      <c r="U147" s="2"/>
      <c r="V147" s="2"/>
      <c r="W147" s="2"/>
      <c r="X147" s="2"/>
      <c r="Y147" s="2"/>
      <c r="Z147" s="2"/>
    </row>
    <row r="148" ht="15.75" customHeight="1">
      <c r="A148" s="3"/>
      <c r="B148" s="3"/>
      <c r="C148" s="3"/>
      <c r="D148" s="3"/>
      <c r="E148" s="3"/>
      <c r="F148" s="3"/>
      <c r="G148" s="2"/>
      <c r="H148" s="2"/>
      <c r="I148" s="2"/>
      <c r="J148" s="2"/>
      <c r="K148" s="2"/>
      <c r="L148" s="2"/>
      <c r="M148" s="2"/>
      <c r="N148" s="2"/>
      <c r="O148" s="2"/>
      <c r="P148" s="2"/>
      <c r="Q148" s="2"/>
      <c r="R148" s="2"/>
      <c r="S148" s="2"/>
      <c r="T148" s="2"/>
      <c r="U148" s="2"/>
      <c r="V148" s="2"/>
      <c r="W148" s="2"/>
      <c r="X148" s="2"/>
      <c r="Y148" s="2"/>
      <c r="Z148" s="2"/>
    </row>
    <row r="149" ht="15.75" customHeight="1">
      <c r="A149" s="3"/>
      <c r="B149" s="3"/>
      <c r="C149" s="3"/>
      <c r="D149" s="3"/>
      <c r="E149" s="3"/>
      <c r="F149" s="3"/>
      <c r="G149" s="2"/>
      <c r="H149" s="2"/>
      <c r="I149" s="2"/>
      <c r="J149" s="2"/>
      <c r="K149" s="2"/>
      <c r="L149" s="2"/>
      <c r="M149" s="2"/>
      <c r="N149" s="2"/>
      <c r="O149" s="2"/>
      <c r="P149" s="2"/>
      <c r="Q149" s="2"/>
      <c r="R149" s="2"/>
      <c r="S149" s="2"/>
      <c r="T149" s="2"/>
      <c r="U149" s="2"/>
      <c r="V149" s="2"/>
      <c r="W149" s="2"/>
      <c r="X149" s="2"/>
      <c r="Y149" s="2"/>
      <c r="Z149" s="2"/>
    </row>
    <row r="150" ht="15.75" customHeight="1">
      <c r="A150" s="3"/>
      <c r="B150" s="3"/>
      <c r="C150" s="3"/>
      <c r="D150" s="3"/>
      <c r="E150" s="3"/>
      <c r="F150" s="3"/>
      <c r="G150" s="2"/>
      <c r="H150" s="2"/>
      <c r="I150" s="2"/>
      <c r="J150" s="2"/>
      <c r="K150" s="2"/>
      <c r="L150" s="2"/>
      <c r="M150" s="2"/>
      <c r="N150" s="2"/>
      <c r="O150" s="2"/>
      <c r="P150" s="2"/>
      <c r="Q150" s="2"/>
      <c r="R150" s="2"/>
      <c r="S150" s="2"/>
      <c r="T150" s="2"/>
      <c r="U150" s="2"/>
      <c r="V150" s="2"/>
      <c r="W150" s="2"/>
      <c r="X150" s="2"/>
      <c r="Y150" s="2"/>
      <c r="Z150" s="2"/>
    </row>
    <row r="151" ht="15.75" customHeight="1">
      <c r="A151" s="3"/>
      <c r="B151" s="3"/>
      <c r="C151" s="3"/>
      <c r="D151" s="3"/>
      <c r="E151" s="3"/>
      <c r="F151" s="3"/>
      <c r="G151" s="2"/>
      <c r="H151" s="2"/>
      <c r="I151" s="2"/>
      <c r="J151" s="2"/>
      <c r="K151" s="2"/>
      <c r="L151" s="2"/>
      <c r="M151" s="2"/>
      <c r="N151" s="2"/>
      <c r="O151" s="2"/>
      <c r="P151" s="2"/>
      <c r="Q151" s="2"/>
      <c r="R151" s="2"/>
      <c r="S151" s="2"/>
      <c r="T151" s="2"/>
      <c r="U151" s="2"/>
      <c r="V151" s="2"/>
      <c r="W151" s="2"/>
      <c r="X151" s="2"/>
      <c r="Y151" s="2"/>
      <c r="Z151" s="2"/>
    </row>
    <row r="152" ht="15.75" customHeight="1">
      <c r="A152" s="3"/>
      <c r="B152" s="3"/>
      <c r="C152" s="3"/>
      <c r="D152" s="3"/>
      <c r="E152" s="3"/>
      <c r="F152" s="3"/>
      <c r="G152" s="2"/>
      <c r="H152" s="2"/>
      <c r="I152" s="2"/>
      <c r="J152" s="2"/>
      <c r="K152" s="2"/>
      <c r="L152" s="2"/>
      <c r="M152" s="2"/>
      <c r="N152" s="2"/>
      <c r="O152" s="2"/>
      <c r="P152" s="2"/>
      <c r="Q152" s="2"/>
      <c r="R152" s="2"/>
      <c r="S152" s="2"/>
      <c r="T152" s="2"/>
      <c r="U152" s="2"/>
      <c r="V152" s="2"/>
      <c r="W152" s="2"/>
      <c r="X152" s="2"/>
      <c r="Y152" s="2"/>
      <c r="Z152" s="2"/>
    </row>
    <row r="153" ht="15.75" customHeight="1">
      <c r="A153" s="3"/>
      <c r="B153" s="3"/>
      <c r="C153" s="3"/>
      <c r="D153" s="3"/>
      <c r="E153" s="3"/>
      <c r="F153" s="3"/>
      <c r="G153" s="2"/>
      <c r="H153" s="2"/>
      <c r="I153" s="2"/>
      <c r="J153" s="2"/>
      <c r="K153" s="2"/>
      <c r="L153" s="2"/>
      <c r="M153" s="2"/>
      <c r="N153" s="2"/>
      <c r="O153" s="2"/>
      <c r="P153" s="2"/>
      <c r="Q153" s="2"/>
      <c r="R153" s="2"/>
      <c r="S153" s="2"/>
      <c r="T153" s="2"/>
      <c r="U153" s="2"/>
      <c r="V153" s="2"/>
      <c r="W153" s="2"/>
      <c r="X153" s="2"/>
      <c r="Y153" s="2"/>
      <c r="Z153" s="2"/>
    </row>
    <row r="154" ht="15.75" customHeight="1">
      <c r="A154" s="3"/>
      <c r="B154" s="3"/>
      <c r="C154" s="3"/>
      <c r="D154" s="3"/>
      <c r="E154" s="3"/>
      <c r="F154" s="3"/>
      <c r="G154" s="2"/>
      <c r="H154" s="2"/>
      <c r="I154" s="2"/>
      <c r="J154" s="2"/>
      <c r="K154" s="2"/>
      <c r="L154" s="2"/>
      <c r="M154" s="2"/>
      <c r="N154" s="2"/>
      <c r="O154" s="2"/>
      <c r="P154" s="2"/>
      <c r="Q154" s="2"/>
      <c r="R154" s="2"/>
      <c r="S154" s="2"/>
      <c r="T154" s="2"/>
      <c r="U154" s="2"/>
      <c r="V154" s="2"/>
      <c r="W154" s="2"/>
      <c r="X154" s="2"/>
      <c r="Y154" s="2"/>
      <c r="Z154" s="2"/>
    </row>
    <row r="155" ht="15.75" customHeight="1">
      <c r="A155" s="3"/>
      <c r="B155" s="3"/>
      <c r="C155" s="3"/>
      <c r="D155" s="3"/>
      <c r="E155" s="3"/>
      <c r="F155" s="3"/>
      <c r="G155" s="2"/>
      <c r="H155" s="2"/>
      <c r="I155" s="2"/>
      <c r="J155" s="2"/>
      <c r="K155" s="2"/>
      <c r="L155" s="2"/>
      <c r="M155" s="2"/>
      <c r="N155" s="2"/>
      <c r="O155" s="2"/>
      <c r="P155" s="2"/>
      <c r="Q155" s="2"/>
      <c r="R155" s="2"/>
      <c r="S155" s="2"/>
      <c r="T155" s="2"/>
      <c r="U155" s="2"/>
      <c r="V155" s="2"/>
      <c r="W155" s="2"/>
      <c r="X155" s="2"/>
      <c r="Y155" s="2"/>
      <c r="Z155" s="2"/>
    </row>
    <row r="156" ht="15.75" customHeight="1">
      <c r="A156" s="3"/>
      <c r="B156" s="3"/>
      <c r="C156" s="3"/>
      <c r="D156" s="3"/>
      <c r="E156" s="3"/>
      <c r="F156" s="3"/>
      <c r="G156" s="2"/>
      <c r="H156" s="2"/>
      <c r="I156" s="2"/>
      <c r="J156" s="2"/>
      <c r="K156" s="2"/>
      <c r="L156" s="2"/>
      <c r="M156" s="2"/>
      <c r="N156" s="2"/>
      <c r="O156" s="2"/>
      <c r="P156" s="2"/>
      <c r="Q156" s="2"/>
      <c r="R156" s="2"/>
      <c r="S156" s="2"/>
      <c r="T156" s="2"/>
      <c r="U156" s="2"/>
      <c r="V156" s="2"/>
      <c r="W156" s="2"/>
      <c r="X156" s="2"/>
      <c r="Y156" s="2"/>
      <c r="Z156" s="2"/>
    </row>
    <row r="157" ht="15.75" customHeight="1">
      <c r="A157" s="3"/>
      <c r="B157" s="3"/>
      <c r="C157" s="3"/>
      <c r="D157" s="3"/>
      <c r="E157" s="3"/>
      <c r="F157" s="3"/>
      <c r="G157" s="2"/>
      <c r="H157" s="2"/>
      <c r="I157" s="2"/>
      <c r="J157" s="2"/>
      <c r="K157" s="2"/>
      <c r="L157" s="2"/>
      <c r="M157" s="2"/>
      <c r="N157" s="2"/>
      <c r="O157" s="2"/>
      <c r="P157" s="2"/>
      <c r="Q157" s="2"/>
      <c r="R157" s="2"/>
      <c r="S157" s="2"/>
      <c r="T157" s="2"/>
      <c r="U157" s="2"/>
      <c r="V157" s="2"/>
      <c r="W157" s="2"/>
      <c r="X157" s="2"/>
      <c r="Y157" s="2"/>
      <c r="Z157" s="2"/>
    </row>
    <row r="158" ht="15.75" customHeight="1">
      <c r="A158" s="3"/>
      <c r="B158" s="3"/>
      <c r="C158" s="3"/>
      <c r="D158" s="3"/>
      <c r="E158" s="3"/>
      <c r="F158" s="3"/>
      <c r="G158" s="2"/>
      <c r="H158" s="2"/>
      <c r="I158" s="2"/>
      <c r="J158" s="2"/>
      <c r="K158" s="2"/>
      <c r="L158" s="2"/>
      <c r="M158" s="2"/>
      <c r="N158" s="2"/>
      <c r="O158" s="2"/>
      <c r="P158" s="2"/>
      <c r="Q158" s="2"/>
      <c r="R158" s="2"/>
      <c r="S158" s="2"/>
      <c r="T158" s="2"/>
      <c r="U158" s="2"/>
      <c r="V158" s="2"/>
      <c r="W158" s="2"/>
      <c r="X158" s="2"/>
      <c r="Y158" s="2"/>
      <c r="Z158" s="2"/>
    </row>
    <row r="159" ht="15.75" customHeight="1">
      <c r="A159" s="3"/>
      <c r="B159" s="3"/>
      <c r="C159" s="3"/>
      <c r="D159" s="3"/>
      <c r="E159" s="3"/>
      <c r="F159" s="3"/>
      <c r="G159" s="2"/>
      <c r="H159" s="2"/>
      <c r="I159" s="2"/>
      <c r="J159" s="2"/>
      <c r="K159" s="2"/>
      <c r="L159" s="2"/>
      <c r="M159" s="2"/>
      <c r="N159" s="2"/>
      <c r="O159" s="2"/>
      <c r="P159" s="2"/>
      <c r="Q159" s="2"/>
      <c r="R159" s="2"/>
      <c r="S159" s="2"/>
      <c r="T159" s="2"/>
      <c r="U159" s="2"/>
      <c r="V159" s="2"/>
      <c r="W159" s="2"/>
      <c r="X159" s="2"/>
      <c r="Y159" s="2"/>
      <c r="Z159" s="2"/>
    </row>
    <row r="160" ht="15.75" customHeight="1">
      <c r="A160" s="3"/>
      <c r="B160" s="3"/>
      <c r="C160" s="3"/>
      <c r="D160" s="3"/>
      <c r="E160" s="3"/>
      <c r="F160" s="3"/>
      <c r="G160" s="2"/>
      <c r="H160" s="2"/>
      <c r="I160" s="2"/>
      <c r="J160" s="2"/>
      <c r="K160" s="2"/>
      <c r="L160" s="2"/>
      <c r="M160" s="2"/>
      <c r="N160" s="2"/>
      <c r="O160" s="2"/>
      <c r="P160" s="2"/>
      <c r="Q160" s="2"/>
      <c r="R160" s="2"/>
      <c r="S160" s="2"/>
      <c r="T160" s="2"/>
      <c r="U160" s="2"/>
      <c r="V160" s="2"/>
      <c r="W160" s="2"/>
      <c r="X160" s="2"/>
      <c r="Y160" s="2"/>
      <c r="Z160" s="2"/>
    </row>
    <row r="161" ht="15.75" customHeight="1">
      <c r="A161" s="3"/>
      <c r="B161" s="3"/>
      <c r="C161" s="3"/>
      <c r="D161" s="3"/>
      <c r="E161" s="3"/>
      <c r="F161" s="3"/>
      <c r="G161" s="2"/>
      <c r="H161" s="2"/>
      <c r="I161" s="2"/>
      <c r="J161" s="2"/>
      <c r="K161" s="2"/>
      <c r="L161" s="2"/>
      <c r="M161" s="2"/>
      <c r="N161" s="2"/>
      <c r="O161" s="2"/>
      <c r="P161" s="2"/>
      <c r="Q161" s="2"/>
      <c r="R161" s="2"/>
      <c r="S161" s="2"/>
      <c r="T161" s="2"/>
      <c r="U161" s="2"/>
      <c r="V161" s="2"/>
      <c r="W161" s="2"/>
      <c r="X161" s="2"/>
      <c r="Y161" s="2"/>
      <c r="Z161" s="2"/>
    </row>
    <row r="162" ht="15.75" customHeight="1">
      <c r="A162" s="3"/>
      <c r="B162" s="3"/>
      <c r="C162" s="3"/>
      <c r="D162" s="3"/>
      <c r="E162" s="3"/>
      <c r="F162" s="3"/>
      <c r="G162" s="2"/>
      <c r="H162" s="2"/>
      <c r="I162" s="2"/>
      <c r="J162" s="2"/>
      <c r="K162" s="2"/>
      <c r="L162" s="2"/>
      <c r="M162" s="2"/>
      <c r="N162" s="2"/>
      <c r="O162" s="2"/>
      <c r="P162" s="2"/>
      <c r="Q162" s="2"/>
      <c r="R162" s="2"/>
      <c r="S162" s="2"/>
      <c r="T162" s="2"/>
      <c r="U162" s="2"/>
      <c r="V162" s="2"/>
      <c r="W162" s="2"/>
      <c r="X162" s="2"/>
      <c r="Y162" s="2"/>
      <c r="Z162" s="2"/>
    </row>
    <row r="163" ht="15.75" customHeight="1">
      <c r="A163" s="3"/>
      <c r="B163" s="3"/>
      <c r="C163" s="3"/>
      <c r="D163" s="3"/>
      <c r="E163" s="3"/>
      <c r="F163" s="3"/>
      <c r="G163" s="2"/>
      <c r="H163" s="2"/>
      <c r="I163" s="2"/>
      <c r="J163" s="2"/>
      <c r="K163" s="2"/>
      <c r="L163" s="2"/>
      <c r="M163" s="2"/>
      <c r="N163" s="2"/>
      <c r="O163" s="2"/>
      <c r="P163" s="2"/>
      <c r="Q163" s="2"/>
      <c r="R163" s="2"/>
      <c r="S163" s="2"/>
      <c r="T163" s="2"/>
      <c r="U163" s="2"/>
      <c r="V163" s="2"/>
      <c r="W163" s="2"/>
      <c r="X163" s="2"/>
      <c r="Y163" s="2"/>
      <c r="Z163" s="2"/>
    </row>
    <row r="164" ht="15.75" customHeight="1">
      <c r="A164" s="3"/>
      <c r="B164" s="3"/>
      <c r="C164" s="3"/>
      <c r="D164" s="3"/>
      <c r="E164" s="3"/>
      <c r="F164" s="3"/>
      <c r="G164" s="2"/>
      <c r="H164" s="2"/>
      <c r="I164" s="2"/>
      <c r="J164" s="2"/>
      <c r="K164" s="2"/>
      <c r="L164" s="2"/>
      <c r="M164" s="2"/>
      <c r="N164" s="2"/>
      <c r="O164" s="2"/>
      <c r="P164" s="2"/>
      <c r="Q164" s="2"/>
      <c r="R164" s="2"/>
      <c r="S164" s="2"/>
      <c r="T164" s="2"/>
      <c r="U164" s="2"/>
      <c r="V164" s="2"/>
      <c r="W164" s="2"/>
      <c r="X164" s="2"/>
      <c r="Y164" s="2"/>
      <c r="Z164" s="2"/>
    </row>
    <row r="165" ht="15.75" customHeight="1">
      <c r="A165" s="3"/>
      <c r="B165" s="3"/>
      <c r="C165" s="3"/>
      <c r="D165" s="3"/>
      <c r="E165" s="3"/>
      <c r="F165" s="3"/>
      <c r="G165" s="2"/>
      <c r="H165" s="2"/>
      <c r="I165" s="2"/>
      <c r="J165" s="2"/>
      <c r="K165" s="2"/>
      <c r="L165" s="2"/>
      <c r="M165" s="2"/>
      <c r="N165" s="2"/>
      <c r="O165" s="2"/>
      <c r="P165" s="2"/>
      <c r="Q165" s="2"/>
      <c r="R165" s="2"/>
      <c r="S165" s="2"/>
      <c r="T165" s="2"/>
      <c r="U165" s="2"/>
      <c r="V165" s="2"/>
      <c r="W165" s="2"/>
      <c r="X165" s="2"/>
      <c r="Y165" s="2"/>
      <c r="Z165" s="2"/>
    </row>
    <row r="166" ht="15.75" customHeight="1">
      <c r="A166" s="3"/>
      <c r="B166" s="3"/>
      <c r="C166" s="3"/>
      <c r="D166" s="3"/>
      <c r="E166" s="3"/>
      <c r="F166" s="3"/>
      <c r="G166" s="2"/>
      <c r="H166" s="2"/>
      <c r="I166" s="2"/>
      <c r="J166" s="2"/>
      <c r="K166" s="2"/>
      <c r="L166" s="2"/>
      <c r="M166" s="2"/>
      <c r="N166" s="2"/>
      <c r="O166" s="2"/>
      <c r="P166" s="2"/>
      <c r="Q166" s="2"/>
      <c r="R166" s="2"/>
      <c r="S166" s="2"/>
      <c r="T166" s="2"/>
      <c r="U166" s="2"/>
      <c r="V166" s="2"/>
      <c r="W166" s="2"/>
      <c r="X166" s="2"/>
      <c r="Y166" s="2"/>
      <c r="Z166" s="2"/>
    </row>
    <row r="167" ht="15.75" customHeight="1">
      <c r="A167" s="3"/>
      <c r="B167" s="3"/>
      <c r="C167" s="3"/>
      <c r="D167" s="3"/>
      <c r="E167" s="3"/>
      <c r="F167" s="3"/>
      <c r="G167" s="2"/>
      <c r="H167" s="2"/>
      <c r="I167" s="2"/>
      <c r="J167" s="2"/>
      <c r="K167" s="2"/>
      <c r="L167" s="2"/>
      <c r="M167" s="2"/>
      <c r="N167" s="2"/>
      <c r="O167" s="2"/>
      <c r="P167" s="2"/>
      <c r="Q167" s="2"/>
      <c r="R167" s="2"/>
      <c r="S167" s="2"/>
      <c r="T167" s="2"/>
      <c r="U167" s="2"/>
      <c r="V167" s="2"/>
      <c r="W167" s="2"/>
      <c r="X167" s="2"/>
      <c r="Y167" s="2"/>
      <c r="Z167" s="2"/>
    </row>
    <row r="168" ht="15.75" customHeight="1">
      <c r="A168" s="3"/>
      <c r="B168" s="3"/>
      <c r="C168" s="3"/>
      <c r="D168" s="3"/>
      <c r="E168" s="3"/>
      <c r="F168" s="3"/>
      <c r="G168" s="2"/>
      <c r="H168" s="2"/>
      <c r="I168" s="2"/>
      <c r="J168" s="2"/>
      <c r="K168" s="2"/>
      <c r="L168" s="2"/>
      <c r="M168" s="2"/>
      <c r="N168" s="2"/>
      <c r="O168" s="2"/>
      <c r="P168" s="2"/>
      <c r="Q168" s="2"/>
      <c r="R168" s="2"/>
      <c r="S168" s="2"/>
      <c r="T168" s="2"/>
      <c r="U168" s="2"/>
      <c r="V168" s="2"/>
      <c r="W168" s="2"/>
      <c r="X168" s="2"/>
      <c r="Y168" s="2"/>
      <c r="Z168" s="2"/>
    </row>
    <row r="169" ht="15.75" customHeight="1">
      <c r="A169" s="3"/>
      <c r="B169" s="3"/>
      <c r="C169" s="3"/>
      <c r="D169" s="3"/>
      <c r="E169" s="3"/>
      <c r="F169" s="3"/>
      <c r="G169" s="2"/>
      <c r="H169" s="2"/>
      <c r="I169" s="2"/>
      <c r="J169" s="2"/>
      <c r="K169" s="2"/>
      <c r="L169" s="2"/>
      <c r="M169" s="2"/>
      <c r="N169" s="2"/>
      <c r="O169" s="2"/>
      <c r="P169" s="2"/>
      <c r="Q169" s="2"/>
      <c r="R169" s="2"/>
      <c r="S169" s="2"/>
      <c r="T169" s="2"/>
      <c r="U169" s="2"/>
      <c r="V169" s="2"/>
      <c r="W169" s="2"/>
      <c r="X169" s="2"/>
      <c r="Y169" s="2"/>
      <c r="Z169" s="2"/>
    </row>
    <row r="170" ht="15.75" customHeight="1">
      <c r="A170" s="3"/>
      <c r="B170" s="3"/>
      <c r="C170" s="3"/>
      <c r="D170" s="3"/>
      <c r="E170" s="3"/>
      <c r="F170" s="3"/>
      <c r="G170" s="2"/>
      <c r="H170" s="2"/>
      <c r="I170" s="2"/>
      <c r="J170" s="2"/>
      <c r="K170" s="2"/>
      <c r="L170" s="2"/>
      <c r="M170" s="2"/>
      <c r="N170" s="2"/>
      <c r="O170" s="2"/>
      <c r="P170" s="2"/>
      <c r="Q170" s="2"/>
      <c r="R170" s="2"/>
      <c r="S170" s="2"/>
      <c r="T170" s="2"/>
      <c r="U170" s="2"/>
      <c r="V170" s="2"/>
      <c r="W170" s="2"/>
      <c r="X170" s="2"/>
      <c r="Y170" s="2"/>
      <c r="Z170" s="2"/>
    </row>
    <row r="171" ht="15.75" customHeight="1">
      <c r="A171" s="3"/>
      <c r="B171" s="3"/>
      <c r="C171" s="3"/>
      <c r="D171" s="3"/>
      <c r="E171" s="3"/>
      <c r="F171" s="3"/>
      <c r="G171" s="2"/>
      <c r="H171" s="2"/>
      <c r="I171" s="2"/>
      <c r="J171" s="2"/>
      <c r="K171" s="2"/>
      <c r="L171" s="2"/>
      <c r="M171" s="2"/>
      <c r="N171" s="2"/>
      <c r="O171" s="2"/>
      <c r="P171" s="2"/>
      <c r="Q171" s="2"/>
      <c r="R171" s="2"/>
      <c r="S171" s="2"/>
      <c r="T171" s="2"/>
      <c r="U171" s="2"/>
      <c r="V171" s="2"/>
      <c r="W171" s="2"/>
      <c r="X171" s="2"/>
      <c r="Y171" s="2"/>
      <c r="Z171" s="2"/>
    </row>
    <row r="172" ht="15.75" customHeight="1">
      <c r="A172" s="3"/>
      <c r="B172" s="3"/>
      <c r="C172" s="3"/>
      <c r="D172" s="3"/>
      <c r="E172" s="3"/>
      <c r="F172" s="3"/>
      <c r="G172" s="2"/>
      <c r="H172" s="2"/>
      <c r="I172" s="2"/>
      <c r="J172" s="2"/>
      <c r="K172" s="2"/>
      <c r="L172" s="2"/>
      <c r="M172" s="2"/>
      <c r="N172" s="2"/>
      <c r="O172" s="2"/>
      <c r="P172" s="2"/>
      <c r="Q172" s="2"/>
      <c r="R172" s="2"/>
      <c r="S172" s="2"/>
      <c r="T172" s="2"/>
      <c r="U172" s="2"/>
      <c r="V172" s="2"/>
      <c r="W172" s="2"/>
      <c r="X172" s="2"/>
      <c r="Y172" s="2"/>
      <c r="Z172" s="2"/>
    </row>
    <row r="173" ht="15.75" customHeight="1">
      <c r="A173" s="3"/>
      <c r="B173" s="3"/>
      <c r="C173" s="3"/>
      <c r="D173" s="3"/>
      <c r="E173" s="3"/>
      <c r="F173" s="3"/>
      <c r="G173" s="2"/>
      <c r="H173" s="2"/>
      <c r="I173" s="2"/>
      <c r="J173" s="2"/>
      <c r="K173" s="2"/>
      <c r="L173" s="2"/>
      <c r="M173" s="2"/>
      <c r="N173" s="2"/>
      <c r="O173" s="2"/>
      <c r="P173" s="2"/>
      <c r="Q173" s="2"/>
      <c r="R173" s="2"/>
      <c r="S173" s="2"/>
      <c r="T173" s="2"/>
      <c r="U173" s="2"/>
      <c r="V173" s="2"/>
      <c r="W173" s="2"/>
      <c r="X173" s="2"/>
      <c r="Y173" s="2"/>
      <c r="Z173" s="2"/>
    </row>
    <row r="174" ht="15.75" customHeight="1">
      <c r="A174" s="3"/>
      <c r="B174" s="3"/>
      <c r="C174" s="3"/>
      <c r="D174" s="3"/>
      <c r="E174" s="3"/>
      <c r="F174" s="3"/>
      <c r="G174" s="2"/>
      <c r="H174" s="2"/>
      <c r="I174" s="2"/>
      <c r="J174" s="2"/>
      <c r="K174" s="2"/>
      <c r="L174" s="2"/>
      <c r="M174" s="2"/>
      <c r="N174" s="2"/>
      <c r="O174" s="2"/>
      <c r="P174" s="2"/>
      <c r="Q174" s="2"/>
      <c r="R174" s="2"/>
      <c r="S174" s="2"/>
      <c r="T174" s="2"/>
      <c r="U174" s="2"/>
      <c r="V174" s="2"/>
      <c r="W174" s="2"/>
      <c r="X174" s="2"/>
      <c r="Y174" s="2"/>
      <c r="Z174" s="2"/>
    </row>
    <row r="175" ht="15.75" customHeight="1">
      <c r="A175" s="3"/>
      <c r="B175" s="3"/>
      <c r="C175" s="3"/>
      <c r="D175" s="3"/>
      <c r="E175" s="3"/>
      <c r="F175" s="3"/>
      <c r="G175" s="2"/>
      <c r="H175" s="2"/>
      <c r="I175" s="2"/>
      <c r="J175" s="2"/>
      <c r="K175" s="2"/>
      <c r="L175" s="2"/>
      <c r="M175" s="2"/>
      <c r="N175" s="2"/>
      <c r="O175" s="2"/>
      <c r="P175" s="2"/>
      <c r="Q175" s="2"/>
      <c r="R175" s="2"/>
      <c r="S175" s="2"/>
      <c r="T175" s="2"/>
      <c r="U175" s="2"/>
      <c r="V175" s="2"/>
      <c r="W175" s="2"/>
      <c r="X175" s="2"/>
      <c r="Y175" s="2"/>
      <c r="Z175" s="2"/>
    </row>
    <row r="176" ht="15.75" customHeight="1">
      <c r="A176" s="3"/>
      <c r="B176" s="3"/>
      <c r="C176" s="3"/>
      <c r="D176" s="3"/>
      <c r="E176" s="3"/>
      <c r="F176" s="3"/>
      <c r="G176" s="2"/>
      <c r="H176" s="2"/>
      <c r="I176" s="2"/>
      <c r="J176" s="2"/>
      <c r="K176" s="2"/>
      <c r="L176" s="2"/>
      <c r="M176" s="2"/>
      <c r="N176" s="2"/>
      <c r="O176" s="2"/>
      <c r="P176" s="2"/>
      <c r="Q176" s="2"/>
      <c r="R176" s="2"/>
      <c r="S176" s="2"/>
      <c r="T176" s="2"/>
      <c r="U176" s="2"/>
      <c r="V176" s="2"/>
      <c r="W176" s="2"/>
      <c r="X176" s="2"/>
      <c r="Y176" s="2"/>
      <c r="Z176" s="2"/>
    </row>
    <row r="177" ht="15.75" customHeight="1">
      <c r="A177" s="3"/>
      <c r="B177" s="3"/>
      <c r="C177" s="3"/>
      <c r="D177" s="3"/>
      <c r="E177" s="3"/>
      <c r="F177" s="3"/>
      <c r="G177" s="2"/>
      <c r="H177" s="2"/>
      <c r="I177" s="2"/>
      <c r="J177" s="2"/>
      <c r="K177" s="2"/>
      <c r="L177" s="2"/>
      <c r="M177" s="2"/>
      <c r="N177" s="2"/>
      <c r="O177" s="2"/>
      <c r="P177" s="2"/>
      <c r="Q177" s="2"/>
      <c r="R177" s="2"/>
      <c r="S177" s="2"/>
      <c r="T177" s="2"/>
      <c r="U177" s="2"/>
      <c r="V177" s="2"/>
      <c r="W177" s="2"/>
      <c r="X177" s="2"/>
      <c r="Y177" s="2"/>
      <c r="Z177" s="2"/>
    </row>
    <row r="178" ht="15.75" customHeight="1">
      <c r="A178" s="3"/>
      <c r="B178" s="3"/>
      <c r="C178" s="3"/>
      <c r="D178" s="3"/>
      <c r="E178" s="3"/>
      <c r="F178" s="3"/>
      <c r="G178" s="2"/>
      <c r="H178" s="2"/>
      <c r="I178" s="2"/>
      <c r="J178" s="2"/>
      <c r="K178" s="2"/>
      <c r="L178" s="2"/>
      <c r="M178" s="2"/>
      <c r="N178" s="2"/>
      <c r="O178" s="2"/>
      <c r="P178" s="2"/>
      <c r="Q178" s="2"/>
      <c r="R178" s="2"/>
      <c r="S178" s="2"/>
      <c r="T178" s="2"/>
      <c r="U178" s="2"/>
      <c r="V178" s="2"/>
      <c r="W178" s="2"/>
      <c r="X178" s="2"/>
      <c r="Y178" s="2"/>
      <c r="Z178" s="2"/>
    </row>
    <row r="179" ht="15.75" customHeight="1">
      <c r="A179" s="3"/>
      <c r="B179" s="3"/>
      <c r="C179" s="3"/>
      <c r="D179" s="3"/>
      <c r="E179" s="3"/>
      <c r="F179" s="3"/>
      <c r="G179" s="2"/>
      <c r="H179" s="2"/>
      <c r="I179" s="2"/>
      <c r="J179" s="2"/>
      <c r="K179" s="2"/>
      <c r="L179" s="2"/>
      <c r="M179" s="2"/>
      <c r="N179" s="2"/>
      <c r="O179" s="2"/>
      <c r="P179" s="2"/>
      <c r="Q179" s="2"/>
      <c r="R179" s="2"/>
      <c r="S179" s="2"/>
      <c r="T179" s="2"/>
      <c r="U179" s="2"/>
      <c r="V179" s="2"/>
      <c r="W179" s="2"/>
      <c r="X179" s="2"/>
      <c r="Y179" s="2"/>
      <c r="Z179" s="2"/>
    </row>
    <row r="180" ht="15.75" customHeight="1">
      <c r="A180" s="3"/>
      <c r="B180" s="3"/>
      <c r="C180" s="3"/>
      <c r="D180" s="3"/>
      <c r="E180" s="3"/>
      <c r="F180" s="3"/>
      <c r="G180" s="2"/>
      <c r="H180" s="2"/>
      <c r="I180" s="2"/>
      <c r="J180" s="2"/>
      <c r="K180" s="2"/>
      <c r="L180" s="2"/>
      <c r="M180" s="2"/>
      <c r="N180" s="2"/>
      <c r="O180" s="2"/>
      <c r="P180" s="2"/>
      <c r="Q180" s="2"/>
      <c r="R180" s="2"/>
      <c r="S180" s="2"/>
      <c r="T180" s="2"/>
      <c r="U180" s="2"/>
      <c r="V180" s="2"/>
      <c r="W180" s="2"/>
      <c r="X180" s="2"/>
      <c r="Y180" s="2"/>
      <c r="Z180" s="2"/>
    </row>
    <row r="181" ht="15.75" customHeight="1">
      <c r="A181" s="3"/>
      <c r="B181" s="3"/>
      <c r="C181" s="3"/>
      <c r="D181" s="3"/>
      <c r="E181" s="3"/>
      <c r="F181" s="3"/>
      <c r="G181" s="2"/>
      <c r="H181" s="2"/>
      <c r="I181" s="2"/>
      <c r="J181" s="2"/>
      <c r="K181" s="2"/>
      <c r="L181" s="2"/>
      <c r="M181" s="2"/>
      <c r="N181" s="2"/>
      <c r="O181" s="2"/>
      <c r="P181" s="2"/>
      <c r="Q181" s="2"/>
      <c r="R181" s="2"/>
      <c r="S181" s="2"/>
      <c r="T181" s="2"/>
      <c r="U181" s="2"/>
      <c r="V181" s="2"/>
      <c r="W181" s="2"/>
      <c r="X181" s="2"/>
      <c r="Y181" s="2"/>
      <c r="Z181" s="2"/>
    </row>
    <row r="182" ht="15.75" customHeight="1">
      <c r="A182" s="3"/>
      <c r="B182" s="3"/>
      <c r="C182" s="3"/>
      <c r="D182" s="3"/>
      <c r="E182" s="3"/>
      <c r="F182" s="3"/>
      <c r="G182" s="2"/>
      <c r="H182" s="2"/>
      <c r="I182" s="2"/>
      <c r="J182" s="2"/>
      <c r="K182" s="2"/>
      <c r="L182" s="2"/>
      <c r="M182" s="2"/>
      <c r="N182" s="2"/>
      <c r="O182" s="2"/>
      <c r="P182" s="2"/>
      <c r="Q182" s="2"/>
      <c r="R182" s="2"/>
      <c r="S182" s="2"/>
      <c r="T182" s="2"/>
      <c r="U182" s="2"/>
      <c r="V182" s="2"/>
      <c r="W182" s="2"/>
      <c r="X182" s="2"/>
      <c r="Y182" s="2"/>
      <c r="Z182" s="2"/>
    </row>
    <row r="183" ht="15.75" customHeight="1">
      <c r="A183" s="3"/>
      <c r="B183" s="3"/>
      <c r="C183" s="3"/>
      <c r="D183" s="3"/>
      <c r="E183" s="3"/>
      <c r="F183" s="3"/>
      <c r="G183" s="2"/>
      <c r="H183" s="2"/>
      <c r="I183" s="2"/>
      <c r="J183" s="2"/>
      <c r="K183" s="2"/>
      <c r="L183" s="2"/>
      <c r="M183" s="2"/>
      <c r="N183" s="2"/>
      <c r="O183" s="2"/>
      <c r="P183" s="2"/>
      <c r="Q183" s="2"/>
      <c r="R183" s="2"/>
      <c r="S183" s="2"/>
      <c r="T183" s="2"/>
      <c r="U183" s="2"/>
      <c r="V183" s="2"/>
      <c r="W183" s="2"/>
      <c r="X183" s="2"/>
      <c r="Y183" s="2"/>
      <c r="Z183" s="2"/>
    </row>
    <row r="184" ht="15.75" customHeight="1">
      <c r="A184" s="3"/>
      <c r="B184" s="3"/>
      <c r="C184" s="3"/>
      <c r="D184" s="3"/>
      <c r="E184" s="3"/>
      <c r="F184" s="3"/>
      <c r="G184" s="2"/>
      <c r="H184" s="2"/>
      <c r="I184" s="2"/>
      <c r="J184" s="2"/>
      <c r="K184" s="2"/>
      <c r="L184" s="2"/>
      <c r="M184" s="2"/>
      <c r="N184" s="2"/>
      <c r="O184" s="2"/>
      <c r="P184" s="2"/>
      <c r="Q184" s="2"/>
      <c r="R184" s="2"/>
      <c r="S184" s="2"/>
      <c r="T184" s="2"/>
      <c r="U184" s="2"/>
      <c r="V184" s="2"/>
      <c r="W184" s="2"/>
      <c r="X184" s="2"/>
      <c r="Y184" s="2"/>
      <c r="Z184" s="2"/>
    </row>
    <row r="185" ht="15.75" customHeight="1">
      <c r="A185" s="3"/>
      <c r="B185" s="3"/>
      <c r="C185" s="3"/>
      <c r="D185" s="3"/>
      <c r="E185" s="3"/>
      <c r="F185" s="3"/>
      <c r="G185" s="2"/>
      <c r="H185" s="2"/>
      <c r="I185" s="2"/>
      <c r="J185" s="2"/>
      <c r="K185" s="2"/>
      <c r="L185" s="2"/>
      <c r="M185" s="2"/>
      <c r="N185" s="2"/>
      <c r="O185" s="2"/>
      <c r="P185" s="2"/>
      <c r="Q185" s="2"/>
      <c r="R185" s="2"/>
      <c r="S185" s="2"/>
      <c r="T185" s="2"/>
      <c r="U185" s="2"/>
      <c r="V185" s="2"/>
      <c r="W185" s="2"/>
      <c r="X185" s="2"/>
      <c r="Y185" s="2"/>
      <c r="Z185" s="2"/>
    </row>
    <row r="186" ht="15.75" customHeight="1">
      <c r="A186" s="3"/>
      <c r="B186" s="3"/>
      <c r="C186" s="3"/>
      <c r="D186" s="3"/>
      <c r="E186" s="3"/>
      <c r="F186" s="3"/>
      <c r="G186" s="2"/>
      <c r="H186" s="2"/>
      <c r="I186" s="2"/>
      <c r="J186" s="2"/>
      <c r="K186" s="2"/>
      <c r="L186" s="2"/>
      <c r="M186" s="2"/>
      <c r="N186" s="2"/>
      <c r="O186" s="2"/>
      <c r="P186" s="2"/>
      <c r="Q186" s="2"/>
      <c r="R186" s="2"/>
      <c r="S186" s="2"/>
      <c r="T186" s="2"/>
      <c r="U186" s="2"/>
      <c r="V186" s="2"/>
      <c r="W186" s="2"/>
      <c r="X186" s="2"/>
      <c r="Y186" s="2"/>
      <c r="Z186" s="2"/>
    </row>
    <row r="187" ht="15.75" customHeight="1">
      <c r="A187" s="3"/>
      <c r="B187" s="3"/>
      <c r="C187" s="3"/>
      <c r="D187" s="3"/>
      <c r="E187" s="3"/>
      <c r="F187" s="3"/>
      <c r="G187" s="2"/>
      <c r="H187" s="2"/>
      <c r="I187" s="2"/>
      <c r="J187" s="2"/>
      <c r="K187" s="2"/>
      <c r="L187" s="2"/>
      <c r="M187" s="2"/>
      <c r="N187" s="2"/>
      <c r="O187" s="2"/>
      <c r="P187" s="2"/>
      <c r="Q187" s="2"/>
      <c r="R187" s="2"/>
      <c r="S187" s="2"/>
      <c r="T187" s="2"/>
      <c r="U187" s="2"/>
      <c r="V187" s="2"/>
      <c r="W187" s="2"/>
      <c r="X187" s="2"/>
      <c r="Y187" s="2"/>
      <c r="Z187" s="2"/>
    </row>
    <row r="188" ht="15.75" customHeight="1">
      <c r="A188" s="3"/>
      <c r="B188" s="3"/>
      <c r="C188" s="3"/>
      <c r="D188" s="3"/>
      <c r="E188" s="3"/>
      <c r="F188" s="3"/>
      <c r="G188" s="2"/>
      <c r="H188" s="2"/>
      <c r="I188" s="2"/>
      <c r="J188" s="2"/>
      <c r="K188" s="2"/>
      <c r="L188" s="2"/>
      <c r="M188" s="2"/>
      <c r="N188" s="2"/>
      <c r="O188" s="2"/>
      <c r="P188" s="2"/>
      <c r="Q188" s="2"/>
      <c r="R188" s="2"/>
      <c r="S188" s="2"/>
      <c r="T188" s="2"/>
      <c r="U188" s="2"/>
      <c r="V188" s="2"/>
      <c r="W188" s="2"/>
      <c r="X188" s="2"/>
      <c r="Y188" s="2"/>
      <c r="Z188" s="2"/>
    </row>
    <row r="189" ht="15.75" customHeight="1">
      <c r="A189" s="3"/>
      <c r="B189" s="3"/>
      <c r="C189" s="3"/>
      <c r="D189" s="3"/>
      <c r="E189" s="3"/>
      <c r="F189" s="3"/>
      <c r="G189" s="2"/>
      <c r="H189" s="2"/>
      <c r="I189" s="2"/>
      <c r="J189" s="2"/>
      <c r="K189" s="2"/>
      <c r="L189" s="2"/>
      <c r="M189" s="2"/>
      <c r="N189" s="2"/>
      <c r="O189" s="2"/>
      <c r="P189" s="2"/>
      <c r="Q189" s="2"/>
      <c r="R189" s="2"/>
      <c r="S189" s="2"/>
      <c r="T189" s="2"/>
      <c r="U189" s="2"/>
      <c r="V189" s="2"/>
      <c r="W189" s="2"/>
      <c r="X189" s="2"/>
      <c r="Y189" s="2"/>
      <c r="Z189" s="2"/>
    </row>
    <row r="190" ht="15.75" customHeight="1">
      <c r="A190" s="3"/>
      <c r="B190" s="3"/>
      <c r="C190" s="3"/>
      <c r="D190" s="3"/>
      <c r="E190" s="3"/>
      <c r="F190" s="3"/>
      <c r="G190" s="2"/>
      <c r="H190" s="2"/>
      <c r="I190" s="2"/>
      <c r="J190" s="2"/>
      <c r="K190" s="2"/>
      <c r="L190" s="2"/>
      <c r="M190" s="2"/>
      <c r="N190" s="2"/>
      <c r="O190" s="2"/>
      <c r="P190" s="2"/>
      <c r="Q190" s="2"/>
      <c r="R190" s="2"/>
      <c r="S190" s="2"/>
      <c r="T190" s="2"/>
      <c r="U190" s="2"/>
      <c r="V190" s="2"/>
      <c r="W190" s="2"/>
      <c r="X190" s="2"/>
      <c r="Y190" s="2"/>
      <c r="Z190" s="2"/>
    </row>
    <row r="191" ht="15.75" customHeight="1">
      <c r="A191" s="3"/>
      <c r="B191" s="3"/>
      <c r="C191" s="3"/>
      <c r="D191" s="3"/>
      <c r="E191" s="3"/>
      <c r="F191" s="3"/>
      <c r="G191" s="2"/>
      <c r="H191" s="2"/>
      <c r="I191" s="2"/>
      <c r="J191" s="2"/>
      <c r="K191" s="2"/>
      <c r="L191" s="2"/>
      <c r="M191" s="2"/>
      <c r="N191" s="2"/>
      <c r="O191" s="2"/>
      <c r="P191" s="2"/>
      <c r="Q191" s="2"/>
      <c r="R191" s="2"/>
      <c r="S191" s="2"/>
      <c r="T191" s="2"/>
      <c r="U191" s="2"/>
      <c r="V191" s="2"/>
      <c r="W191" s="2"/>
      <c r="X191" s="2"/>
      <c r="Y191" s="2"/>
      <c r="Z191" s="2"/>
    </row>
    <row r="192" ht="15.75" customHeight="1">
      <c r="A192" s="3"/>
      <c r="B192" s="3"/>
      <c r="C192" s="3"/>
      <c r="D192" s="3"/>
      <c r="E192" s="3"/>
      <c r="F192" s="3"/>
      <c r="G192" s="2"/>
      <c r="H192" s="2"/>
      <c r="I192" s="2"/>
      <c r="J192" s="2"/>
      <c r="K192" s="2"/>
      <c r="L192" s="2"/>
      <c r="M192" s="2"/>
      <c r="N192" s="2"/>
      <c r="O192" s="2"/>
      <c r="P192" s="2"/>
      <c r="Q192" s="2"/>
      <c r="R192" s="2"/>
      <c r="S192" s="2"/>
      <c r="T192" s="2"/>
      <c r="U192" s="2"/>
      <c r="V192" s="2"/>
      <c r="W192" s="2"/>
      <c r="X192" s="2"/>
      <c r="Y192" s="2"/>
      <c r="Z192" s="2"/>
    </row>
    <row r="193" ht="15.75" customHeight="1">
      <c r="A193" s="3"/>
      <c r="B193" s="3"/>
      <c r="C193" s="3"/>
      <c r="D193" s="3"/>
      <c r="E193" s="3"/>
      <c r="F193" s="3"/>
      <c r="G193" s="2"/>
      <c r="H193" s="2"/>
      <c r="I193" s="2"/>
      <c r="J193" s="2"/>
      <c r="K193" s="2"/>
      <c r="L193" s="2"/>
      <c r="M193" s="2"/>
      <c r="N193" s="2"/>
      <c r="O193" s="2"/>
      <c r="P193" s="2"/>
      <c r="Q193" s="2"/>
      <c r="R193" s="2"/>
      <c r="S193" s="2"/>
      <c r="T193" s="2"/>
      <c r="U193" s="2"/>
      <c r="V193" s="2"/>
      <c r="W193" s="2"/>
      <c r="X193" s="2"/>
      <c r="Y193" s="2"/>
      <c r="Z193" s="2"/>
    </row>
    <row r="194" ht="15.75" customHeight="1">
      <c r="A194" s="3"/>
      <c r="B194" s="3"/>
      <c r="C194" s="3"/>
      <c r="D194" s="3"/>
      <c r="E194" s="3"/>
      <c r="F194" s="3"/>
      <c r="G194" s="2"/>
      <c r="H194" s="2"/>
      <c r="I194" s="2"/>
      <c r="J194" s="2"/>
      <c r="K194" s="2"/>
      <c r="L194" s="2"/>
      <c r="M194" s="2"/>
      <c r="N194" s="2"/>
      <c r="O194" s="2"/>
      <c r="P194" s="2"/>
      <c r="Q194" s="2"/>
      <c r="R194" s="2"/>
      <c r="S194" s="2"/>
      <c r="T194" s="2"/>
      <c r="U194" s="2"/>
      <c r="V194" s="2"/>
      <c r="W194" s="2"/>
      <c r="X194" s="2"/>
      <c r="Y194" s="2"/>
      <c r="Z194" s="2"/>
    </row>
    <row r="195" ht="15.75" customHeight="1">
      <c r="A195" s="3"/>
      <c r="B195" s="3"/>
      <c r="C195" s="3"/>
      <c r="D195" s="3"/>
      <c r="E195" s="3"/>
      <c r="F195" s="3"/>
      <c r="G195" s="2"/>
      <c r="H195" s="2"/>
      <c r="I195" s="2"/>
      <c r="J195" s="2"/>
      <c r="K195" s="2"/>
      <c r="L195" s="2"/>
      <c r="M195" s="2"/>
      <c r="N195" s="2"/>
      <c r="O195" s="2"/>
      <c r="P195" s="2"/>
      <c r="Q195" s="2"/>
      <c r="R195" s="2"/>
      <c r="S195" s="2"/>
      <c r="T195" s="2"/>
      <c r="U195" s="2"/>
      <c r="V195" s="2"/>
      <c r="W195" s="2"/>
      <c r="X195" s="2"/>
      <c r="Y195" s="2"/>
      <c r="Z195" s="2"/>
    </row>
    <row r="196" ht="15.75" customHeight="1">
      <c r="A196" s="3"/>
      <c r="B196" s="3"/>
      <c r="C196" s="3"/>
      <c r="D196" s="3"/>
      <c r="E196" s="3"/>
      <c r="F196" s="3"/>
      <c r="G196" s="2"/>
      <c r="H196" s="2"/>
      <c r="I196" s="2"/>
      <c r="J196" s="2"/>
      <c r="K196" s="2"/>
      <c r="L196" s="2"/>
      <c r="M196" s="2"/>
      <c r="N196" s="2"/>
      <c r="O196" s="2"/>
      <c r="P196" s="2"/>
      <c r="Q196" s="2"/>
      <c r="R196" s="2"/>
      <c r="S196" s="2"/>
      <c r="T196" s="2"/>
      <c r="U196" s="2"/>
      <c r="V196" s="2"/>
      <c r="W196" s="2"/>
      <c r="X196" s="2"/>
      <c r="Y196" s="2"/>
      <c r="Z196" s="2"/>
    </row>
    <row r="197" ht="15.75" customHeight="1">
      <c r="A197" s="3"/>
      <c r="B197" s="3"/>
      <c r="C197" s="3"/>
      <c r="D197" s="3"/>
      <c r="E197" s="3"/>
      <c r="F197" s="3"/>
      <c r="G197" s="2"/>
      <c r="H197" s="2"/>
      <c r="I197" s="2"/>
      <c r="J197" s="2"/>
      <c r="K197" s="2"/>
      <c r="L197" s="2"/>
      <c r="M197" s="2"/>
      <c r="N197" s="2"/>
      <c r="O197" s="2"/>
      <c r="P197" s="2"/>
      <c r="Q197" s="2"/>
      <c r="R197" s="2"/>
      <c r="S197" s="2"/>
      <c r="T197" s="2"/>
      <c r="U197" s="2"/>
      <c r="V197" s="2"/>
      <c r="W197" s="2"/>
      <c r="X197" s="2"/>
      <c r="Y197" s="2"/>
      <c r="Z197" s="2"/>
    </row>
    <row r="198" ht="15.75" customHeight="1">
      <c r="A198" s="3"/>
      <c r="B198" s="3"/>
      <c r="C198" s="3"/>
      <c r="D198" s="3"/>
      <c r="E198" s="3"/>
      <c r="F198" s="3"/>
      <c r="G198" s="2"/>
      <c r="H198" s="2"/>
      <c r="I198" s="2"/>
      <c r="J198" s="2"/>
      <c r="K198" s="2"/>
      <c r="L198" s="2"/>
      <c r="M198" s="2"/>
      <c r="N198" s="2"/>
      <c r="O198" s="2"/>
      <c r="P198" s="2"/>
      <c r="Q198" s="2"/>
      <c r="R198" s="2"/>
      <c r="S198" s="2"/>
      <c r="T198" s="2"/>
      <c r="U198" s="2"/>
      <c r="V198" s="2"/>
      <c r="W198" s="2"/>
      <c r="X198" s="2"/>
      <c r="Y198" s="2"/>
      <c r="Z198" s="2"/>
    </row>
    <row r="199" ht="15.75" customHeight="1">
      <c r="A199" s="3"/>
      <c r="B199" s="3"/>
      <c r="C199" s="3"/>
      <c r="D199" s="3"/>
      <c r="E199" s="3"/>
      <c r="F199" s="3"/>
      <c r="G199" s="2"/>
      <c r="H199" s="2"/>
      <c r="I199" s="2"/>
      <c r="J199" s="2"/>
      <c r="K199" s="2"/>
      <c r="L199" s="2"/>
      <c r="M199" s="2"/>
      <c r="N199" s="2"/>
      <c r="O199" s="2"/>
      <c r="P199" s="2"/>
      <c r="Q199" s="2"/>
      <c r="R199" s="2"/>
      <c r="S199" s="2"/>
      <c r="T199" s="2"/>
      <c r="U199" s="2"/>
      <c r="V199" s="2"/>
      <c r="W199" s="2"/>
      <c r="X199" s="2"/>
      <c r="Y199" s="2"/>
      <c r="Z199" s="2"/>
    </row>
    <row r="200" ht="15.75" customHeight="1">
      <c r="A200" s="3"/>
      <c r="B200" s="3"/>
      <c r="C200" s="3"/>
      <c r="D200" s="3"/>
      <c r="E200" s="3"/>
      <c r="F200" s="3"/>
      <c r="G200" s="2"/>
      <c r="H200" s="2"/>
      <c r="I200" s="2"/>
      <c r="J200" s="2"/>
      <c r="K200" s="2"/>
      <c r="L200" s="2"/>
      <c r="M200" s="2"/>
      <c r="N200" s="2"/>
      <c r="O200" s="2"/>
      <c r="P200" s="2"/>
      <c r="Q200" s="2"/>
      <c r="R200" s="2"/>
      <c r="S200" s="2"/>
      <c r="T200" s="2"/>
      <c r="U200" s="2"/>
      <c r="V200" s="2"/>
      <c r="W200" s="2"/>
      <c r="X200" s="2"/>
      <c r="Y200" s="2"/>
      <c r="Z200" s="2"/>
    </row>
    <row r="201" ht="15.75" customHeight="1">
      <c r="A201" s="3"/>
      <c r="B201" s="3"/>
      <c r="C201" s="3"/>
      <c r="D201" s="3"/>
      <c r="E201" s="3"/>
      <c r="F201" s="3"/>
      <c r="G201" s="2"/>
      <c r="H201" s="2"/>
      <c r="I201" s="2"/>
      <c r="J201" s="2"/>
      <c r="K201" s="2"/>
      <c r="L201" s="2"/>
      <c r="M201" s="2"/>
      <c r="N201" s="2"/>
      <c r="O201" s="2"/>
      <c r="P201" s="2"/>
      <c r="Q201" s="2"/>
      <c r="R201" s="2"/>
      <c r="S201" s="2"/>
      <c r="T201" s="2"/>
      <c r="U201" s="2"/>
      <c r="V201" s="2"/>
      <c r="W201" s="2"/>
      <c r="X201" s="2"/>
      <c r="Y201" s="2"/>
      <c r="Z201" s="2"/>
    </row>
    <row r="202" ht="15.75" customHeight="1">
      <c r="A202" s="3"/>
      <c r="B202" s="3"/>
      <c r="C202" s="3"/>
      <c r="D202" s="3"/>
      <c r="E202" s="3"/>
      <c r="F202" s="3"/>
      <c r="G202" s="2"/>
      <c r="H202" s="2"/>
      <c r="I202" s="2"/>
      <c r="J202" s="2"/>
      <c r="K202" s="2"/>
      <c r="L202" s="2"/>
      <c r="M202" s="2"/>
      <c r="N202" s="2"/>
      <c r="O202" s="2"/>
      <c r="P202" s="2"/>
      <c r="Q202" s="2"/>
      <c r="R202" s="2"/>
      <c r="S202" s="2"/>
      <c r="T202" s="2"/>
      <c r="U202" s="2"/>
      <c r="V202" s="2"/>
      <c r="W202" s="2"/>
      <c r="X202" s="2"/>
      <c r="Y202" s="2"/>
      <c r="Z202" s="2"/>
    </row>
    <row r="203" ht="15.75" customHeight="1">
      <c r="A203" s="3"/>
      <c r="B203" s="3"/>
      <c r="C203" s="3"/>
      <c r="D203" s="3"/>
      <c r="E203" s="3"/>
      <c r="F203" s="3"/>
      <c r="G203" s="2"/>
      <c r="H203" s="2"/>
      <c r="I203" s="2"/>
      <c r="J203" s="2"/>
      <c r="K203" s="2"/>
      <c r="L203" s="2"/>
      <c r="M203" s="2"/>
      <c r="N203" s="2"/>
      <c r="O203" s="2"/>
      <c r="P203" s="2"/>
      <c r="Q203" s="2"/>
      <c r="R203" s="2"/>
      <c r="S203" s="2"/>
      <c r="T203" s="2"/>
      <c r="U203" s="2"/>
      <c r="V203" s="2"/>
      <c r="W203" s="2"/>
      <c r="X203" s="2"/>
      <c r="Y203" s="2"/>
      <c r="Z203" s="2"/>
    </row>
    <row r="204" ht="15.75" customHeight="1">
      <c r="A204" s="3"/>
      <c r="B204" s="3"/>
      <c r="C204" s="3"/>
      <c r="D204" s="3"/>
      <c r="E204" s="3"/>
      <c r="F204" s="3"/>
      <c r="G204" s="2"/>
      <c r="H204" s="2"/>
      <c r="I204" s="2"/>
      <c r="J204" s="2"/>
      <c r="K204" s="2"/>
      <c r="L204" s="2"/>
      <c r="M204" s="2"/>
      <c r="N204" s="2"/>
      <c r="O204" s="2"/>
      <c r="P204" s="2"/>
      <c r="Q204" s="2"/>
      <c r="R204" s="2"/>
      <c r="S204" s="2"/>
      <c r="T204" s="2"/>
      <c r="U204" s="2"/>
      <c r="V204" s="2"/>
      <c r="W204" s="2"/>
      <c r="X204" s="2"/>
      <c r="Y204" s="2"/>
      <c r="Z204" s="2"/>
    </row>
    <row r="205" ht="15.75" customHeight="1">
      <c r="A205" s="3"/>
      <c r="B205" s="3"/>
      <c r="C205" s="3"/>
      <c r="D205" s="3"/>
      <c r="E205" s="3"/>
      <c r="F205" s="3"/>
      <c r="G205" s="2"/>
      <c r="H205" s="2"/>
      <c r="I205" s="2"/>
      <c r="J205" s="2"/>
      <c r="K205" s="2"/>
      <c r="L205" s="2"/>
      <c r="M205" s="2"/>
      <c r="N205" s="2"/>
      <c r="O205" s="2"/>
      <c r="P205" s="2"/>
      <c r="Q205" s="2"/>
      <c r="R205" s="2"/>
      <c r="S205" s="2"/>
      <c r="T205" s="2"/>
      <c r="U205" s="2"/>
      <c r="V205" s="2"/>
      <c r="W205" s="2"/>
      <c r="X205" s="2"/>
      <c r="Y205" s="2"/>
      <c r="Z205" s="2"/>
    </row>
    <row r="206" ht="15.75" customHeight="1">
      <c r="A206" s="3"/>
      <c r="B206" s="3"/>
      <c r="C206" s="3"/>
      <c r="D206" s="3"/>
      <c r="E206" s="3"/>
      <c r="F206" s="3"/>
      <c r="G206" s="2"/>
      <c r="H206" s="2"/>
      <c r="I206" s="2"/>
      <c r="J206" s="2"/>
      <c r="K206" s="2"/>
      <c r="L206" s="2"/>
      <c r="M206" s="2"/>
      <c r="N206" s="2"/>
      <c r="O206" s="2"/>
      <c r="P206" s="2"/>
      <c r="Q206" s="2"/>
      <c r="R206" s="2"/>
      <c r="S206" s="2"/>
      <c r="T206" s="2"/>
      <c r="U206" s="2"/>
      <c r="V206" s="2"/>
      <c r="W206" s="2"/>
      <c r="X206" s="2"/>
      <c r="Y206" s="2"/>
      <c r="Z206" s="2"/>
    </row>
    <row r="207" ht="15.75" customHeight="1">
      <c r="A207" s="3"/>
      <c r="B207" s="3"/>
      <c r="C207" s="3"/>
      <c r="D207" s="3"/>
      <c r="E207" s="3"/>
      <c r="F207" s="3"/>
      <c r="G207" s="2"/>
      <c r="H207" s="2"/>
      <c r="I207" s="2"/>
      <c r="J207" s="2"/>
      <c r="K207" s="2"/>
      <c r="L207" s="2"/>
      <c r="M207" s="2"/>
      <c r="N207" s="2"/>
      <c r="O207" s="2"/>
      <c r="P207" s="2"/>
      <c r="Q207" s="2"/>
      <c r="R207" s="2"/>
      <c r="S207" s="2"/>
      <c r="T207" s="2"/>
      <c r="U207" s="2"/>
      <c r="V207" s="2"/>
      <c r="W207" s="2"/>
      <c r="X207" s="2"/>
      <c r="Y207" s="2"/>
      <c r="Z207" s="2"/>
    </row>
    <row r="208" ht="15.75" customHeight="1">
      <c r="A208" s="3"/>
      <c r="B208" s="3"/>
      <c r="C208" s="3"/>
      <c r="D208" s="3"/>
      <c r="E208" s="3"/>
      <c r="F208" s="3"/>
      <c r="G208" s="2"/>
      <c r="H208" s="2"/>
      <c r="I208" s="2"/>
      <c r="J208" s="2"/>
      <c r="K208" s="2"/>
      <c r="L208" s="2"/>
      <c r="M208" s="2"/>
      <c r="N208" s="2"/>
      <c r="O208" s="2"/>
      <c r="P208" s="2"/>
      <c r="Q208" s="2"/>
      <c r="R208" s="2"/>
      <c r="S208" s="2"/>
      <c r="T208" s="2"/>
      <c r="U208" s="2"/>
      <c r="V208" s="2"/>
      <c r="W208" s="2"/>
      <c r="X208" s="2"/>
      <c r="Y208" s="2"/>
      <c r="Z208" s="2"/>
    </row>
    <row r="209" ht="15.75" customHeight="1">
      <c r="A209" s="3"/>
      <c r="B209" s="3"/>
      <c r="C209" s="3"/>
      <c r="D209" s="3"/>
      <c r="E209" s="3"/>
      <c r="F209" s="3"/>
      <c r="G209" s="2"/>
      <c r="H209" s="2"/>
      <c r="I209" s="2"/>
      <c r="J209" s="2"/>
      <c r="K209" s="2"/>
      <c r="L209" s="2"/>
      <c r="M209" s="2"/>
      <c r="N209" s="2"/>
      <c r="O209" s="2"/>
      <c r="P209" s="2"/>
      <c r="Q209" s="2"/>
      <c r="R209" s="2"/>
      <c r="S209" s="2"/>
      <c r="T209" s="2"/>
      <c r="U209" s="2"/>
      <c r="V209" s="2"/>
      <c r="W209" s="2"/>
      <c r="X209" s="2"/>
      <c r="Y209" s="2"/>
      <c r="Z209" s="2"/>
    </row>
    <row r="210" ht="15.75" customHeight="1">
      <c r="A210" s="3"/>
      <c r="B210" s="3"/>
      <c r="C210" s="3"/>
      <c r="D210" s="3"/>
      <c r="E210" s="3"/>
      <c r="F210" s="3"/>
      <c r="G210" s="2"/>
      <c r="H210" s="2"/>
      <c r="I210" s="2"/>
      <c r="J210" s="2"/>
      <c r="K210" s="2"/>
      <c r="L210" s="2"/>
      <c r="M210" s="2"/>
      <c r="N210" s="2"/>
      <c r="O210" s="2"/>
      <c r="P210" s="2"/>
      <c r="Q210" s="2"/>
      <c r="R210" s="2"/>
      <c r="S210" s="2"/>
      <c r="T210" s="2"/>
      <c r="U210" s="2"/>
      <c r="V210" s="2"/>
      <c r="W210" s="2"/>
      <c r="X210" s="2"/>
      <c r="Y210" s="2"/>
      <c r="Z210" s="2"/>
    </row>
    <row r="211" ht="15.75" customHeight="1">
      <c r="A211" s="3"/>
      <c r="B211" s="3"/>
      <c r="C211" s="3"/>
      <c r="D211" s="3"/>
      <c r="E211" s="3"/>
      <c r="F211" s="3"/>
      <c r="G211" s="2"/>
      <c r="H211" s="2"/>
      <c r="I211" s="2"/>
      <c r="J211" s="2"/>
      <c r="K211" s="2"/>
      <c r="L211" s="2"/>
      <c r="M211" s="2"/>
      <c r="N211" s="2"/>
      <c r="O211" s="2"/>
      <c r="P211" s="2"/>
      <c r="Q211" s="2"/>
      <c r="R211" s="2"/>
      <c r="S211" s="2"/>
      <c r="T211" s="2"/>
      <c r="U211" s="2"/>
      <c r="V211" s="2"/>
      <c r="W211" s="2"/>
      <c r="X211" s="2"/>
      <c r="Y211" s="2"/>
      <c r="Z211" s="2"/>
    </row>
    <row r="212" ht="15.75" customHeight="1">
      <c r="A212" s="3"/>
      <c r="B212" s="3"/>
      <c r="C212" s="3"/>
      <c r="D212" s="3"/>
      <c r="E212" s="3"/>
      <c r="F212" s="3"/>
      <c r="G212" s="2"/>
      <c r="H212" s="2"/>
      <c r="I212" s="2"/>
      <c r="J212" s="2"/>
      <c r="K212" s="2"/>
      <c r="L212" s="2"/>
      <c r="M212" s="2"/>
      <c r="N212" s="2"/>
      <c r="O212" s="2"/>
      <c r="P212" s="2"/>
      <c r="Q212" s="2"/>
      <c r="R212" s="2"/>
      <c r="S212" s="2"/>
      <c r="T212" s="2"/>
      <c r="U212" s="2"/>
      <c r="V212" s="2"/>
      <c r="W212" s="2"/>
      <c r="X212" s="2"/>
      <c r="Y212" s="2"/>
      <c r="Z212" s="2"/>
    </row>
    <row r="213" ht="15.75" customHeight="1">
      <c r="A213" s="3"/>
      <c r="B213" s="3"/>
      <c r="C213" s="3"/>
      <c r="D213" s="3"/>
      <c r="E213" s="3"/>
      <c r="F213" s="3"/>
      <c r="G213" s="2"/>
      <c r="H213" s="2"/>
      <c r="I213" s="2"/>
      <c r="J213" s="2"/>
      <c r="K213" s="2"/>
      <c r="L213" s="2"/>
      <c r="M213" s="2"/>
      <c r="N213" s="2"/>
      <c r="O213" s="2"/>
      <c r="P213" s="2"/>
      <c r="Q213" s="2"/>
      <c r="R213" s="2"/>
      <c r="S213" s="2"/>
      <c r="T213" s="2"/>
      <c r="U213" s="2"/>
      <c r="V213" s="2"/>
      <c r="W213" s="2"/>
      <c r="X213" s="2"/>
      <c r="Y213" s="2"/>
      <c r="Z213" s="2"/>
    </row>
    <row r="214" ht="15.75" customHeight="1">
      <c r="A214" s="3"/>
      <c r="B214" s="3"/>
      <c r="C214" s="3"/>
      <c r="D214" s="3"/>
      <c r="E214" s="3"/>
      <c r="F214" s="3"/>
      <c r="G214" s="2"/>
      <c r="H214" s="2"/>
      <c r="I214" s="2"/>
      <c r="J214" s="2"/>
      <c r="K214" s="2"/>
      <c r="L214" s="2"/>
      <c r="M214" s="2"/>
      <c r="N214" s="2"/>
      <c r="O214" s="2"/>
      <c r="P214" s="2"/>
      <c r="Q214" s="2"/>
      <c r="R214" s="2"/>
      <c r="S214" s="2"/>
      <c r="T214" s="2"/>
      <c r="U214" s="2"/>
      <c r="V214" s="2"/>
      <c r="W214" s="2"/>
      <c r="X214" s="2"/>
      <c r="Y214" s="2"/>
      <c r="Z214" s="2"/>
    </row>
    <row r="215" ht="15.75" customHeight="1">
      <c r="A215" s="3"/>
      <c r="B215" s="3"/>
      <c r="C215" s="3"/>
      <c r="D215" s="3"/>
      <c r="E215" s="3"/>
      <c r="F215" s="3"/>
      <c r="G215" s="2"/>
      <c r="H215" s="2"/>
      <c r="I215" s="2"/>
      <c r="J215" s="2"/>
      <c r="K215" s="2"/>
      <c r="L215" s="2"/>
      <c r="M215" s="2"/>
      <c r="N215" s="2"/>
      <c r="O215" s="2"/>
      <c r="P215" s="2"/>
      <c r="Q215" s="2"/>
      <c r="R215" s="2"/>
      <c r="S215" s="2"/>
      <c r="T215" s="2"/>
      <c r="U215" s="2"/>
      <c r="V215" s="2"/>
      <c r="W215" s="2"/>
      <c r="X215" s="2"/>
      <c r="Y215" s="2"/>
      <c r="Z215" s="2"/>
    </row>
    <row r="216" ht="15.75" customHeight="1">
      <c r="A216" s="3"/>
      <c r="B216" s="3"/>
      <c r="C216" s="3"/>
      <c r="D216" s="3"/>
      <c r="E216" s="3"/>
      <c r="F216" s="3"/>
      <c r="G216" s="2"/>
      <c r="H216" s="2"/>
      <c r="I216" s="2"/>
      <c r="J216" s="2"/>
      <c r="K216" s="2"/>
      <c r="L216" s="2"/>
      <c r="M216" s="2"/>
      <c r="N216" s="2"/>
      <c r="O216" s="2"/>
      <c r="P216" s="2"/>
      <c r="Q216" s="2"/>
      <c r="R216" s="2"/>
      <c r="S216" s="2"/>
      <c r="T216" s="2"/>
      <c r="U216" s="2"/>
      <c r="V216" s="2"/>
      <c r="W216" s="2"/>
      <c r="X216" s="2"/>
      <c r="Y216" s="2"/>
      <c r="Z216" s="2"/>
    </row>
    <row r="217" ht="15.75" customHeight="1">
      <c r="A217" s="3"/>
      <c r="B217" s="3"/>
      <c r="C217" s="3"/>
      <c r="D217" s="3"/>
      <c r="E217" s="3"/>
      <c r="F217" s="3"/>
      <c r="G217" s="2"/>
      <c r="H217" s="2"/>
      <c r="I217" s="2"/>
      <c r="J217" s="2"/>
      <c r="K217" s="2"/>
      <c r="L217" s="2"/>
      <c r="M217" s="2"/>
      <c r="N217" s="2"/>
      <c r="O217" s="2"/>
      <c r="P217" s="2"/>
      <c r="Q217" s="2"/>
      <c r="R217" s="2"/>
      <c r="S217" s="2"/>
      <c r="T217" s="2"/>
      <c r="U217" s="2"/>
      <c r="V217" s="2"/>
      <c r="W217" s="2"/>
      <c r="X217" s="2"/>
      <c r="Y217" s="2"/>
      <c r="Z217" s="2"/>
    </row>
    <row r="218" ht="15.75" customHeight="1">
      <c r="A218" s="3"/>
      <c r="B218" s="3"/>
      <c r="C218" s="3"/>
      <c r="D218" s="3"/>
      <c r="E218" s="3"/>
      <c r="F218" s="3"/>
      <c r="G218" s="2"/>
      <c r="H218" s="2"/>
      <c r="I218" s="2"/>
      <c r="J218" s="2"/>
      <c r="K218" s="2"/>
      <c r="L218" s="2"/>
      <c r="M218" s="2"/>
      <c r="N218" s="2"/>
      <c r="O218" s="2"/>
      <c r="P218" s="2"/>
      <c r="Q218" s="2"/>
      <c r="R218" s="2"/>
      <c r="S218" s="2"/>
      <c r="T218" s="2"/>
      <c r="U218" s="2"/>
      <c r="V218" s="2"/>
      <c r="W218" s="2"/>
      <c r="X218" s="2"/>
      <c r="Y218" s="2"/>
      <c r="Z218" s="2"/>
    </row>
    <row r="219" ht="15.75" customHeight="1">
      <c r="A219" s="3"/>
      <c r="B219" s="3"/>
      <c r="C219" s="3"/>
      <c r="D219" s="3"/>
      <c r="E219" s="3"/>
      <c r="F219" s="3"/>
      <c r="G219" s="2"/>
      <c r="H219" s="2"/>
      <c r="I219" s="2"/>
      <c r="J219" s="2"/>
      <c r="K219" s="2"/>
      <c r="L219" s="2"/>
      <c r="M219" s="2"/>
      <c r="N219" s="2"/>
      <c r="O219" s="2"/>
      <c r="P219" s="2"/>
      <c r="Q219" s="2"/>
      <c r="R219" s="2"/>
      <c r="S219" s="2"/>
      <c r="T219" s="2"/>
      <c r="U219" s="2"/>
      <c r="V219" s="2"/>
      <c r="W219" s="2"/>
      <c r="X219" s="2"/>
      <c r="Y219" s="2"/>
      <c r="Z219" s="2"/>
    </row>
    <row r="220" ht="15.75" customHeight="1">
      <c r="A220" s="3"/>
      <c r="B220" s="3"/>
      <c r="C220" s="3"/>
      <c r="D220" s="3"/>
      <c r="E220" s="3"/>
      <c r="F220" s="3"/>
      <c r="G220" s="2"/>
      <c r="H220" s="2"/>
      <c r="I220" s="2"/>
      <c r="J220" s="2"/>
      <c r="K220" s="2"/>
      <c r="L220" s="2"/>
      <c r="M220" s="2"/>
      <c r="N220" s="2"/>
      <c r="O220" s="2"/>
      <c r="P220" s="2"/>
      <c r="Q220" s="2"/>
      <c r="R220" s="2"/>
      <c r="S220" s="2"/>
      <c r="T220" s="2"/>
      <c r="U220" s="2"/>
      <c r="V220" s="2"/>
      <c r="W220" s="2"/>
      <c r="X220" s="2"/>
      <c r="Y220" s="2"/>
      <c r="Z220" s="2"/>
    </row>
    <row r="221" ht="15.75" customHeight="1">
      <c r="A221" s="3"/>
      <c r="B221" s="3"/>
      <c r="C221" s="3"/>
      <c r="D221" s="3"/>
      <c r="E221" s="3"/>
      <c r="F221" s="3"/>
      <c r="G221" s="2"/>
      <c r="H221" s="2"/>
      <c r="I221" s="2"/>
      <c r="J221" s="2"/>
      <c r="K221" s="2"/>
      <c r="L221" s="2"/>
      <c r="M221" s="2"/>
      <c r="N221" s="2"/>
      <c r="O221" s="2"/>
      <c r="P221" s="2"/>
      <c r="Q221" s="2"/>
      <c r="R221" s="2"/>
      <c r="S221" s="2"/>
      <c r="T221" s="2"/>
      <c r="U221" s="2"/>
      <c r="V221" s="2"/>
      <c r="W221" s="2"/>
      <c r="X221" s="2"/>
      <c r="Y221" s="2"/>
      <c r="Z221" s="2"/>
    </row>
    <row r="222" ht="15.75" customHeight="1">
      <c r="A222" s="3"/>
      <c r="B222" s="3"/>
      <c r="C222" s="3"/>
      <c r="D222" s="3"/>
      <c r="E222" s="3"/>
      <c r="F222" s="3"/>
      <c r="G222" s="2"/>
      <c r="H222" s="2"/>
      <c r="I222" s="2"/>
      <c r="J222" s="2"/>
      <c r="K222" s="2"/>
      <c r="L222" s="2"/>
      <c r="M222" s="2"/>
      <c r="N222" s="2"/>
      <c r="O222" s="2"/>
      <c r="P222" s="2"/>
      <c r="Q222" s="2"/>
      <c r="R222" s="2"/>
      <c r="S222" s="2"/>
      <c r="T222" s="2"/>
      <c r="U222" s="2"/>
      <c r="V222" s="2"/>
      <c r="W222" s="2"/>
      <c r="X222" s="2"/>
      <c r="Y222" s="2"/>
      <c r="Z222" s="2"/>
    </row>
    <row r="223" ht="15.75" customHeight="1">
      <c r="A223" s="3"/>
      <c r="B223" s="3"/>
      <c r="C223" s="3"/>
      <c r="D223" s="3"/>
      <c r="E223" s="3"/>
      <c r="F223" s="3"/>
      <c r="G223" s="2"/>
      <c r="H223" s="2"/>
      <c r="I223" s="2"/>
      <c r="J223" s="2"/>
      <c r="K223" s="2"/>
      <c r="L223" s="2"/>
      <c r="M223" s="2"/>
      <c r="N223" s="2"/>
      <c r="O223" s="2"/>
      <c r="P223" s="2"/>
      <c r="Q223" s="2"/>
      <c r="R223" s="2"/>
      <c r="S223" s="2"/>
      <c r="T223" s="2"/>
      <c r="U223" s="2"/>
      <c r="V223" s="2"/>
      <c r="W223" s="2"/>
      <c r="X223" s="2"/>
      <c r="Y223" s="2"/>
      <c r="Z223" s="2"/>
    </row>
    <row r="224" ht="15.75" customHeight="1">
      <c r="A224" s="3"/>
      <c r="B224" s="3"/>
      <c r="C224" s="3"/>
      <c r="D224" s="3"/>
      <c r="E224" s="3"/>
      <c r="F224" s="3"/>
      <c r="G224" s="2"/>
      <c r="H224" s="2"/>
      <c r="I224" s="2"/>
      <c r="J224" s="2"/>
      <c r="K224" s="2"/>
      <c r="L224" s="2"/>
      <c r="M224" s="2"/>
      <c r="N224" s="2"/>
      <c r="O224" s="2"/>
      <c r="P224" s="2"/>
      <c r="Q224" s="2"/>
      <c r="R224" s="2"/>
      <c r="S224" s="2"/>
      <c r="T224" s="2"/>
      <c r="U224" s="2"/>
      <c r="V224" s="2"/>
      <c r="W224" s="2"/>
      <c r="X224" s="2"/>
      <c r="Y224" s="2"/>
      <c r="Z224" s="2"/>
    </row>
    <row r="225" ht="15.75" customHeight="1">
      <c r="A225" s="3"/>
      <c r="B225" s="3"/>
      <c r="C225" s="3"/>
      <c r="D225" s="3"/>
      <c r="E225" s="3"/>
      <c r="F225" s="3"/>
      <c r="G225" s="2"/>
      <c r="H225" s="2"/>
      <c r="I225" s="2"/>
      <c r="J225" s="2"/>
      <c r="K225" s="2"/>
      <c r="L225" s="2"/>
      <c r="M225" s="2"/>
      <c r="N225" s="2"/>
      <c r="O225" s="2"/>
      <c r="P225" s="2"/>
      <c r="Q225" s="2"/>
      <c r="R225" s="2"/>
      <c r="S225" s="2"/>
      <c r="T225" s="2"/>
      <c r="U225" s="2"/>
      <c r="V225" s="2"/>
      <c r="W225" s="2"/>
      <c r="X225" s="2"/>
      <c r="Y225" s="2"/>
      <c r="Z225" s="2"/>
    </row>
    <row r="226" ht="15.75" customHeight="1">
      <c r="A226" s="3"/>
      <c r="B226" s="3"/>
      <c r="C226" s="3"/>
      <c r="D226" s="3"/>
      <c r="E226" s="3"/>
      <c r="F226" s="3"/>
      <c r="G226" s="2"/>
      <c r="H226" s="2"/>
      <c r="I226" s="2"/>
      <c r="J226" s="2"/>
      <c r="K226" s="2"/>
      <c r="L226" s="2"/>
      <c r="M226" s="2"/>
      <c r="N226" s="2"/>
      <c r="O226" s="2"/>
      <c r="P226" s="2"/>
      <c r="Q226" s="2"/>
      <c r="R226" s="2"/>
      <c r="S226" s="2"/>
      <c r="T226" s="2"/>
      <c r="U226" s="2"/>
      <c r="V226" s="2"/>
      <c r="W226" s="2"/>
      <c r="X226" s="2"/>
      <c r="Y226" s="2"/>
      <c r="Z226" s="2"/>
    </row>
    <row r="227" ht="15.75" customHeight="1">
      <c r="A227" s="3"/>
      <c r="B227" s="3"/>
      <c r="C227" s="3"/>
      <c r="D227" s="3"/>
      <c r="E227" s="3"/>
      <c r="F227" s="3"/>
      <c r="G227" s="2"/>
      <c r="H227" s="2"/>
      <c r="I227" s="2"/>
      <c r="J227" s="2"/>
      <c r="K227" s="2"/>
      <c r="L227" s="2"/>
      <c r="M227" s="2"/>
      <c r="N227" s="2"/>
      <c r="O227" s="2"/>
      <c r="P227" s="2"/>
      <c r="Q227" s="2"/>
      <c r="R227" s="2"/>
      <c r="S227" s="2"/>
      <c r="T227" s="2"/>
      <c r="U227" s="2"/>
      <c r="V227" s="2"/>
      <c r="W227" s="2"/>
      <c r="X227" s="2"/>
      <c r="Y227" s="2"/>
      <c r="Z227" s="2"/>
    </row>
    <row r="228" ht="15.75" customHeight="1">
      <c r="A228" s="3"/>
      <c r="B228" s="3"/>
      <c r="C228" s="3"/>
      <c r="D228" s="3"/>
      <c r="E228" s="3"/>
      <c r="F228" s="3"/>
      <c r="G228" s="2"/>
      <c r="H228" s="2"/>
      <c r="I228" s="2"/>
      <c r="J228" s="2"/>
      <c r="K228" s="2"/>
      <c r="L228" s="2"/>
      <c r="M228" s="2"/>
      <c r="N228" s="2"/>
      <c r="O228" s="2"/>
      <c r="P228" s="2"/>
      <c r="Q228" s="2"/>
      <c r="R228" s="2"/>
      <c r="S228" s="2"/>
      <c r="T228" s="2"/>
      <c r="U228" s="2"/>
      <c r="V228" s="2"/>
      <c r="W228" s="2"/>
      <c r="X228" s="2"/>
      <c r="Y228" s="2"/>
      <c r="Z228" s="2"/>
    </row>
    <row r="229" ht="15.75" customHeight="1">
      <c r="A229" s="3"/>
      <c r="B229" s="3"/>
      <c r="C229" s="3"/>
      <c r="D229" s="3"/>
      <c r="E229" s="3"/>
      <c r="F229" s="3"/>
      <c r="G229" s="2"/>
      <c r="H229" s="2"/>
      <c r="I229" s="2"/>
      <c r="J229" s="2"/>
      <c r="K229" s="2"/>
      <c r="L229" s="2"/>
      <c r="M229" s="2"/>
      <c r="N229" s="2"/>
      <c r="O229" s="2"/>
      <c r="P229" s="2"/>
      <c r="Q229" s="2"/>
      <c r="R229" s="2"/>
      <c r="S229" s="2"/>
      <c r="T229" s="2"/>
      <c r="U229" s="2"/>
      <c r="V229" s="2"/>
      <c r="W229" s="2"/>
      <c r="X229" s="2"/>
      <c r="Y229" s="2"/>
      <c r="Z229" s="2"/>
    </row>
    <row r="230" ht="15.75" customHeight="1">
      <c r="A230" s="3"/>
      <c r="B230" s="3"/>
      <c r="C230" s="3"/>
      <c r="D230" s="3"/>
      <c r="E230" s="3"/>
      <c r="F230" s="3"/>
      <c r="G230" s="2"/>
      <c r="H230" s="2"/>
      <c r="I230" s="2"/>
      <c r="J230" s="2"/>
      <c r="K230" s="2"/>
      <c r="L230" s="2"/>
      <c r="M230" s="2"/>
      <c r="N230" s="2"/>
      <c r="O230" s="2"/>
      <c r="P230" s="2"/>
      <c r="Q230" s="2"/>
      <c r="R230" s="2"/>
      <c r="S230" s="2"/>
      <c r="T230" s="2"/>
      <c r="U230" s="2"/>
      <c r="V230" s="2"/>
      <c r="W230" s="2"/>
      <c r="X230" s="2"/>
      <c r="Y230" s="2"/>
      <c r="Z230" s="2"/>
    </row>
    <row r="231" ht="15.75" customHeight="1">
      <c r="A231" s="3"/>
      <c r="B231" s="3"/>
      <c r="C231" s="3"/>
      <c r="D231" s="3"/>
      <c r="E231" s="3"/>
      <c r="F231" s="3"/>
      <c r="G231" s="2"/>
      <c r="H231" s="2"/>
      <c r="I231" s="2"/>
      <c r="J231" s="2"/>
      <c r="K231" s="2"/>
      <c r="L231" s="2"/>
      <c r="M231" s="2"/>
      <c r="N231" s="2"/>
      <c r="O231" s="2"/>
      <c r="P231" s="2"/>
      <c r="Q231" s="2"/>
      <c r="R231" s="2"/>
      <c r="S231" s="2"/>
      <c r="T231" s="2"/>
      <c r="U231" s="2"/>
      <c r="V231" s="2"/>
      <c r="W231" s="2"/>
      <c r="X231" s="2"/>
      <c r="Y231" s="2"/>
      <c r="Z231" s="2"/>
    </row>
    <row r="232" ht="15.75" customHeight="1">
      <c r="A232" s="3"/>
      <c r="B232" s="3"/>
      <c r="C232" s="3"/>
      <c r="D232" s="3"/>
      <c r="E232" s="3"/>
      <c r="F232" s="3"/>
      <c r="G232" s="2"/>
      <c r="H232" s="2"/>
      <c r="I232" s="2"/>
      <c r="J232" s="2"/>
      <c r="K232" s="2"/>
      <c r="L232" s="2"/>
      <c r="M232" s="2"/>
      <c r="N232" s="2"/>
      <c r="O232" s="2"/>
      <c r="P232" s="2"/>
      <c r="Q232" s="2"/>
      <c r="R232" s="2"/>
      <c r="S232" s="2"/>
      <c r="T232" s="2"/>
      <c r="U232" s="2"/>
      <c r="V232" s="2"/>
      <c r="W232" s="2"/>
      <c r="X232" s="2"/>
      <c r="Y232" s="2"/>
      <c r="Z232" s="2"/>
    </row>
    <row r="233" ht="15.75" customHeight="1">
      <c r="A233" s="3"/>
      <c r="B233" s="3"/>
      <c r="C233" s="3"/>
      <c r="D233" s="3"/>
      <c r="E233" s="3"/>
      <c r="F233" s="3"/>
      <c r="G233" s="2"/>
      <c r="H233" s="2"/>
      <c r="I233" s="2"/>
      <c r="J233" s="2"/>
      <c r="K233" s="2"/>
      <c r="L233" s="2"/>
      <c r="M233" s="2"/>
      <c r="N233" s="2"/>
      <c r="O233" s="2"/>
      <c r="P233" s="2"/>
      <c r="Q233" s="2"/>
      <c r="R233" s="2"/>
      <c r="S233" s="2"/>
      <c r="T233" s="2"/>
      <c r="U233" s="2"/>
      <c r="V233" s="2"/>
      <c r="W233" s="2"/>
      <c r="X233" s="2"/>
      <c r="Y233" s="2"/>
      <c r="Z233" s="2"/>
    </row>
    <row r="234" ht="15.75" customHeight="1">
      <c r="A234" s="3"/>
      <c r="B234" s="3"/>
      <c r="C234" s="3"/>
      <c r="D234" s="3"/>
      <c r="E234" s="3"/>
      <c r="F234" s="3"/>
      <c r="G234" s="2"/>
      <c r="H234" s="2"/>
      <c r="I234" s="2"/>
      <c r="J234" s="2"/>
      <c r="K234" s="2"/>
      <c r="L234" s="2"/>
      <c r="M234" s="2"/>
      <c r="N234" s="2"/>
      <c r="O234" s="2"/>
      <c r="P234" s="2"/>
      <c r="Q234" s="2"/>
      <c r="R234" s="2"/>
      <c r="S234" s="2"/>
      <c r="T234" s="2"/>
      <c r="U234" s="2"/>
      <c r="V234" s="2"/>
      <c r="W234" s="2"/>
      <c r="X234" s="2"/>
      <c r="Y234" s="2"/>
      <c r="Z234" s="2"/>
    </row>
    <row r="235" ht="15.75" customHeight="1">
      <c r="A235" s="3"/>
      <c r="B235" s="3"/>
      <c r="C235" s="3"/>
      <c r="D235" s="3"/>
      <c r="E235" s="3"/>
      <c r="F235" s="3"/>
      <c r="G235" s="2"/>
      <c r="H235" s="2"/>
      <c r="I235" s="2"/>
      <c r="J235" s="2"/>
      <c r="K235" s="2"/>
      <c r="L235" s="2"/>
      <c r="M235" s="2"/>
      <c r="N235" s="2"/>
      <c r="O235" s="2"/>
      <c r="P235" s="2"/>
      <c r="Q235" s="2"/>
      <c r="R235" s="2"/>
      <c r="S235" s="2"/>
      <c r="T235" s="2"/>
      <c r="U235" s="2"/>
      <c r="V235" s="2"/>
      <c r="W235" s="2"/>
      <c r="X235" s="2"/>
      <c r="Y235" s="2"/>
      <c r="Z235" s="2"/>
    </row>
    <row r="236" ht="15.75" customHeight="1">
      <c r="A236" s="3"/>
      <c r="B236" s="3"/>
      <c r="C236" s="3"/>
      <c r="D236" s="3"/>
      <c r="E236" s="3"/>
      <c r="F236" s="3"/>
      <c r="G236" s="2"/>
      <c r="H236" s="2"/>
      <c r="I236" s="2"/>
      <c r="J236" s="2"/>
      <c r="K236" s="2"/>
      <c r="L236" s="2"/>
      <c r="M236" s="2"/>
      <c r="N236" s="2"/>
      <c r="O236" s="2"/>
      <c r="P236" s="2"/>
      <c r="Q236" s="2"/>
      <c r="R236" s="2"/>
      <c r="S236" s="2"/>
      <c r="T236" s="2"/>
      <c r="U236" s="2"/>
      <c r="V236" s="2"/>
      <c r="W236" s="2"/>
      <c r="X236" s="2"/>
      <c r="Y236" s="2"/>
      <c r="Z236" s="2"/>
    </row>
    <row r="237" ht="15.75" customHeight="1">
      <c r="A237" s="3"/>
      <c r="B237" s="3"/>
      <c r="C237" s="3"/>
      <c r="D237" s="3"/>
      <c r="E237" s="3"/>
      <c r="F237" s="3"/>
      <c r="G237" s="2"/>
      <c r="H237" s="2"/>
      <c r="I237" s="2"/>
      <c r="J237" s="2"/>
      <c r="K237" s="2"/>
      <c r="L237" s="2"/>
      <c r="M237" s="2"/>
      <c r="N237" s="2"/>
      <c r="O237" s="2"/>
      <c r="P237" s="2"/>
      <c r="Q237" s="2"/>
      <c r="R237" s="2"/>
      <c r="S237" s="2"/>
      <c r="T237" s="2"/>
      <c r="U237" s="2"/>
      <c r="V237" s="2"/>
      <c r="W237" s="2"/>
      <c r="X237" s="2"/>
      <c r="Y237" s="2"/>
      <c r="Z237" s="2"/>
    </row>
    <row r="238" ht="15.75" customHeight="1">
      <c r="A238" s="3"/>
      <c r="B238" s="3"/>
      <c r="C238" s="3"/>
      <c r="D238" s="3"/>
      <c r="E238" s="3"/>
      <c r="F238" s="3"/>
      <c r="G238" s="2"/>
      <c r="H238" s="2"/>
      <c r="I238" s="2"/>
      <c r="J238" s="2"/>
      <c r="K238" s="2"/>
      <c r="L238" s="2"/>
      <c r="M238" s="2"/>
      <c r="N238" s="2"/>
      <c r="O238" s="2"/>
      <c r="P238" s="2"/>
      <c r="Q238" s="2"/>
      <c r="R238" s="2"/>
      <c r="S238" s="2"/>
      <c r="T238" s="2"/>
      <c r="U238" s="2"/>
      <c r="V238" s="2"/>
      <c r="W238" s="2"/>
      <c r="X238" s="2"/>
      <c r="Y238" s="2"/>
      <c r="Z238" s="2"/>
    </row>
    <row r="239" ht="15.75" customHeight="1">
      <c r="A239" s="3"/>
      <c r="B239" s="3"/>
      <c r="C239" s="3"/>
      <c r="D239" s="3"/>
      <c r="E239" s="3"/>
      <c r="F239" s="3"/>
      <c r="G239" s="2"/>
      <c r="H239" s="2"/>
      <c r="I239" s="2"/>
      <c r="J239" s="2"/>
      <c r="K239" s="2"/>
      <c r="L239" s="2"/>
      <c r="M239" s="2"/>
      <c r="N239" s="2"/>
      <c r="O239" s="2"/>
      <c r="P239" s="2"/>
      <c r="Q239" s="2"/>
      <c r="R239" s="2"/>
      <c r="S239" s="2"/>
      <c r="T239" s="2"/>
      <c r="U239" s="2"/>
      <c r="V239" s="2"/>
      <c r="W239" s="2"/>
      <c r="X239" s="2"/>
      <c r="Y239" s="2"/>
      <c r="Z239" s="2"/>
    </row>
    <row r="240" ht="15.75" customHeight="1">
      <c r="A240" s="3"/>
      <c r="B240" s="3"/>
      <c r="C240" s="3"/>
      <c r="D240" s="3"/>
      <c r="E240" s="3"/>
      <c r="F240" s="3"/>
      <c r="G240" s="2"/>
      <c r="H240" s="2"/>
      <c r="I240" s="2"/>
      <c r="J240" s="2"/>
      <c r="K240" s="2"/>
      <c r="L240" s="2"/>
      <c r="M240" s="2"/>
      <c r="N240" s="2"/>
      <c r="O240" s="2"/>
      <c r="P240" s="2"/>
      <c r="Q240" s="2"/>
      <c r="R240" s="2"/>
      <c r="S240" s="2"/>
      <c r="T240" s="2"/>
      <c r="U240" s="2"/>
      <c r="V240" s="2"/>
      <c r="W240" s="2"/>
      <c r="X240" s="2"/>
      <c r="Y240" s="2"/>
      <c r="Z240" s="2"/>
    </row>
    <row r="241" ht="15.75" customHeight="1">
      <c r="A241" s="3"/>
      <c r="B241" s="3"/>
      <c r="C241" s="3"/>
      <c r="D241" s="3"/>
      <c r="E241" s="3"/>
      <c r="F241" s="3"/>
      <c r="G241" s="2"/>
      <c r="H241" s="2"/>
      <c r="I241" s="2"/>
      <c r="J241" s="2"/>
      <c r="K241" s="2"/>
      <c r="L241" s="2"/>
      <c r="M241" s="2"/>
      <c r="N241" s="2"/>
      <c r="O241" s="2"/>
      <c r="P241" s="2"/>
      <c r="Q241" s="2"/>
      <c r="R241" s="2"/>
      <c r="S241" s="2"/>
      <c r="T241" s="2"/>
      <c r="U241" s="2"/>
      <c r="V241" s="2"/>
      <c r="W241" s="2"/>
      <c r="X241" s="2"/>
      <c r="Y241" s="2"/>
      <c r="Z241" s="2"/>
    </row>
    <row r="242" ht="15.75" customHeight="1">
      <c r="A242" s="3"/>
      <c r="B242" s="3"/>
      <c r="C242" s="3"/>
      <c r="D242" s="3"/>
      <c r="E242" s="3"/>
      <c r="F242" s="3"/>
      <c r="G242" s="2"/>
      <c r="H242" s="2"/>
      <c r="I242" s="2"/>
      <c r="J242" s="2"/>
      <c r="K242" s="2"/>
      <c r="L242" s="2"/>
      <c r="M242" s="2"/>
      <c r="N242" s="2"/>
      <c r="O242" s="2"/>
      <c r="P242" s="2"/>
      <c r="Q242" s="2"/>
      <c r="R242" s="2"/>
      <c r="S242" s="2"/>
      <c r="T242" s="2"/>
      <c r="U242" s="2"/>
      <c r="V242" s="2"/>
      <c r="W242" s="2"/>
      <c r="X242" s="2"/>
      <c r="Y242" s="2"/>
      <c r="Z242" s="2"/>
    </row>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E2:E44">
      <formula1>"High,Medium,Baja"</formula1>
    </dataValidation>
  </dataValidations>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3.0"/>
    <col customWidth="1" min="2" max="2" width="14.0"/>
    <col customWidth="1" min="3" max="3" width="27.0"/>
    <col customWidth="1" min="4" max="4" width="38.0"/>
    <col customWidth="1" min="5" max="5" width="70.0"/>
    <col customWidth="1" min="6" max="6" width="12.0"/>
    <col customWidth="1" min="7" max="26" width="8.63"/>
  </cols>
  <sheetData>
    <row r="1">
      <c r="A1" s="1" t="s">
        <v>1</v>
      </c>
      <c r="B1" s="1" t="s">
        <v>2</v>
      </c>
      <c r="C1" s="1" t="s">
        <v>6</v>
      </c>
      <c r="D1" s="1" t="s">
        <v>4</v>
      </c>
      <c r="E1" s="1" t="s">
        <v>11</v>
      </c>
      <c r="F1" s="1" t="s">
        <v>5</v>
      </c>
      <c r="G1" s="2"/>
      <c r="H1" s="2"/>
      <c r="I1" s="2"/>
      <c r="J1" s="2"/>
      <c r="K1" s="2"/>
      <c r="L1" s="2"/>
      <c r="M1" s="2"/>
      <c r="N1" s="2"/>
      <c r="O1" s="2"/>
      <c r="P1" s="2"/>
      <c r="Q1" s="2"/>
      <c r="R1" s="2"/>
      <c r="S1" s="2"/>
      <c r="T1" s="2"/>
      <c r="U1" s="2"/>
      <c r="V1" s="2"/>
      <c r="W1" s="2"/>
      <c r="X1" s="2"/>
      <c r="Y1" s="2"/>
      <c r="Z1" s="2"/>
    </row>
    <row r="2" ht="58.5" customHeight="1">
      <c r="A2" s="4" t="s">
        <v>20</v>
      </c>
      <c r="B2" s="4" t="s">
        <v>22</v>
      </c>
      <c r="C2" s="4" t="s">
        <v>23</v>
      </c>
      <c r="D2" s="4" t="s">
        <v>24</v>
      </c>
      <c r="E2" s="5" t="s">
        <v>26</v>
      </c>
      <c r="F2" s="4" t="s">
        <v>27</v>
      </c>
      <c r="G2" s="2"/>
      <c r="H2" s="2"/>
      <c r="I2" s="2"/>
      <c r="J2" s="2"/>
      <c r="K2" s="2"/>
      <c r="L2" s="2"/>
      <c r="M2" s="2"/>
      <c r="N2" s="2"/>
      <c r="O2" s="2"/>
      <c r="P2" s="2"/>
      <c r="Q2" s="2"/>
      <c r="R2" s="2"/>
      <c r="S2" s="2"/>
      <c r="T2" s="2"/>
      <c r="U2" s="2"/>
      <c r="V2" s="2"/>
      <c r="W2" s="2"/>
      <c r="X2" s="2"/>
      <c r="Y2" s="2"/>
      <c r="Z2" s="2"/>
    </row>
    <row r="3" ht="97.5" customHeight="1">
      <c r="A3" s="4" t="s">
        <v>42</v>
      </c>
      <c r="B3" s="4" t="s">
        <v>22</v>
      </c>
      <c r="C3" s="4" t="s">
        <v>44</v>
      </c>
      <c r="D3" s="4" t="s">
        <v>45</v>
      </c>
      <c r="E3" s="5" t="s">
        <v>46</v>
      </c>
      <c r="F3" s="4" t="s">
        <v>27</v>
      </c>
      <c r="G3" s="2"/>
      <c r="H3" s="2"/>
      <c r="I3" s="2"/>
      <c r="J3" s="2"/>
      <c r="K3" s="2"/>
      <c r="L3" s="2"/>
      <c r="M3" s="2"/>
      <c r="N3" s="2"/>
      <c r="O3" s="2"/>
      <c r="P3" s="2"/>
      <c r="Q3" s="2"/>
      <c r="R3" s="2"/>
      <c r="S3" s="2"/>
      <c r="T3" s="2"/>
      <c r="U3" s="2"/>
      <c r="V3" s="2"/>
      <c r="W3" s="2"/>
      <c r="X3" s="2"/>
      <c r="Y3" s="2"/>
      <c r="Z3" s="2"/>
    </row>
    <row r="4" ht="69.75" customHeight="1">
      <c r="A4" s="4" t="s">
        <v>57</v>
      </c>
      <c r="B4" s="4" t="s">
        <v>22</v>
      </c>
      <c r="C4" s="4" t="s">
        <v>23</v>
      </c>
      <c r="D4" s="4" t="s">
        <v>60</v>
      </c>
      <c r="E4" s="5" t="s">
        <v>61</v>
      </c>
      <c r="F4" s="4" t="s">
        <v>27</v>
      </c>
      <c r="G4" s="2"/>
      <c r="H4" s="2"/>
      <c r="I4" s="2"/>
      <c r="J4" s="2"/>
      <c r="K4" s="2"/>
      <c r="L4" s="2"/>
      <c r="M4" s="2"/>
      <c r="N4" s="2"/>
      <c r="O4" s="2"/>
      <c r="P4" s="2"/>
      <c r="Q4" s="2"/>
      <c r="R4" s="2"/>
      <c r="S4" s="2"/>
      <c r="T4" s="2"/>
      <c r="U4" s="2"/>
      <c r="V4" s="2"/>
      <c r="W4" s="2"/>
      <c r="X4" s="2"/>
      <c r="Y4" s="2"/>
      <c r="Z4" s="2"/>
    </row>
    <row r="5" ht="58.5" customHeight="1">
      <c r="A5" s="4" t="s">
        <v>62</v>
      </c>
      <c r="B5" s="4" t="s">
        <v>22</v>
      </c>
      <c r="C5" s="4" t="s">
        <v>63</v>
      </c>
      <c r="D5" s="4" t="s">
        <v>64</v>
      </c>
      <c r="E5" s="5" t="s">
        <v>65</v>
      </c>
      <c r="F5" s="4" t="s">
        <v>27</v>
      </c>
      <c r="G5" s="2"/>
      <c r="H5" s="2"/>
      <c r="I5" s="2"/>
      <c r="J5" s="2"/>
      <c r="K5" s="2"/>
      <c r="L5" s="2"/>
      <c r="M5" s="2"/>
      <c r="N5" s="2"/>
      <c r="O5" s="2"/>
      <c r="P5" s="2"/>
      <c r="Q5" s="2"/>
      <c r="R5" s="2"/>
      <c r="S5" s="2"/>
      <c r="T5" s="2"/>
      <c r="U5" s="2"/>
      <c r="V5" s="2"/>
      <c r="W5" s="2"/>
      <c r="X5" s="2"/>
      <c r="Y5" s="2"/>
      <c r="Z5" s="2"/>
    </row>
    <row r="6" ht="111.75" customHeight="1">
      <c r="A6" s="4" t="s">
        <v>76</v>
      </c>
      <c r="B6" s="4" t="s">
        <v>22</v>
      </c>
      <c r="C6" s="4" t="s">
        <v>78</v>
      </c>
      <c r="D6" s="4" t="s">
        <v>80</v>
      </c>
      <c r="E6" s="5" t="s">
        <v>81</v>
      </c>
      <c r="F6" s="4" t="s">
        <v>27</v>
      </c>
      <c r="G6" s="2"/>
      <c r="H6" s="2"/>
      <c r="I6" s="2"/>
      <c r="J6" s="2"/>
      <c r="K6" s="2"/>
      <c r="L6" s="2"/>
      <c r="M6" s="2"/>
      <c r="N6" s="2"/>
      <c r="O6" s="2"/>
      <c r="P6" s="2"/>
      <c r="Q6" s="2"/>
      <c r="R6" s="2"/>
      <c r="S6" s="2"/>
      <c r="T6" s="2"/>
      <c r="U6" s="2"/>
      <c r="V6" s="2"/>
      <c r="W6" s="2"/>
      <c r="X6" s="2"/>
      <c r="Y6" s="2"/>
      <c r="Z6" s="2"/>
    </row>
    <row r="7">
      <c r="A7" s="4" t="s">
        <v>94</v>
      </c>
      <c r="B7" s="4" t="s">
        <v>22</v>
      </c>
      <c r="C7" s="4" t="s">
        <v>78</v>
      </c>
      <c r="D7" s="4" t="s">
        <v>96</v>
      </c>
      <c r="E7" s="5" t="s">
        <v>99</v>
      </c>
      <c r="F7" s="4" t="s">
        <v>27</v>
      </c>
      <c r="G7" s="2"/>
      <c r="H7" s="2"/>
      <c r="I7" s="2"/>
      <c r="J7" s="2"/>
      <c r="K7" s="2"/>
      <c r="L7" s="2"/>
      <c r="M7" s="2"/>
      <c r="N7" s="2"/>
      <c r="O7" s="2"/>
      <c r="P7" s="2"/>
      <c r="Q7" s="2"/>
      <c r="R7" s="2"/>
      <c r="S7" s="2"/>
      <c r="T7" s="2"/>
      <c r="U7" s="2"/>
      <c r="V7" s="2"/>
      <c r="W7" s="2"/>
      <c r="X7" s="2"/>
      <c r="Y7" s="2"/>
      <c r="Z7" s="2"/>
    </row>
    <row r="8" ht="97.5" customHeight="1">
      <c r="A8" s="4" t="s">
        <v>107</v>
      </c>
      <c r="B8" s="4" t="s">
        <v>22</v>
      </c>
      <c r="C8" s="4" t="s">
        <v>78</v>
      </c>
      <c r="D8" s="4" t="s">
        <v>108</v>
      </c>
      <c r="E8" s="5" t="s">
        <v>110</v>
      </c>
      <c r="F8" s="4" t="s">
        <v>27</v>
      </c>
      <c r="G8" s="2"/>
      <c r="H8" s="2"/>
      <c r="I8" s="2"/>
      <c r="J8" s="2"/>
      <c r="K8" s="2"/>
      <c r="L8" s="2"/>
      <c r="M8" s="2"/>
      <c r="N8" s="2"/>
      <c r="O8" s="2"/>
      <c r="P8" s="2"/>
      <c r="Q8" s="2"/>
      <c r="R8" s="2"/>
      <c r="S8" s="2"/>
      <c r="T8" s="2"/>
      <c r="U8" s="2"/>
      <c r="V8" s="2"/>
      <c r="W8" s="2"/>
      <c r="X8" s="2"/>
      <c r="Y8" s="2"/>
      <c r="Z8" s="2"/>
    </row>
    <row r="9" ht="97.5" customHeight="1">
      <c r="A9" s="4" t="s">
        <v>124</v>
      </c>
      <c r="B9" s="4" t="s">
        <v>22</v>
      </c>
      <c r="C9" s="4" t="s">
        <v>78</v>
      </c>
      <c r="D9" s="4" t="s">
        <v>126</v>
      </c>
      <c r="E9" s="5" t="s">
        <v>128</v>
      </c>
      <c r="F9" s="4" t="s">
        <v>27</v>
      </c>
      <c r="G9" s="2"/>
      <c r="H9" s="2"/>
      <c r="I9" s="2"/>
      <c r="J9" s="2"/>
      <c r="K9" s="2"/>
      <c r="L9" s="2"/>
      <c r="M9" s="2"/>
      <c r="N9" s="2"/>
      <c r="O9" s="2"/>
      <c r="P9" s="2"/>
      <c r="Q9" s="2"/>
      <c r="R9" s="2"/>
      <c r="S9" s="2"/>
      <c r="T9" s="2"/>
      <c r="U9" s="2"/>
      <c r="V9" s="2"/>
      <c r="W9" s="2"/>
      <c r="X9" s="2"/>
      <c r="Y9" s="2"/>
      <c r="Z9" s="2"/>
    </row>
    <row r="10" ht="72.0" customHeight="1">
      <c r="A10" s="4" t="s">
        <v>138</v>
      </c>
      <c r="B10" s="4" t="s">
        <v>22</v>
      </c>
      <c r="C10" s="4" t="s">
        <v>139</v>
      </c>
      <c r="D10" s="4" t="s">
        <v>141</v>
      </c>
      <c r="E10" s="5" t="s">
        <v>142</v>
      </c>
      <c r="F10" s="4" t="s">
        <v>27</v>
      </c>
      <c r="G10" s="2"/>
      <c r="H10" s="2"/>
      <c r="I10" s="2"/>
      <c r="J10" s="2"/>
      <c r="K10" s="2"/>
      <c r="L10" s="2"/>
      <c r="M10" s="2"/>
      <c r="N10" s="2"/>
      <c r="O10" s="2"/>
      <c r="P10" s="2"/>
      <c r="Q10" s="2"/>
      <c r="R10" s="2"/>
      <c r="S10" s="2"/>
      <c r="T10" s="2"/>
      <c r="U10" s="2"/>
      <c r="V10" s="2"/>
      <c r="W10" s="2"/>
      <c r="X10" s="2"/>
      <c r="Y10" s="2"/>
      <c r="Z10" s="2"/>
    </row>
    <row r="11" ht="58.5" customHeight="1">
      <c r="A11" s="4" t="s">
        <v>151</v>
      </c>
      <c r="B11" s="4" t="s">
        <v>22</v>
      </c>
      <c r="C11" s="4" t="s">
        <v>152</v>
      </c>
      <c r="D11" s="4" t="s">
        <v>153</v>
      </c>
      <c r="E11" s="5" t="s">
        <v>154</v>
      </c>
      <c r="F11" s="4" t="s">
        <v>27</v>
      </c>
      <c r="G11" s="2"/>
      <c r="H11" s="2"/>
      <c r="I11" s="2"/>
      <c r="J11" s="2"/>
      <c r="K11" s="2"/>
      <c r="L11" s="2"/>
      <c r="M11" s="2"/>
      <c r="N11" s="2"/>
      <c r="O11" s="2"/>
      <c r="P11" s="2"/>
      <c r="Q11" s="2"/>
      <c r="R11" s="2"/>
      <c r="S11" s="2"/>
      <c r="T11" s="2"/>
      <c r="U11" s="2"/>
      <c r="V11" s="2"/>
      <c r="W11" s="2"/>
      <c r="X11" s="2"/>
      <c r="Y11" s="2"/>
      <c r="Z11" s="2"/>
    </row>
    <row r="12" ht="58.5" customHeight="1">
      <c r="A12" s="4" t="s">
        <v>164</v>
      </c>
      <c r="B12" s="4" t="s">
        <v>22</v>
      </c>
      <c r="C12" s="4" t="s">
        <v>152</v>
      </c>
      <c r="D12" s="4" t="s">
        <v>165</v>
      </c>
      <c r="E12" s="5" t="s">
        <v>166</v>
      </c>
      <c r="F12" s="4" t="s">
        <v>169</v>
      </c>
      <c r="G12" s="2"/>
      <c r="H12" s="2"/>
      <c r="I12" s="2"/>
      <c r="J12" s="2"/>
      <c r="K12" s="2"/>
      <c r="L12" s="2"/>
      <c r="M12" s="2"/>
      <c r="N12" s="2"/>
      <c r="O12" s="2"/>
      <c r="P12" s="2"/>
      <c r="Q12" s="2"/>
      <c r="R12" s="2"/>
      <c r="S12" s="2"/>
      <c r="T12" s="2"/>
      <c r="U12" s="2"/>
      <c r="V12" s="2"/>
      <c r="W12" s="2"/>
      <c r="X12" s="2"/>
      <c r="Y12" s="2"/>
      <c r="Z12" s="2"/>
    </row>
    <row r="13" ht="84.0" customHeight="1">
      <c r="A13" s="4" t="s">
        <v>180</v>
      </c>
      <c r="B13" s="4" t="s">
        <v>22</v>
      </c>
      <c r="C13" s="4" t="s">
        <v>181</v>
      </c>
      <c r="D13" s="4" t="s">
        <v>182</v>
      </c>
      <c r="E13" s="5" t="s">
        <v>183</v>
      </c>
      <c r="F13" s="4" t="s">
        <v>27</v>
      </c>
      <c r="G13" s="2"/>
      <c r="H13" s="2"/>
      <c r="I13" s="2"/>
      <c r="J13" s="2"/>
      <c r="K13" s="2"/>
      <c r="L13" s="2"/>
      <c r="M13" s="2"/>
      <c r="N13" s="2"/>
      <c r="O13" s="2"/>
      <c r="P13" s="2"/>
      <c r="Q13" s="2"/>
      <c r="R13" s="2"/>
      <c r="S13" s="2"/>
      <c r="T13" s="2"/>
      <c r="U13" s="2"/>
      <c r="V13" s="2"/>
      <c r="W13" s="2"/>
      <c r="X13" s="2"/>
      <c r="Y13" s="2"/>
      <c r="Z13" s="2"/>
    </row>
    <row r="14" ht="126.0" customHeight="1">
      <c r="A14" s="4" t="s">
        <v>189</v>
      </c>
      <c r="B14" s="4" t="s">
        <v>22</v>
      </c>
      <c r="C14" s="4" t="s">
        <v>193</v>
      </c>
      <c r="D14" s="4" t="s">
        <v>195</v>
      </c>
      <c r="E14" s="5" t="s">
        <v>197</v>
      </c>
      <c r="F14" s="4" t="s">
        <v>27</v>
      </c>
      <c r="G14" s="2"/>
      <c r="H14" s="2"/>
      <c r="I14" s="2"/>
      <c r="J14" s="2"/>
      <c r="K14" s="2"/>
      <c r="L14" s="2"/>
      <c r="M14" s="2"/>
      <c r="N14" s="2"/>
      <c r="O14" s="2"/>
      <c r="P14" s="2"/>
      <c r="Q14" s="2"/>
      <c r="R14" s="2"/>
      <c r="S14" s="2"/>
      <c r="T14" s="2"/>
      <c r="U14" s="2"/>
      <c r="V14" s="2"/>
      <c r="W14" s="2"/>
      <c r="X14" s="2"/>
      <c r="Y14" s="2"/>
      <c r="Z14" s="2"/>
    </row>
    <row r="15">
      <c r="A15" s="4" t="s">
        <v>199</v>
      </c>
      <c r="B15" s="4" t="s">
        <v>22</v>
      </c>
      <c r="C15" s="4" t="s">
        <v>193</v>
      </c>
      <c r="D15" s="4" t="s">
        <v>202</v>
      </c>
      <c r="E15" s="5" t="s">
        <v>204</v>
      </c>
      <c r="F15" s="4" t="s">
        <v>27</v>
      </c>
      <c r="G15" s="2"/>
      <c r="H15" s="2"/>
      <c r="I15" s="2"/>
      <c r="J15" s="2"/>
      <c r="K15" s="2"/>
      <c r="L15" s="2"/>
      <c r="M15" s="2"/>
      <c r="N15" s="2"/>
      <c r="O15" s="2"/>
      <c r="P15" s="2"/>
      <c r="Q15" s="2"/>
      <c r="R15" s="2"/>
      <c r="S15" s="2"/>
      <c r="T15" s="2"/>
      <c r="U15" s="2"/>
      <c r="V15" s="2"/>
      <c r="W15" s="2"/>
      <c r="X15" s="2"/>
      <c r="Y15" s="2"/>
      <c r="Z15" s="2"/>
    </row>
    <row r="16" ht="111.75" customHeight="1">
      <c r="A16" s="4" t="s">
        <v>211</v>
      </c>
      <c r="B16" s="4" t="s">
        <v>22</v>
      </c>
      <c r="C16" s="4" t="s">
        <v>213</v>
      </c>
      <c r="D16" s="4" t="s">
        <v>214</v>
      </c>
      <c r="E16" s="5" t="s">
        <v>215</v>
      </c>
      <c r="F16" s="4" t="s">
        <v>27</v>
      </c>
      <c r="G16" s="2"/>
      <c r="H16" s="2"/>
      <c r="I16" s="2"/>
      <c r="J16" s="2"/>
      <c r="K16" s="2"/>
      <c r="L16" s="2"/>
      <c r="M16" s="2"/>
      <c r="N16" s="2"/>
      <c r="O16" s="2"/>
      <c r="P16" s="2"/>
      <c r="Q16" s="2"/>
      <c r="R16" s="2"/>
      <c r="S16" s="2"/>
      <c r="T16" s="2"/>
      <c r="U16" s="2"/>
      <c r="V16" s="2"/>
      <c r="W16" s="2"/>
      <c r="X16" s="2"/>
      <c r="Y16" s="2"/>
      <c r="Z16" s="2"/>
    </row>
    <row r="17" ht="84.0" customHeight="1">
      <c r="A17" s="4" t="s">
        <v>219</v>
      </c>
      <c r="B17" s="4" t="s">
        <v>22</v>
      </c>
      <c r="C17" s="4" t="s">
        <v>221</v>
      </c>
      <c r="D17" s="4" t="s">
        <v>222</v>
      </c>
      <c r="E17" s="5" t="s">
        <v>225</v>
      </c>
      <c r="F17" s="4" t="s">
        <v>27</v>
      </c>
      <c r="G17" s="2"/>
      <c r="H17" s="2"/>
      <c r="I17" s="2"/>
      <c r="J17" s="2"/>
      <c r="K17" s="2"/>
      <c r="L17" s="2"/>
      <c r="M17" s="2"/>
      <c r="N17" s="2"/>
      <c r="O17" s="2"/>
      <c r="P17" s="2"/>
      <c r="Q17" s="2"/>
      <c r="R17" s="2"/>
      <c r="S17" s="2"/>
      <c r="T17" s="2"/>
      <c r="U17" s="2"/>
      <c r="V17" s="2"/>
      <c r="W17" s="2"/>
      <c r="X17" s="2"/>
      <c r="Y17" s="2"/>
      <c r="Z17" s="2"/>
    </row>
    <row r="18" ht="139.5" customHeight="1">
      <c r="A18" s="4" t="s">
        <v>232</v>
      </c>
      <c r="B18" s="4" t="s">
        <v>22</v>
      </c>
      <c r="C18" s="4" t="s">
        <v>233</v>
      </c>
      <c r="D18" s="4" t="s">
        <v>234</v>
      </c>
      <c r="E18" s="5" t="s">
        <v>235</v>
      </c>
      <c r="F18" s="4" t="s">
        <v>27</v>
      </c>
      <c r="G18" s="2"/>
      <c r="H18" s="2"/>
      <c r="I18" s="2"/>
      <c r="J18" s="2"/>
      <c r="K18" s="2"/>
      <c r="L18" s="2"/>
      <c r="M18" s="2"/>
      <c r="N18" s="2"/>
      <c r="O18" s="2"/>
      <c r="P18" s="2"/>
      <c r="Q18" s="2"/>
      <c r="R18" s="2"/>
      <c r="S18" s="2"/>
      <c r="T18" s="2"/>
      <c r="U18" s="2"/>
      <c r="V18" s="2"/>
      <c r="W18" s="2"/>
      <c r="X18" s="2"/>
      <c r="Y18" s="2"/>
      <c r="Z18" s="2"/>
    </row>
    <row r="19" ht="97.5" customHeight="1">
      <c r="A19" s="4" t="s">
        <v>245</v>
      </c>
      <c r="B19" s="4" t="s">
        <v>22</v>
      </c>
      <c r="C19" s="4" t="s">
        <v>233</v>
      </c>
      <c r="D19" s="4" t="s">
        <v>248</v>
      </c>
      <c r="E19" s="5" t="s">
        <v>249</v>
      </c>
      <c r="F19" s="4" t="s">
        <v>169</v>
      </c>
      <c r="G19" s="2"/>
      <c r="H19" s="2"/>
      <c r="I19" s="2"/>
      <c r="J19" s="2"/>
      <c r="K19" s="2"/>
      <c r="L19" s="2"/>
      <c r="M19" s="2"/>
      <c r="N19" s="2"/>
      <c r="O19" s="2"/>
      <c r="P19" s="2"/>
      <c r="Q19" s="2"/>
      <c r="R19" s="2"/>
      <c r="S19" s="2"/>
      <c r="T19" s="2"/>
      <c r="U19" s="2"/>
      <c r="V19" s="2"/>
      <c r="W19" s="2"/>
      <c r="X19" s="2"/>
      <c r="Y19" s="2"/>
      <c r="Z19" s="2"/>
    </row>
    <row r="20" ht="111.75" customHeight="1">
      <c r="A20" s="4" t="s">
        <v>253</v>
      </c>
      <c r="B20" s="4" t="s">
        <v>22</v>
      </c>
      <c r="C20" s="4" t="s">
        <v>257</v>
      </c>
      <c r="D20" s="4" t="s">
        <v>260</v>
      </c>
      <c r="E20" s="5" t="s">
        <v>262</v>
      </c>
      <c r="F20" s="4" t="s">
        <v>27</v>
      </c>
      <c r="G20" s="2"/>
      <c r="H20" s="2"/>
      <c r="I20" s="2"/>
      <c r="J20" s="2"/>
      <c r="K20" s="2"/>
      <c r="L20" s="2"/>
      <c r="M20" s="2"/>
      <c r="N20" s="2"/>
      <c r="O20" s="2"/>
      <c r="P20" s="2"/>
      <c r="Q20" s="2"/>
      <c r="R20" s="2"/>
      <c r="S20" s="2"/>
      <c r="T20" s="2"/>
      <c r="U20" s="2"/>
      <c r="V20" s="2"/>
      <c r="W20" s="2"/>
      <c r="X20" s="2"/>
      <c r="Y20" s="2"/>
      <c r="Z20" s="2"/>
    </row>
    <row r="21" ht="126.0" customHeight="1">
      <c r="A21" s="4" t="s">
        <v>267</v>
      </c>
      <c r="B21" s="4" t="s">
        <v>22</v>
      </c>
      <c r="C21" s="4" t="s">
        <v>269</v>
      </c>
      <c r="D21" s="4" t="s">
        <v>271</v>
      </c>
      <c r="E21" s="5" t="s">
        <v>277</v>
      </c>
      <c r="F21" s="4" t="s">
        <v>169</v>
      </c>
      <c r="G21" s="2"/>
      <c r="H21" s="2"/>
      <c r="I21" s="2"/>
      <c r="J21" s="2"/>
      <c r="K21" s="2"/>
      <c r="L21" s="2"/>
      <c r="M21" s="2"/>
      <c r="N21" s="2"/>
      <c r="O21" s="2"/>
      <c r="P21" s="2"/>
      <c r="Q21" s="2"/>
      <c r="R21" s="2"/>
      <c r="S21" s="2"/>
      <c r="T21" s="2"/>
      <c r="U21" s="2"/>
      <c r="V21" s="2"/>
      <c r="W21" s="2"/>
      <c r="X21" s="2"/>
      <c r="Y21" s="2"/>
      <c r="Z21" s="2"/>
    </row>
    <row r="22" ht="111.75" customHeight="1">
      <c r="A22" s="4" t="s">
        <v>283</v>
      </c>
      <c r="B22" s="4" t="s">
        <v>22</v>
      </c>
      <c r="C22" s="4" t="s">
        <v>285</v>
      </c>
      <c r="D22" s="4" t="s">
        <v>287</v>
      </c>
      <c r="E22" s="5" t="s">
        <v>288</v>
      </c>
      <c r="F22" s="4" t="s">
        <v>27</v>
      </c>
      <c r="G22" s="2"/>
      <c r="H22" s="2"/>
      <c r="I22" s="2"/>
      <c r="J22" s="2"/>
      <c r="K22" s="2"/>
      <c r="L22" s="2"/>
      <c r="M22" s="2"/>
      <c r="N22" s="2"/>
      <c r="O22" s="2"/>
      <c r="P22" s="2"/>
      <c r="Q22" s="2"/>
      <c r="R22" s="2"/>
      <c r="S22" s="2"/>
      <c r="T22" s="2"/>
      <c r="U22" s="2"/>
      <c r="V22" s="2"/>
      <c r="W22" s="2"/>
      <c r="X22" s="2"/>
      <c r="Y22" s="2"/>
      <c r="Z22" s="2"/>
    </row>
    <row r="23" ht="69.75" customHeight="1">
      <c r="A23" s="4" t="s">
        <v>296</v>
      </c>
      <c r="B23" s="4" t="s">
        <v>22</v>
      </c>
      <c r="C23" s="4" t="s">
        <v>78</v>
      </c>
      <c r="D23" s="4" t="s">
        <v>299</v>
      </c>
      <c r="E23" s="5" t="s">
        <v>300</v>
      </c>
      <c r="F23" s="4" t="s">
        <v>169</v>
      </c>
      <c r="G23" s="2"/>
      <c r="H23" s="2"/>
      <c r="I23" s="2"/>
      <c r="J23" s="2"/>
      <c r="K23" s="2"/>
      <c r="L23" s="2"/>
      <c r="M23" s="2"/>
      <c r="N23" s="2"/>
      <c r="O23" s="2"/>
      <c r="P23" s="2"/>
      <c r="Q23" s="2"/>
      <c r="R23" s="2"/>
      <c r="S23" s="2"/>
      <c r="T23" s="2"/>
      <c r="U23" s="2"/>
      <c r="V23" s="2"/>
      <c r="W23" s="2"/>
      <c r="X23" s="2"/>
      <c r="Y23" s="2"/>
      <c r="Z23" s="2"/>
    </row>
    <row r="24" ht="126.0" customHeight="1">
      <c r="A24" s="4" t="s">
        <v>305</v>
      </c>
      <c r="B24" s="4" t="s">
        <v>22</v>
      </c>
      <c r="C24" s="4" t="s">
        <v>312</v>
      </c>
      <c r="D24" s="4" t="s">
        <v>314</v>
      </c>
      <c r="E24" s="5" t="s">
        <v>316</v>
      </c>
      <c r="F24" s="4" t="s">
        <v>27</v>
      </c>
      <c r="G24" s="2"/>
      <c r="H24" s="2"/>
      <c r="I24" s="2"/>
      <c r="J24" s="2"/>
      <c r="K24" s="2"/>
      <c r="L24" s="2"/>
      <c r="M24" s="2"/>
      <c r="N24" s="2"/>
      <c r="O24" s="2"/>
      <c r="P24" s="2"/>
      <c r="Q24" s="2"/>
      <c r="R24" s="2"/>
      <c r="S24" s="2"/>
      <c r="T24" s="2"/>
      <c r="U24" s="2"/>
      <c r="V24" s="2"/>
      <c r="W24" s="2"/>
      <c r="X24" s="2"/>
      <c r="Y24" s="2"/>
      <c r="Z24" s="2"/>
    </row>
    <row r="25" ht="58.5" customHeight="1">
      <c r="A25" s="4" t="s">
        <v>321</v>
      </c>
      <c r="B25" s="4" t="s">
        <v>325</v>
      </c>
      <c r="C25" s="4" t="s">
        <v>328</v>
      </c>
      <c r="D25" s="4" t="s">
        <v>330</v>
      </c>
      <c r="E25" s="5" t="s">
        <v>332</v>
      </c>
      <c r="F25" s="4" t="s">
        <v>27</v>
      </c>
      <c r="G25" s="2"/>
      <c r="H25" s="2"/>
      <c r="I25" s="2"/>
      <c r="J25" s="2"/>
      <c r="K25" s="2"/>
      <c r="L25" s="2"/>
      <c r="M25" s="2"/>
      <c r="N25" s="2"/>
      <c r="O25" s="2"/>
      <c r="P25" s="2"/>
      <c r="Q25" s="2"/>
      <c r="R25" s="2"/>
      <c r="S25" s="2"/>
      <c r="T25" s="2"/>
      <c r="U25" s="2"/>
      <c r="V25" s="2"/>
      <c r="W25" s="2"/>
      <c r="X25" s="2"/>
      <c r="Y25" s="2"/>
      <c r="Z25" s="2"/>
    </row>
    <row r="26" ht="58.5" customHeight="1">
      <c r="A26" s="4" t="s">
        <v>339</v>
      </c>
      <c r="B26" s="4" t="s">
        <v>325</v>
      </c>
      <c r="C26" s="4" t="s">
        <v>343</v>
      </c>
      <c r="D26" s="4" t="s">
        <v>345</v>
      </c>
      <c r="E26" s="5" t="s">
        <v>347</v>
      </c>
      <c r="F26" s="4" t="s">
        <v>27</v>
      </c>
      <c r="G26" s="2"/>
      <c r="H26" s="2"/>
      <c r="I26" s="2"/>
      <c r="J26" s="2"/>
      <c r="K26" s="2"/>
      <c r="L26" s="2"/>
      <c r="M26" s="2"/>
      <c r="N26" s="2"/>
      <c r="O26" s="2"/>
      <c r="P26" s="2"/>
      <c r="Q26" s="2"/>
      <c r="R26" s="2"/>
      <c r="S26" s="2"/>
      <c r="T26" s="2"/>
      <c r="U26" s="2"/>
      <c r="V26" s="2"/>
      <c r="W26" s="2"/>
      <c r="X26" s="2"/>
      <c r="Y26" s="2"/>
      <c r="Z26" s="2"/>
    </row>
    <row r="27">
      <c r="A27" s="4" t="s">
        <v>356</v>
      </c>
      <c r="B27" s="4" t="s">
        <v>325</v>
      </c>
      <c r="C27" s="4" t="s">
        <v>360</v>
      </c>
      <c r="D27" s="4" t="s">
        <v>361</v>
      </c>
      <c r="E27" s="5" t="s">
        <v>362</v>
      </c>
      <c r="F27" s="4" t="s">
        <v>27</v>
      </c>
      <c r="G27" s="2"/>
      <c r="H27" s="2"/>
      <c r="I27" s="2"/>
      <c r="J27" s="2"/>
      <c r="K27" s="2"/>
      <c r="L27" s="2"/>
      <c r="M27" s="2"/>
      <c r="N27" s="2"/>
      <c r="O27" s="2"/>
      <c r="P27" s="2"/>
      <c r="Q27" s="2"/>
      <c r="R27" s="2"/>
      <c r="S27" s="2"/>
      <c r="T27" s="2"/>
      <c r="U27" s="2"/>
      <c r="V27" s="2"/>
      <c r="W27" s="2"/>
      <c r="X27" s="2"/>
      <c r="Y27" s="2"/>
      <c r="Z27" s="2"/>
    </row>
    <row r="28">
      <c r="A28" s="4" t="s">
        <v>370</v>
      </c>
      <c r="B28" s="4" t="s">
        <v>325</v>
      </c>
      <c r="C28" s="4" t="s">
        <v>372</v>
      </c>
      <c r="D28" s="4" t="s">
        <v>373</v>
      </c>
      <c r="E28" s="5" t="s">
        <v>375</v>
      </c>
      <c r="F28" s="4" t="s">
        <v>169</v>
      </c>
      <c r="G28" s="2"/>
      <c r="H28" s="2"/>
      <c r="I28" s="2"/>
      <c r="J28" s="2"/>
      <c r="K28" s="2"/>
      <c r="L28" s="2"/>
      <c r="M28" s="2"/>
      <c r="N28" s="2"/>
      <c r="O28" s="2"/>
      <c r="P28" s="2"/>
      <c r="Q28" s="2"/>
      <c r="R28" s="2"/>
      <c r="S28" s="2"/>
      <c r="T28" s="2"/>
      <c r="U28" s="2"/>
      <c r="V28" s="2"/>
      <c r="W28" s="2"/>
      <c r="X28" s="2"/>
      <c r="Y28" s="2"/>
      <c r="Z28" s="2"/>
    </row>
    <row r="29">
      <c r="A29" s="4" t="s">
        <v>376</v>
      </c>
      <c r="B29" s="4" t="s">
        <v>325</v>
      </c>
      <c r="C29" s="4" t="s">
        <v>380</v>
      </c>
      <c r="D29" s="4" t="s">
        <v>382</v>
      </c>
      <c r="E29" s="5" t="s">
        <v>387</v>
      </c>
      <c r="F29" s="4" t="s">
        <v>27</v>
      </c>
      <c r="G29" s="2"/>
      <c r="H29" s="2"/>
      <c r="I29" s="2"/>
      <c r="J29" s="2"/>
      <c r="K29" s="2"/>
      <c r="L29" s="2"/>
      <c r="M29" s="2"/>
      <c r="N29" s="2"/>
      <c r="O29" s="2"/>
      <c r="P29" s="2"/>
      <c r="Q29" s="2"/>
      <c r="R29" s="2"/>
      <c r="S29" s="2"/>
      <c r="T29" s="2"/>
      <c r="U29" s="2"/>
      <c r="V29" s="2"/>
      <c r="W29" s="2"/>
      <c r="X29" s="2"/>
      <c r="Y29" s="2"/>
      <c r="Z29" s="2"/>
    </row>
    <row r="30" ht="58.5" customHeight="1">
      <c r="A30" s="4" t="s">
        <v>391</v>
      </c>
      <c r="B30" s="4" t="s">
        <v>325</v>
      </c>
      <c r="C30" s="4" t="s">
        <v>380</v>
      </c>
      <c r="D30" s="4" t="s">
        <v>392</v>
      </c>
      <c r="E30" s="5" t="s">
        <v>393</v>
      </c>
      <c r="F30" s="4" t="s">
        <v>27</v>
      </c>
      <c r="G30" s="2"/>
      <c r="H30" s="2"/>
      <c r="I30" s="2"/>
      <c r="J30" s="2"/>
      <c r="K30" s="2"/>
      <c r="L30" s="2"/>
      <c r="M30" s="2"/>
      <c r="N30" s="2"/>
      <c r="O30" s="2"/>
      <c r="P30" s="2"/>
      <c r="Q30" s="2"/>
      <c r="R30" s="2"/>
      <c r="S30" s="2"/>
      <c r="T30" s="2"/>
      <c r="U30" s="2"/>
      <c r="V30" s="2"/>
      <c r="W30" s="2"/>
      <c r="X30" s="2"/>
      <c r="Y30" s="2"/>
      <c r="Z30" s="2"/>
    </row>
    <row r="31" ht="84.0" customHeight="1">
      <c r="A31" s="4" t="s">
        <v>400</v>
      </c>
      <c r="B31" s="4" t="s">
        <v>325</v>
      </c>
      <c r="C31" s="4" t="s">
        <v>380</v>
      </c>
      <c r="D31" s="4" t="s">
        <v>402</v>
      </c>
      <c r="E31" s="5" t="s">
        <v>403</v>
      </c>
      <c r="F31" s="4" t="s">
        <v>27</v>
      </c>
      <c r="G31" s="2"/>
      <c r="H31" s="2"/>
      <c r="I31" s="2"/>
      <c r="J31" s="2"/>
      <c r="K31" s="2"/>
      <c r="L31" s="2"/>
      <c r="M31" s="2"/>
      <c r="N31" s="2"/>
      <c r="O31" s="2"/>
      <c r="P31" s="2"/>
      <c r="Q31" s="2"/>
      <c r="R31" s="2"/>
      <c r="S31" s="2"/>
      <c r="T31" s="2"/>
      <c r="U31" s="2"/>
      <c r="V31" s="2"/>
      <c r="W31" s="2"/>
      <c r="X31" s="2"/>
      <c r="Y31" s="2"/>
      <c r="Z31" s="2"/>
    </row>
    <row r="32" ht="97.5" customHeight="1">
      <c r="A32" s="4" t="s">
        <v>411</v>
      </c>
      <c r="B32" s="4" t="s">
        <v>325</v>
      </c>
      <c r="C32" s="4" t="s">
        <v>412</v>
      </c>
      <c r="D32" s="4" t="s">
        <v>414</v>
      </c>
      <c r="E32" s="5" t="s">
        <v>415</v>
      </c>
      <c r="F32" s="4" t="s">
        <v>27</v>
      </c>
      <c r="G32" s="2"/>
      <c r="H32" s="2"/>
      <c r="I32" s="2"/>
      <c r="J32" s="2"/>
      <c r="K32" s="2"/>
      <c r="L32" s="2"/>
      <c r="M32" s="2"/>
      <c r="N32" s="2"/>
      <c r="O32" s="2"/>
      <c r="P32" s="2"/>
      <c r="Q32" s="2"/>
      <c r="R32" s="2"/>
      <c r="S32" s="2"/>
      <c r="T32" s="2"/>
      <c r="U32" s="2"/>
      <c r="V32" s="2"/>
      <c r="W32" s="2"/>
      <c r="X32" s="2"/>
      <c r="Y32" s="2"/>
      <c r="Z32" s="2"/>
    </row>
    <row r="33" ht="58.5" customHeight="1">
      <c r="A33" s="4" t="s">
        <v>419</v>
      </c>
      <c r="B33" s="4" t="s">
        <v>325</v>
      </c>
      <c r="C33" s="4" t="s">
        <v>421</v>
      </c>
      <c r="D33" s="4" t="s">
        <v>422</v>
      </c>
      <c r="E33" s="5" t="s">
        <v>423</v>
      </c>
      <c r="F33" s="4" t="s">
        <v>27</v>
      </c>
      <c r="G33" s="2"/>
      <c r="H33" s="2"/>
      <c r="I33" s="2"/>
      <c r="J33" s="2"/>
      <c r="K33" s="2"/>
      <c r="L33" s="2"/>
      <c r="M33" s="2"/>
      <c r="N33" s="2"/>
      <c r="O33" s="2"/>
      <c r="P33" s="2"/>
      <c r="Q33" s="2"/>
      <c r="R33" s="2"/>
      <c r="S33" s="2"/>
      <c r="T33" s="2"/>
      <c r="U33" s="2"/>
      <c r="V33" s="2"/>
      <c r="W33" s="2"/>
      <c r="X33" s="2"/>
      <c r="Y33" s="2"/>
      <c r="Z33" s="2"/>
    </row>
    <row r="34">
      <c r="A34" s="4" t="s">
        <v>431</v>
      </c>
      <c r="B34" s="4" t="s">
        <v>325</v>
      </c>
      <c r="C34" s="4" t="s">
        <v>380</v>
      </c>
      <c r="D34" s="4" t="s">
        <v>433</v>
      </c>
      <c r="E34" s="5" t="s">
        <v>434</v>
      </c>
      <c r="F34" s="4" t="s">
        <v>27</v>
      </c>
      <c r="G34" s="2"/>
      <c r="H34" s="2"/>
      <c r="I34" s="2"/>
      <c r="J34" s="2"/>
      <c r="K34" s="2"/>
      <c r="L34" s="2"/>
      <c r="M34" s="2"/>
      <c r="N34" s="2"/>
      <c r="O34" s="2"/>
      <c r="P34" s="2"/>
      <c r="Q34" s="2"/>
      <c r="R34" s="2"/>
      <c r="S34" s="2"/>
      <c r="T34" s="2"/>
      <c r="U34" s="2"/>
      <c r="V34" s="2"/>
      <c r="W34" s="2"/>
      <c r="X34" s="2"/>
      <c r="Y34" s="2"/>
      <c r="Z34" s="2"/>
    </row>
    <row r="35" ht="97.5" customHeight="1">
      <c r="A35" s="4" t="s">
        <v>438</v>
      </c>
      <c r="B35" s="4" t="s">
        <v>325</v>
      </c>
      <c r="C35" s="4" t="s">
        <v>443</v>
      </c>
      <c r="D35" s="4" t="s">
        <v>444</v>
      </c>
      <c r="E35" s="5" t="s">
        <v>445</v>
      </c>
      <c r="F35" s="4" t="s">
        <v>27</v>
      </c>
      <c r="G35" s="2"/>
      <c r="H35" s="2"/>
      <c r="I35" s="2"/>
      <c r="J35" s="2"/>
      <c r="K35" s="2"/>
      <c r="L35" s="2"/>
      <c r="M35" s="2"/>
      <c r="N35" s="2"/>
      <c r="O35" s="2"/>
      <c r="P35" s="2"/>
      <c r="Q35" s="2"/>
      <c r="R35" s="2"/>
      <c r="S35" s="2"/>
      <c r="T35" s="2"/>
      <c r="U35" s="2"/>
      <c r="V35" s="2"/>
      <c r="W35" s="2"/>
      <c r="X35" s="2"/>
      <c r="Y35" s="2"/>
      <c r="Z35" s="2"/>
    </row>
    <row r="36" ht="58.5" customHeight="1">
      <c r="A36" s="4" t="s">
        <v>446</v>
      </c>
      <c r="B36" s="4" t="s">
        <v>325</v>
      </c>
      <c r="C36" s="4" t="s">
        <v>443</v>
      </c>
      <c r="D36" s="4" t="s">
        <v>449</v>
      </c>
      <c r="E36" s="5" t="s">
        <v>451</v>
      </c>
      <c r="F36" s="4" t="s">
        <v>27</v>
      </c>
      <c r="G36" s="2"/>
      <c r="H36" s="2"/>
      <c r="I36" s="2"/>
      <c r="J36" s="2"/>
      <c r="K36" s="2"/>
      <c r="L36" s="2"/>
      <c r="M36" s="2"/>
      <c r="N36" s="2"/>
      <c r="O36" s="2"/>
      <c r="P36" s="2"/>
      <c r="Q36" s="2"/>
      <c r="R36" s="2"/>
      <c r="S36" s="2"/>
      <c r="T36" s="2"/>
      <c r="U36" s="2"/>
      <c r="V36" s="2"/>
      <c r="W36" s="2"/>
      <c r="X36" s="2"/>
      <c r="Y36" s="2"/>
      <c r="Z36" s="2"/>
    </row>
    <row r="37" ht="69.75" customHeight="1">
      <c r="A37" s="4" t="s">
        <v>455</v>
      </c>
      <c r="B37" s="4" t="s">
        <v>325</v>
      </c>
      <c r="C37" s="4" t="s">
        <v>456</v>
      </c>
      <c r="D37" s="4" t="s">
        <v>457</v>
      </c>
      <c r="E37" s="5" t="s">
        <v>460</v>
      </c>
      <c r="F37" s="4" t="s">
        <v>27</v>
      </c>
      <c r="G37" s="2"/>
      <c r="H37" s="2"/>
      <c r="I37" s="2"/>
      <c r="J37" s="2"/>
      <c r="K37" s="2"/>
      <c r="L37" s="2"/>
      <c r="M37" s="2"/>
      <c r="N37" s="2"/>
      <c r="O37" s="2"/>
      <c r="P37" s="2"/>
      <c r="Q37" s="2"/>
      <c r="R37" s="2"/>
      <c r="S37" s="2"/>
      <c r="T37" s="2"/>
      <c r="U37" s="2"/>
      <c r="V37" s="2"/>
      <c r="W37" s="2"/>
      <c r="X37" s="2"/>
      <c r="Y37" s="2"/>
      <c r="Z37" s="2"/>
    </row>
    <row r="38" ht="58.5" customHeight="1">
      <c r="A38" s="4" t="s">
        <v>471</v>
      </c>
      <c r="B38" s="4" t="s">
        <v>325</v>
      </c>
      <c r="C38" s="4" t="s">
        <v>456</v>
      </c>
      <c r="D38" s="4" t="s">
        <v>474</v>
      </c>
      <c r="E38" s="5" t="s">
        <v>477</v>
      </c>
      <c r="F38" s="4" t="s">
        <v>169</v>
      </c>
      <c r="G38" s="2"/>
      <c r="H38" s="2"/>
      <c r="I38" s="2"/>
      <c r="J38" s="2"/>
      <c r="K38" s="2"/>
      <c r="L38" s="2"/>
      <c r="M38" s="2"/>
      <c r="N38" s="2"/>
      <c r="O38" s="2"/>
      <c r="P38" s="2"/>
      <c r="Q38" s="2"/>
      <c r="R38" s="2"/>
      <c r="S38" s="2"/>
      <c r="T38" s="2"/>
      <c r="U38" s="2"/>
      <c r="V38" s="2"/>
      <c r="W38" s="2"/>
      <c r="X38" s="2"/>
      <c r="Y38" s="2"/>
      <c r="Z38" s="2"/>
    </row>
    <row r="39">
      <c r="A39" s="4" t="s">
        <v>481</v>
      </c>
      <c r="B39" s="4" t="s">
        <v>325</v>
      </c>
      <c r="C39" s="4" t="s">
        <v>372</v>
      </c>
      <c r="D39" s="4" t="s">
        <v>483</v>
      </c>
      <c r="E39" s="5" t="s">
        <v>484</v>
      </c>
      <c r="F39" s="4" t="s">
        <v>27</v>
      </c>
      <c r="G39" s="2"/>
      <c r="H39" s="2"/>
      <c r="I39" s="2"/>
      <c r="J39" s="2"/>
      <c r="K39" s="2"/>
      <c r="L39" s="2"/>
      <c r="M39" s="2"/>
      <c r="N39" s="2"/>
      <c r="O39" s="2"/>
      <c r="P39" s="2"/>
      <c r="Q39" s="2"/>
      <c r="R39" s="2"/>
      <c r="S39" s="2"/>
      <c r="T39" s="2"/>
      <c r="U39" s="2"/>
      <c r="V39" s="2"/>
      <c r="W39" s="2"/>
      <c r="X39" s="2"/>
      <c r="Y39" s="2"/>
      <c r="Z39" s="2"/>
    </row>
    <row r="40">
      <c r="A40" s="4" t="s">
        <v>492</v>
      </c>
      <c r="B40" s="4" t="s">
        <v>325</v>
      </c>
      <c r="C40" s="4" t="s">
        <v>494</v>
      </c>
      <c r="D40" s="4" t="s">
        <v>495</v>
      </c>
      <c r="E40" s="5" t="s">
        <v>496</v>
      </c>
      <c r="F40" s="4" t="s">
        <v>27</v>
      </c>
      <c r="G40" s="2"/>
      <c r="H40" s="2"/>
      <c r="I40" s="2"/>
      <c r="J40" s="2"/>
      <c r="K40" s="2"/>
      <c r="L40" s="2"/>
      <c r="M40" s="2"/>
      <c r="N40" s="2"/>
      <c r="O40" s="2"/>
      <c r="P40" s="2"/>
      <c r="Q40" s="2"/>
      <c r="R40" s="2"/>
      <c r="S40" s="2"/>
      <c r="T40" s="2"/>
      <c r="U40" s="2"/>
      <c r="V40" s="2"/>
      <c r="W40" s="2"/>
      <c r="X40" s="2"/>
      <c r="Y40" s="2"/>
      <c r="Z40" s="2"/>
    </row>
    <row r="41" ht="84.0" customHeight="1">
      <c r="A41" s="4" t="s">
        <v>499</v>
      </c>
      <c r="B41" s="4" t="s">
        <v>325</v>
      </c>
      <c r="C41" s="4" t="s">
        <v>502</v>
      </c>
      <c r="D41" s="4" t="s">
        <v>503</v>
      </c>
      <c r="E41" s="5" t="s">
        <v>505</v>
      </c>
      <c r="F41" s="4" t="s">
        <v>27</v>
      </c>
      <c r="G41" s="2"/>
      <c r="H41" s="2"/>
      <c r="I41" s="2"/>
      <c r="J41" s="2"/>
      <c r="K41" s="2"/>
      <c r="L41" s="2"/>
      <c r="M41" s="2"/>
      <c r="N41" s="2"/>
      <c r="O41" s="2"/>
      <c r="P41" s="2"/>
      <c r="Q41" s="2"/>
      <c r="R41" s="2"/>
      <c r="S41" s="2"/>
      <c r="T41" s="2"/>
      <c r="U41" s="2"/>
      <c r="V41" s="2"/>
      <c r="W41" s="2"/>
      <c r="X41" s="2"/>
      <c r="Y41" s="2"/>
      <c r="Z41" s="2"/>
    </row>
    <row r="42" ht="111.75" customHeight="1">
      <c r="A42" s="4" t="s">
        <v>507</v>
      </c>
      <c r="B42" s="4" t="s">
        <v>325</v>
      </c>
      <c r="C42" s="4" t="s">
        <v>508</v>
      </c>
      <c r="D42" s="4" t="s">
        <v>510</v>
      </c>
      <c r="E42" s="5" t="s">
        <v>512</v>
      </c>
      <c r="F42" s="4" t="s">
        <v>169</v>
      </c>
      <c r="G42" s="2"/>
      <c r="H42" s="2"/>
      <c r="I42" s="2"/>
      <c r="J42" s="2"/>
      <c r="K42" s="2"/>
      <c r="L42" s="2"/>
      <c r="M42" s="2"/>
      <c r="N42" s="2"/>
      <c r="O42" s="2"/>
      <c r="P42" s="2"/>
      <c r="Q42" s="2"/>
      <c r="R42" s="2"/>
      <c r="S42" s="2"/>
      <c r="T42" s="2"/>
      <c r="U42" s="2"/>
      <c r="V42" s="2"/>
      <c r="W42" s="2"/>
      <c r="X42" s="2"/>
      <c r="Y42" s="2"/>
      <c r="Z42" s="2"/>
    </row>
    <row r="43">
      <c r="A43" s="4" t="s">
        <v>519</v>
      </c>
      <c r="B43" s="4" t="s">
        <v>325</v>
      </c>
      <c r="C43" s="4" t="s">
        <v>521</v>
      </c>
      <c r="D43" s="4" t="s">
        <v>522</v>
      </c>
      <c r="E43" s="5" t="s">
        <v>524</v>
      </c>
      <c r="F43" s="4" t="s">
        <v>280</v>
      </c>
      <c r="G43" s="2"/>
      <c r="H43" s="2"/>
      <c r="I43" s="2"/>
      <c r="J43" s="2"/>
      <c r="K43" s="2"/>
      <c r="L43" s="2"/>
      <c r="M43" s="2"/>
      <c r="N43" s="2"/>
      <c r="O43" s="2"/>
      <c r="P43" s="2"/>
      <c r="Q43" s="2"/>
      <c r="R43" s="2"/>
      <c r="S43" s="2"/>
      <c r="T43" s="2"/>
      <c r="U43" s="2"/>
      <c r="V43" s="2"/>
      <c r="W43" s="2"/>
      <c r="X43" s="2"/>
      <c r="Y43" s="2"/>
      <c r="Z43" s="2"/>
    </row>
    <row r="44" ht="58.5" customHeight="1">
      <c r="A44" s="4" t="s">
        <v>533</v>
      </c>
      <c r="B44" s="4" t="s">
        <v>325</v>
      </c>
      <c r="C44" s="4" t="s">
        <v>535</v>
      </c>
      <c r="D44" s="4" t="s">
        <v>536</v>
      </c>
      <c r="E44" s="5" t="s">
        <v>537</v>
      </c>
      <c r="F44" s="4" t="s">
        <v>27</v>
      </c>
      <c r="G44" s="2"/>
      <c r="H44" s="2"/>
      <c r="I44" s="2"/>
      <c r="J44" s="2"/>
      <c r="K44" s="2"/>
      <c r="L44" s="2"/>
      <c r="M44" s="2"/>
      <c r="N44" s="2"/>
      <c r="O44" s="2"/>
      <c r="P44" s="2"/>
      <c r="Q44" s="2"/>
      <c r="R44" s="2"/>
      <c r="S44" s="2"/>
      <c r="T44" s="2"/>
      <c r="U44" s="2"/>
      <c r="V44" s="2"/>
      <c r="W44" s="2"/>
      <c r="X44" s="2"/>
      <c r="Y44" s="2"/>
      <c r="Z44" s="2"/>
    </row>
    <row r="45" ht="111.75" customHeight="1">
      <c r="A45" s="4" t="s">
        <v>542</v>
      </c>
      <c r="B45" s="4" t="s">
        <v>22</v>
      </c>
      <c r="C45" s="4" t="s">
        <v>547</v>
      </c>
      <c r="D45" s="4" t="s">
        <v>548</v>
      </c>
      <c r="E45" s="5" t="s">
        <v>550</v>
      </c>
      <c r="F45" s="4" t="s">
        <v>27</v>
      </c>
      <c r="G45" s="2"/>
      <c r="H45" s="2"/>
      <c r="I45" s="2"/>
      <c r="J45" s="2"/>
      <c r="K45" s="2"/>
      <c r="L45" s="2"/>
      <c r="M45" s="2"/>
      <c r="N45" s="2"/>
      <c r="O45" s="2"/>
      <c r="P45" s="2"/>
      <c r="Q45" s="2"/>
      <c r="R45" s="2"/>
      <c r="S45" s="2"/>
      <c r="T45" s="2"/>
      <c r="U45" s="2"/>
      <c r="V45" s="2"/>
      <c r="W45" s="2"/>
      <c r="X45" s="2"/>
      <c r="Y45" s="2"/>
      <c r="Z45" s="2"/>
    </row>
    <row r="46" ht="15.75" customHeight="1">
      <c r="A46" s="3"/>
      <c r="B46" s="3"/>
      <c r="C46" s="3"/>
      <c r="D46" s="3"/>
      <c r="E46" s="2"/>
      <c r="F46" s="3"/>
      <c r="G46" s="2"/>
      <c r="H46" s="2"/>
      <c r="I46" s="2"/>
      <c r="J46" s="2"/>
      <c r="K46" s="2"/>
      <c r="L46" s="2"/>
      <c r="M46" s="2"/>
      <c r="N46" s="2"/>
      <c r="O46" s="2"/>
      <c r="P46" s="2"/>
      <c r="Q46" s="2"/>
      <c r="R46" s="2"/>
      <c r="S46" s="2"/>
      <c r="T46" s="2"/>
      <c r="U46" s="2"/>
      <c r="V46" s="2"/>
      <c r="W46" s="2"/>
      <c r="X46" s="2"/>
      <c r="Y46" s="2"/>
      <c r="Z46" s="2"/>
    </row>
    <row r="47" ht="15.75" customHeight="1">
      <c r="A47" s="3"/>
      <c r="B47" s="3"/>
      <c r="C47" s="3"/>
      <c r="D47" s="3"/>
      <c r="E47" s="2"/>
      <c r="F47" s="3"/>
      <c r="G47" s="2"/>
      <c r="H47" s="2"/>
      <c r="I47" s="2"/>
      <c r="J47" s="2"/>
      <c r="K47" s="2"/>
      <c r="L47" s="2"/>
      <c r="M47" s="2"/>
      <c r="N47" s="2"/>
      <c r="O47" s="2"/>
      <c r="P47" s="2"/>
      <c r="Q47" s="2"/>
      <c r="R47" s="2"/>
      <c r="S47" s="2"/>
      <c r="T47" s="2"/>
      <c r="U47" s="2"/>
      <c r="V47" s="2"/>
      <c r="W47" s="2"/>
      <c r="X47" s="2"/>
      <c r="Y47" s="2"/>
      <c r="Z47" s="2"/>
    </row>
    <row r="48" ht="15.75" customHeight="1">
      <c r="A48" s="3"/>
      <c r="B48" s="3"/>
      <c r="C48" s="3"/>
      <c r="D48" s="3"/>
      <c r="E48" s="2"/>
      <c r="F48" s="3"/>
      <c r="G48" s="2"/>
      <c r="H48" s="2"/>
      <c r="I48" s="2"/>
      <c r="J48" s="2"/>
      <c r="K48" s="2"/>
      <c r="L48" s="2"/>
      <c r="M48" s="2"/>
      <c r="N48" s="2"/>
      <c r="O48" s="2"/>
      <c r="P48" s="2"/>
      <c r="Q48" s="2"/>
      <c r="R48" s="2"/>
      <c r="S48" s="2"/>
      <c r="T48" s="2"/>
      <c r="U48" s="2"/>
      <c r="V48" s="2"/>
      <c r="W48" s="2"/>
      <c r="X48" s="2"/>
      <c r="Y48" s="2"/>
      <c r="Z48" s="2"/>
    </row>
    <row r="49" ht="15.75" customHeight="1">
      <c r="A49" s="3"/>
      <c r="B49" s="3"/>
      <c r="C49" s="3"/>
      <c r="D49" s="3"/>
      <c r="E49" s="2"/>
      <c r="F49" s="3"/>
      <c r="G49" s="2"/>
      <c r="H49" s="2"/>
      <c r="I49" s="2"/>
      <c r="J49" s="2"/>
      <c r="K49" s="2"/>
      <c r="L49" s="2"/>
      <c r="M49" s="2"/>
      <c r="N49" s="2"/>
      <c r="O49" s="2"/>
      <c r="P49" s="2"/>
      <c r="Q49" s="2"/>
      <c r="R49" s="2"/>
      <c r="S49" s="2"/>
      <c r="T49" s="2"/>
      <c r="U49" s="2"/>
      <c r="V49" s="2"/>
      <c r="W49" s="2"/>
      <c r="X49" s="2"/>
      <c r="Y49" s="2"/>
      <c r="Z49" s="2"/>
    </row>
    <row r="50" ht="15.75" customHeight="1">
      <c r="A50" s="3"/>
      <c r="B50" s="3"/>
      <c r="C50" s="3"/>
      <c r="D50" s="3"/>
      <c r="E50" s="2"/>
      <c r="F50" s="3"/>
      <c r="G50" s="2"/>
      <c r="H50" s="2"/>
      <c r="I50" s="2"/>
      <c r="J50" s="2"/>
      <c r="K50" s="2"/>
      <c r="L50" s="2"/>
      <c r="M50" s="2"/>
      <c r="N50" s="2"/>
      <c r="O50" s="2"/>
      <c r="P50" s="2"/>
      <c r="Q50" s="2"/>
      <c r="R50" s="2"/>
      <c r="S50" s="2"/>
      <c r="T50" s="2"/>
      <c r="U50" s="2"/>
      <c r="V50" s="2"/>
      <c r="W50" s="2"/>
      <c r="X50" s="2"/>
      <c r="Y50" s="2"/>
      <c r="Z50" s="2"/>
    </row>
    <row r="51" ht="15.75" customHeight="1">
      <c r="A51" s="3"/>
      <c r="B51" s="3"/>
      <c r="C51" s="3"/>
      <c r="D51" s="3"/>
      <c r="E51" s="2"/>
      <c r="F51" s="3"/>
      <c r="G51" s="2"/>
      <c r="H51" s="2"/>
      <c r="I51" s="2"/>
      <c r="J51" s="2"/>
      <c r="K51" s="2"/>
      <c r="L51" s="2"/>
      <c r="M51" s="2"/>
      <c r="N51" s="2"/>
      <c r="O51" s="2"/>
      <c r="P51" s="2"/>
      <c r="Q51" s="2"/>
      <c r="R51" s="2"/>
      <c r="S51" s="2"/>
      <c r="T51" s="2"/>
      <c r="U51" s="2"/>
      <c r="V51" s="2"/>
      <c r="W51" s="2"/>
      <c r="X51" s="2"/>
      <c r="Y51" s="2"/>
      <c r="Z51" s="2"/>
    </row>
    <row r="52" ht="15.75" customHeight="1">
      <c r="A52" s="3"/>
      <c r="B52" s="3"/>
      <c r="C52" s="3"/>
      <c r="D52" s="3"/>
      <c r="E52" s="2"/>
      <c r="F52" s="3"/>
      <c r="G52" s="2"/>
      <c r="H52" s="2"/>
      <c r="I52" s="2"/>
      <c r="J52" s="2"/>
      <c r="K52" s="2"/>
      <c r="L52" s="2"/>
      <c r="M52" s="2"/>
      <c r="N52" s="2"/>
      <c r="O52" s="2"/>
      <c r="P52" s="2"/>
      <c r="Q52" s="2"/>
      <c r="R52" s="2"/>
      <c r="S52" s="2"/>
      <c r="T52" s="2"/>
      <c r="U52" s="2"/>
      <c r="V52" s="2"/>
      <c r="W52" s="2"/>
      <c r="X52" s="2"/>
      <c r="Y52" s="2"/>
      <c r="Z52" s="2"/>
    </row>
    <row r="53" ht="15.75" customHeight="1">
      <c r="A53" s="3"/>
      <c r="B53" s="3"/>
      <c r="C53" s="3"/>
      <c r="D53" s="3"/>
      <c r="E53" s="2"/>
      <c r="F53" s="3"/>
      <c r="G53" s="2"/>
      <c r="H53" s="2"/>
      <c r="I53" s="2"/>
      <c r="J53" s="2"/>
      <c r="K53" s="2"/>
      <c r="L53" s="2"/>
      <c r="M53" s="2"/>
      <c r="N53" s="2"/>
      <c r="O53" s="2"/>
      <c r="P53" s="2"/>
      <c r="Q53" s="2"/>
      <c r="R53" s="2"/>
      <c r="S53" s="2"/>
      <c r="T53" s="2"/>
      <c r="U53" s="2"/>
      <c r="V53" s="2"/>
      <c r="W53" s="2"/>
      <c r="X53" s="2"/>
      <c r="Y53" s="2"/>
      <c r="Z53" s="2"/>
    </row>
    <row r="54" ht="15.75" customHeight="1">
      <c r="A54" s="3"/>
      <c r="B54" s="3"/>
      <c r="C54" s="3"/>
      <c r="D54" s="3"/>
      <c r="E54" s="2"/>
      <c r="F54" s="3"/>
      <c r="G54" s="2"/>
      <c r="H54" s="2"/>
      <c r="I54" s="2"/>
      <c r="J54" s="2"/>
      <c r="K54" s="2"/>
      <c r="L54" s="2"/>
      <c r="M54" s="2"/>
      <c r="N54" s="2"/>
      <c r="O54" s="2"/>
      <c r="P54" s="2"/>
      <c r="Q54" s="2"/>
      <c r="R54" s="2"/>
      <c r="S54" s="2"/>
      <c r="T54" s="2"/>
      <c r="U54" s="2"/>
      <c r="V54" s="2"/>
      <c r="W54" s="2"/>
      <c r="X54" s="2"/>
      <c r="Y54" s="2"/>
      <c r="Z54" s="2"/>
    </row>
    <row r="55" ht="15.75" customHeight="1">
      <c r="A55" s="3"/>
      <c r="B55" s="3"/>
      <c r="C55" s="3"/>
      <c r="D55" s="3"/>
      <c r="E55" s="2"/>
      <c r="F55" s="3"/>
      <c r="G55" s="2"/>
      <c r="H55" s="2"/>
      <c r="I55" s="2"/>
      <c r="J55" s="2"/>
      <c r="K55" s="2"/>
      <c r="L55" s="2"/>
      <c r="M55" s="2"/>
      <c r="N55" s="2"/>
      <c r="O55" s="2"/>
      <c r="P55" s="2"/>
      <c r="Q55" s="2"/>
      <c r="R55" s="2"/>
      <c r="S55" s="2"/>
      <c r="T55" s="2"/>
      <c r="U55" s="2"/>
      <c r="V55" s="2"/>
      <c r="W55" s="2"/>
      <c r="X55" s="2"/>
      <c r="Y55" s="2"/>
      <c r="Z55" s="2"/>
    </row>
    <row r="56" ht="15.75" customHeight="1">
      <c r="A56" s="3"/>
      <c r="B56" s="3"/>
      <c r="C56" s="3"/>
      <c r="D56" s="3"/>
      <c r="E56" s="2"/>
      <c r="F56" s="3"/>
      <c r="G56" s="2"/>
      <c r="H56" s="2"/>
      <c r="I56" s="2"/>
      <c r="J56" s="2"/>
      <c r="K56" s="2"/>
      <c r="L56" s="2"/>
      <c r="M56" s="2"/>
      <c r="N56" s="2"/>
      <c r="O56" s="2"/>
      <c r="P56" s="2"/>
      <c r="Q56" s="2"/>
      <c r="R56" s="2"/>
      <c r="S56" s="2"/>
      <c r="T56" s="2"/>
      <c r="U56" s="2"/>
      <c r="V56" s="2"/>
      <c r="W56" s="2"/>
      <c r="X56" s="2"/>
      <c r="Y56" s="2"/>
      <c r="Z56" s="2"/>
    </row>
    <row r="57" ht="15.75" customHeight="1">
      <c r="A57" s="3"/>
      <c r="B57" s="3"/>
      <c r="C57" s="3"/>
      <c r="D57" s="3"/>
      <c r="E57" s="2"/>
      <c r="F57" s="3"/>
      <c r="G57" s="2"/>
      <c r="H57" s="2"/>
      <c r="I57" s="2"/>
      <c r="J57" s="2"/>
      <c r="K57" s="2"/>
      <c r="L57" s="2"/>
      <c r="M57" s="2"/>
      <c r="N57" s="2"/>
      <c r="O57" s="2"/>
      <c r="P57" s="2"/>
      <c r="Q57" s="2"/>
      <c r="R57" s="2"/>
      <c r="S57" s="2"/>
      <c r="T57" s="2"/>
      <c r="U57" s="2"/>
      <c r="V57" s="2"/>
      <c r="W57" s="2"/>
      <c r="X57" s="2"/>
      <c r="Y57" s="2"/>
      <c r="Z57" s="2"/>
    </row>
    <row r="58" ht="15.75" customHeight="1">
      <c r="A58" s="3"/>
      <c r="B58" s="3"/>
      <c r="C58" s="3"/>
      <c r="D58" s="3"/>
      <c r="E58" s="2"/>
      <c r="F58" s="3"/>
      <c r="G58" s="2"/>
      <c r="H58" s="2"/>
      <c r="I58" s="2"/>
      <c r="J58" s="2"/>
      <c r="K58" s="2"/>
      <c r="L58" s="2"/>
      <c r="M58" s="2"/>
      <c r="N58" s="2"/>
      <c r="O58" s="2"/>
      <c r="P58" s="2"/>
      <c r="Q58" s="2"/>
      <c r="R58" s="2"/>
      <c r="S58" s="2"/>
      <c r="T58" s="2"/>
      <c r="U58" s="2"/>
      <c r="V58" s="2"/>
      <c r="W58" s="2"/>
      <c r="X58" s="2"/>
      <c r="Y58" s="2"/>
      <c r="Z58" s="2"/>
    </row>
    <row r="59" ht="15.75" customHeight="1">
      <c r="A59" s="3"/>
      <c r="B59" s="3"/>
      <c r="C59" s="3"/>
      <c r="D59" s="3"/>
      <c r="E59" s="2"/>
      <c r="F59" s="3"/>
      <c r="G59" s="2"/>
      <c r="H59" s="2"/>
      <c r="I59" s="2"/>
      <c r="J59" s="2"/>
      <c r="K59" s="2"/>
      <c r="L59" s="2"/>
      <c r="M59" s="2"/>
      <c r="N59" s="2"/>
      <c r="O59" s="2"/>
      <c r="P59" s="2"/>
      <c r="Q59" s="2"/>
      <c r="R59" s="2"/>
      <c r="S59" s="2"/>
      <c r="T59" s="2"/>
      <c r="U59" s="2"/>
      <c r="V59" s="2"/>
      <c r="W59" s="2"/>
      <c r="X59" s="2"/>
      <c r="Y59" s="2"/>
      <c r="Z59" s="2"/>
    </row>
    <row r="60" ht="15.75" customHeight="1">
      <c r="A60" s="3"/>
      <c r="B60" s="3"/>
      <c r="C60" s="3"/>
      <c r="D60" s="3"/>
      <c r="E60" s="2"/>
      <c r="F60" s="3"/>
      <c r="G60" s="2"/>
      <c r="H60" s="2"/>
      <c r="I60" s="2"/>
      <c r="J60" s="2"/>
      <c r="K60" s="2"/>
      <c r="L60" s="2"/>
      <c r="M60" s="2"/>
      <c r="N60" s="2"/>
      <c r="O60" s="2"/>
      <c r="P60" s="2"/>
      <c r="Q60" s="2"/>
      <c r="R60" s="2"/>
      <c r="S60" s="2"/>
      <c r="T60" s="2"/>
      <c r="U60" s="2"/>
      <c r="V60" s="2"/>
      <c r="W60" s="2"/>
      <c r="X60" s="2"/>
      <c r="Y60" s="2"/>
      <c r="Z60" s="2"/>
    </row>
    <row r="61" ht="15.75" customHeight="1">
      <c r="A61" s="3"/>
      <c r="B61" s="3"/>
      <c r="C61" s="3"/>
      <c r="D61" s="3"/>
      <c r="E61" s="2"/>
      <c r="F61" s="3"/>
      <c r="G61" s="2"/>
      <c r="H61" s="2"/>
      <c r="I61" s="2"/>
      <c r="J61" s="2"/>
      <c r="K61" s="2"/>
      <c r="L61" s="2"/>
      <c r="M61" s="2"/>
      <c r="N61" s="2"/>
      <c r="O61" s="2"/>
      <c r="P61" s="2"/>
      <c r="Q61" s="2"/>
      <c r="R61" s="2"/>
      <c r="S61" s="2"/>
      <c r="T61" s="2"/>
      <c r="U61" s="2"/>
      <c r="V61" s="2"/>
      <c r="W61" s="2"/>
      <c r="X61" s="2"/>
      <c r="Y61" s="2"/>
      <c r="Z61" s="2"/>
    </row>
    <row r="62" ht="15.75" customHeight="1">
      <c r="A62" s="3"/>
      <c r="B62" s="3"/>
      <c r="C62" s="3"/>
      <c r="D62" s="3"/>
      <c r="E62" s="2"/>
      <c r="F62" s="3"/>
      <c r="G62" s="2"/>
      <c r="H62" s="2"/>
      <c r="I62" s="2"/>
      <c r="J62" s="2"/>
      <c r="K62" s="2"/>
      <c r="L62" s="2"/>
      <c r="M62" s="2"/>
      <c r="N62" s="2"/>
      <c r="O62" s="2"/>
      <c r="P62" s="2"/>
      <c r="Q62" s="2"/>
      <c r="R62" s="2"/>
      <c r="S62" s="2"/>
      <c r="T62" s="2"/>
      <c r="U62" s="2"/>
      <c r="V62" s="2"/>
      <c r="W62" s="2"/>
      <c r="X62" s="2"/>
      <c r="Y62" s="2"/>
      <c r="Z62" s="2"/>
    </row>
    <row r="63" ht="15.75" customHeight="1">
      <c r="A63" s="3"/>
      <c r="B63" s="3"/>
      <c r="C63" s="3"/>
      <c r="D63" s="3"/>
      <c r="E63" s="2"/>
      <c r="F63" s="3"/>
      <c r="G63" s="2"/>
      <c r="H63" s="2"/>
      <c r="I63" s="2"/>
      <c r="J63" s="2"/>
      <c r="K63" s="2"/>
      <c r="L63" s="2"/>
      <c r="M63" s="2"/>
      <c r="N63" s="2"/>
      <c r="O63" s="2"/>
      <c r="P63" s="2"/>
      <c r="Q63" s="2"/>
      <c r="R63" s="2"/>
      <c r="S63" s="2"/>
      <c r="T63" s="2"/>
      <c r="U63" s="2"/>
      <c r="V63" s="2"/>
      <c r="W63" s="2"/>
      <c r="X63" s="2"/>
      <c r="Y63" s="2"/>
      <c r="Z63" s="2"/>
    </row>
    <row r="64" ht="15.75" customHeight="1">
      <c r="A64" s="3"/>
      <c r="B64" s="3"/>
      <c r="C64" s="3"/>
      <c r="D64" s="3"/>
      <c r="E64" s="2"/>
      <c r="F64" s="3"/>
      <c r="G64" s="2"/>
      <c r="H64" s="2"/>
      <c r="I64" s="2"/>
      <c r="J64" s="2"/>
      <c r="K64" s="2"/>
      <c r="L64" s="2"/>
      <c r="M64" s="2"/>
      <c r="N64" s="2"/>
      <c r="O64" s="2"/>
      <c r="P64" s="2"/>
      <c r="Q64" s="2"/>
      <c r="R64" s="2"/>
      <c r="S64" s="2"/>
      <c r="T64" s="2"/>
      <c r="U64" s="2"/>
      <c r="V64" s="2"/>
      <c r="W64" s="2"/>
      <c r="X64" s="2"/>
      <c r="Y64" s="2"/>
      <c r="Z64" s="2"/>
    </row>
    <row r="65" ht="15.75" customHeight="1">
      <c r="A65" s="3"/>
      <c r="B65" s="3"/>
      <c r="C65" s="3"/>
      <c r="D65" s="3"/>
      <c r="E65" s="2"/>
      <c r="F65" s="3"/>
      <c r="G65" s="2"/>
      <c r="H65" s="2"/>
      <c r="I65" s="2"/>
      <c r="J65" s="2"/>
      <c r="K65" s="2"/>
      <c r="L65" s="2"/>
      <c r="M65" s="2"/>
      <c r="N65" s="2"/>
      <c r="O65" s="2"/>
      <c r="P65" s="2"/>
      <c r="Q65" s="2"/>
      <c r="R65" s="2"/>
      <c r="S65" s="2"/>
      <c r="T65" s="2"/>
      <c r="U65" s="2"/>
      <c r="V65" s="2"/>
      <c r="W65" s="2"/>
      <c r="X65" s="2"/>
      <c r="Y65" s="2"/>
      <c r="Z65" s="2"/>
    </row>
    <row r="66" ht="15.75" customHeight="1">
      <c r="A66" s="3"/>
      <c r="B66" s="3"/>
      <c r="C66" s="3"/>
      <c r="D66" s="3"/>
      <c r="E66" s="2"/>
      <c r="F66" s="3"/>
      <c r="G66" s="2"/>
      <c r="H66" s="2"/>
      <c r="I66" s="2"/>
      <c r="J66" s="2"/>
      <c r="K66" s="2"/>
      <c r="L66" s="2"/>
      <c r="M66" s="2"/>
      <c r="N66" s="2"/>
      <c r="O66" s="2"/>
      <c r="P66" s="2"/>
      <c r="Q66" s="2"/>
      <c r="R66" s="2"/>
      <c r="S66" s="2"/>
      <c r="T66" s="2"/>
      <c r="U66" s="2"/>
      <c r="V66" s="2"/>
      <c r="W66" s="2"/>
      <c r="X66" s="2"/>
      <c r="Y66" s="2"/>
      <c r="Z66" s="2"/>
    </row>
    <row r="67" ht="15.75" customHeight="1">
      <c r="A67" s="3"/>
      <c r="B67" s="3"/>
      <c r="C67" s="3"/>
      <c r="D67" s="3"/>
      <c r="E67" s="2"/>
      <c r="F67" s="3"/>
      <c r="G67" s="2"/>
      <c r="H67" s="2"/>
      <c r="I67" s="2"/>
      <c r="J67" s="2"/>
      <c r="K67" s="2"/>
      <c r="L67" s="2"/>
      <c r="M67" s="2"/>
      <c r="N67" s="2"/>
      <c r="O67" s="2"/>
      <c r="P67" s="2"/>
      <c r="Q67" s="2"/>
      <c r="R67" s="2"/>
      <c r="S67" s="2"/>
      <c r="T67" s="2"/>
      <c r="U67" s="2"/>
      <c r="V67" s="2"/>
      <c r="W67" s="2"/>
      <c r="X67" s="2"/>
      <c r="Y67" s="2"/>
      <c r="Z67" s="2"/>
    </row>
    <row r="68" ht="15.75" customHeight="1">
      <c r="A68" s="3"/>
      <c r="B68" s="3"/>
      <c r="C68" s="3"/>
      <c r="D68" s="3"/>
      <c r="E68" s="2"/>
      <c r="F68" s="3"/>
      <c r="G68" s="2"/>
      <c r="H68" s="2"/>
      <c r="I68" s="2"/>
      <c r="J68" s="2"/>
      <c r="K68" s="2"/>
      <c r="L68" s="2"/>
      <c r="M68" s="2"/>
      <c r="N68" s="2"/>
      <c r="O68" s="2"/>
      <c r="P68" s="2"/>
      <c r="Q68" s="2"/>
      <c r="R68" s="2"/>
      <c r="S68" s="2"/>
      <c r="T68" s="2"/>
      <c r="U68" s="2"/>
      <c r="V68" s="2"/>
      <c r="W68" s="2"/>
      <c r="X68" s="2"/>
      <c r="Y68" s="2"/>
      <c r="Z68" s="2"/>
    </row>
    <row r="69" ht="15.75" customHeight="1">
      <c r="A69" s="3"/>
      <c r="B69" s="3"/>
      <c r="C69" s="3"/>
      <c r="D69" s="3"/>
      <c r="E69" s="2"/>
      <c r="F69" s="3"/>
      <c r="G69" s="2"/>
      <c r="H69" s="2"/>
      <c r="I69" s="2"/>
      <c r="J69" s="2"/>
      <c r="K69" s="2"/>
      <c r="L69" s="2"/>
      <c r="M69" s="2"/>
      <c r="N69" s="2"/>
      <c r="O69" s="2"/>
      <c r="P69" s="2"/>
      <c r="Q69" s="2"/>
      <c r="R69" s="2"/>
      <c r="S69" s="2"/>
      <c r="T69" s="2"/>
      <c r="U69" s="2"/>
      <c r="V69" s="2"/>
      <c r="W69" s="2"/>
      <c r="X69" s="2"/>
      <c r="Y69" s="2"/>
      <c r="Z69" s="2"/>
    </row>
    <row r="70" ht="15.75" customHeight="1">
      <c r="A70" s="3"/>
      <c r="B70" s="3"/>
      <c r="C70" s="3"/>
      <c r="D70" s="3"/>
      <c r="E70" s="2"/>
      <c r="F70" s="3"/>
      <c r="G70" s="2"/>
      <c r="H70" s="2"/>
      <c r="I70" s="2"/>
      <c r="J70" s="2"/>
      <c r="K70" s="2"/>
      <c r="L70" s="2"/>
      <c r="M70" s="2"/>
      <c r="N70" s="2"/>
      <c r="O70" s="2"/>
      <c r="P70" s="2"/>
      <c r="Q70" s="2"/>
      <c r="R70" s="2"/>
      <c r="S70" s="2"/>
      <c r="T70" s="2"/>
      <c r="U70" s="2"/>
      <c r="V70" s="2"/>
      <c r="W70" s="2"/>
      <c r="X70" s="2"/>
      <c r="Y70" s="2"/>
      <c r="Z70" s="2"/>
    </row>
    <row r="71" ht="15.75" customHeight="1">
      <c r="A71" s="3"/>
      <c r="B71" s="3"/>
      <c r="C71" s="3"/>
      <c r="D71" s="3"/>
      <c r="E71" s="2"/>
      <c r="F71" s="3"/>
      <c r="G71" s="2"/>
      <c r="H71" s="2"/>
      <c r="I71" s="2"/>
      <c r="J71" s="2"/>
      <c r="K71" s="2"/>
      <c r="L71" s="2"/>
      <c r="M71" s="2"/>
      <c r="N71" s="2"/>
      <c r="O71" s="2"/>
      <c r="P71" s="2"/>
      <c r="Q71" s="2"/>
      <c r="R71" s="2"/>
      <c r="S71" s="2"/>
      <c r="T71" s="2"/>
      <c r="U71" s="2"/>
      <c r="V71" s="2"/>
      <c r="W71" s="2"/>
      <c r="X71" s="2"/>
      <c r="Y71" s="2"/>
      <c r="Z71" s="2"/>
    </row>
    <row r="72" ht="15.75" customHeight="1">
      <c r="A72" s="3"/>
      <c r="B72" s="3"/>
      <c r="C72" s="3"/>
      <c r="D72" s="3"/>
      <c r="E72" s="2"/>
      <c r="F72" s="3"/>
      <c r="G72" s="2"/>
      <c r="H72" s="2"/>
      <c r="I72" s="2"/>
      <c r="J72" s="2"/>
      <c r="K72" s="2"/>
      <c r="L72" s="2"/>
      <c r="M72" s="2"/>
      <c r="N72" s="2"/>
      <c r="O72" s="2"/>
      <c r="P72" s="2"/>
      <c r="Q72" s="2"/>
      <c r="R72" s="2"/>
      <c r="S72" s="2"/>
      <c r="T72" s="2"/>
      <c r="U72" s="2"/>
      <c r="V72" s="2"/>
      <c r="W72" s="2"/>
      <c r="X72" s="2"/>
      <c r="Y72" s="2"/>
      <c r="Z72" s="2"/>
    </row>
    <row r="73" ht="15.75" customHeight="1">
      <c r="A73" s="3"/>
      <c r="B73" s="3"/>
      <c r="C73" s="3"/>
      <c r="D73" s="3"/>
      <c r="E73" s="2"/>
      <c r="F73" s="3"/>
      <c r="G73" s="2"/>
      <c r="H73" s="2"/>
      <c r="I73" s="2"/>
      <c r="J73" s="2"/>
      <c r="K73" s="2"/>
      <c r="L73" s="2"/>
      <c r="M73" s="2"/>
      <c r="N73" s="2"/>
      <c r="O73" s="2"/>
      <c r="P73" s="2"/>
      <c r="Q73" s="2"/>
      <c r="R73" s="2"/>
      <c r="S73" s="2"/>
      <c r="T73" s="2"/>
      <c r="U73" s="2"/>
      <c r="V73" s="2"/>
      <c r="W73" s="2"/>
      <c r="X73" s="2"/>
      <c r="Y73" s="2"/>
      <c r="Z73" s="2"/>
    </row>
    <row r="74" ht="15.75" customHeight="1">
      <c r="A74" s="3"/>
      <c r="B74" s="3"/>
      <c r="C74" s="3"/>
      <c r="D74" s="3"/>
      <c r="E74" s="2"/>
      <c r="F74" s="3"/>
      <c r="G74" s="2"/>
      <c r="H74" s="2"/>
      <c r="I74" s="2"/>
      <c r="J74" s="2"/>
      <c r="K74" s="2"/>
      <c r="L74" s="2"/>
      <c r="M74" s="2"/>
      <c r="N74" s="2"/>
      <c r="O74" s="2"/>
      <c r="P74" s="2"/>
      <c r="Q74" s="2"/>
      <c r="R74" s="2"/>
      <c r="S74" s="2"/>
      <c r="T74" s="2"/>
      <c r="U74" s="2"/>
      <c r="V74" s="2"/>
      <c r="W74" s="2"/>
      <c r="X74" s="2"/>
      <c r="Y74" s="2"/>
      <c r="Z74" s="2"/>
    </row>
    <row r="75" ht="15.75" customHeight="1">
      <c r="A75" s="3"/>
      <c r="B75" s="3"/>
      <c r="C75" s="3"/>
      <c r="D75" s="3"/>
      <c r="E75" s="2"/>
      <c r="F75" s="3"/>
      <c r="G75" s="2"/>
      <c r="H75" s="2"/>
      <c r="I75" s="2"/>
      <c r="J75" s="2"/>
      <c r="K75" s="2"/>
      <c r="L75" s="2"/>
      <c r="M75" s="2"/>
      <c r="N75" s="2"/>
      <c r="O75" s="2"/>
      <c r="P75" s="2"/>
      <c r="Q75" s="2"/>
      <c r="R75" s="2"/>
      <c r="S75" s="2"/>
      <c r="T75" s="2"/>
      <c r="U75" s="2"/>
      <c r="V75" s="2"/>
      <c r="W75" s="2"/>
      <c r="X75" s="2"/>
      <c r="Y75" s="2"/>
      <c r="Z75" s="2"/>
    </row>
    <row r="76" ht="15.75" customHeight="1">
      <c r="A76" s="3"/>
      <c r="B76" s="3"/>
      <c r="C76" s="3"/>
      <c r="D76" s="3"/>
      <c r="E76" s="2"/>
      <c r="F76" s="3"/>
      <c r="G76" s="2"/>
      <c r="H76" s="2"/>
      <c r="I76" s="2"/>
      <c r="J76" s="2"/>
      <c r="K76" s="2"/>
      <c r="L76" s="2"/>
      <c r="M76" s="2"/>
      <c r="N76" s="2"/>
      <c r="O76" s="2"/>
      <c r="P76" s="2"/>
      <c r="Q76" s="2"/>
      <c r="R76" s="2"/>
      <c r="S76" s="2"/>
      <c r="T76" s="2"/>
      <c r="U76" s="2"/>
      <c r="V76" s="2"/>
      <c r="W76" s="2"/>
      <c r="X76" s="2"/>
      <c r="Y76" s="2"/>
      <c r="Z76" s="2"/>
    </row>
    <row r="77" ht="15.75" customHeight="1">
      <c r="A77" s="3"/>
      <c r="B77" s="3"/>
      <c r="C77" s="3"/>
      <c r="D77" s="3"/>
      <c r="E77" s="2"/>
      <c r="F77" s="3"/>
      <c r="G77" s="2"/>
      <c r="H77" s="2"/>
      <c r="I77" s="2"/>
      <c r="J77" s="2"/>
      <c r="K77" s="2"/>
      <c r="L77" s="2"/>
      <c r="M77" s="2"/>
      <c r="N77" s="2"/>
      <c r="O77" s="2"/>
      <c r="P77" s="2"/>
      <c r="Q77" s="2"/>
      <c r="R77" s="2"/>
      <c r="S77" s="2"/>
      <c r="T77" s="2"/>
      <c r="U77" s="2"/>
      <c r="V77" s="2"/>
      <c r="W77" s="2"/>
      <c r="X77" s="2"/>
      <c r="Y77" s="2"/>
      <c r="Z77" s="2"/>
    </row>
    <row r="78" ht="15.75" customHeight="1">
      <c r="A78" s="3"/>
      <c r="B78" s="3"/>
      <c r="C78" s="3"/>
      <c r="D78" s="3"/>
      <c r="E78" s="2"/>
      <c r="F78" s="3"/>
      <c r="G78" s="2"/>
      <c r="H78" s="2"/>
      <c r="I78" s="2"/>
      <c r="J78" s="2"/>
      <c r="K78" s="2"/>
      <c r="L78" s="2"/>
      <c r="M78" s="2"/>
      <c r="N78" s="2"/>
      <c r="O78" s="2"/>
      <c r="P78" s="2"/>
      <c r="Q78" s="2"/>
      <c r="R78" s="2"/>
      <c r="S78" s="2"/>
      <c r="T78" s="2"/>
      <c r="U78" s="2"/>
      <c r="V78" s="2"/>
      <c r="W78" s="2"/>
      <c r="X78" s="2"/>
      <c r="Y78" s="2"/>
      <c r="Z78" s="2"/>
    </row>
    <row r="79" ht="15.75" customHeight="1">
      <c r="A79" s="3"/>
      <c r="B79" s="3"/>
      <c r="C79" s="3"/>
      <c r="D79" s="3"/>
      <c r="E79" s="2"/>
      <c r="F79" s="3"/>
      <c r="G79" s="2"/>
      <c r="H79" s="2"/>
      <c r="I79" s="2"/>
      <c r="J79" s="2"/>
      <c r="K79" s="2"/>
      <c r="L79" s="2"/>
      <c r="M79" s="2"/>
      <c r="N79" s="2"/>
      <c r="O79" s="2"/>
      <c r="P79" s="2"/>
      <c r="Q79" s="2"/>
      <c r="R79" s="2"/>
      <c r="S79" s="2"/>
      <c r="T79" s="2"/>
      <c r="U79" s="2"/>
      <c r="V79" s="2"/>
      <c r="W79" s="2"/>
      <c r="X79" s="2"/>
      <c r="Y79" s="2"/>
      <c r="Z79" s="2"/>
    </row>
    <row r="80" ht="15.75" customHeight="1">
      <c r="A80" s="3"/>
      <c r="B80" s="3"/>
      <c r="C80" s="3"/>
      <c r="D80" s="3"/>
      <c r="E80" s="2"/>
      <c r="F80" s="3"/>
      <c r="G80" s="2"/>
      <c r="H80" s="2"/>
      <c r="I80" s="2"/>
      <c r="J80" s="2"/>
      <c r="K80" s="2"/>
      <c r="L80" s="2"/>
      <c r="M80" s="2"/>
      <c r="N80" s="2"/>
      <c r="O80" s="2"/>
      <c r="P80" s="2"/>
      <c r="Q80" s="2"/>
      <c r="R80" s="2"/>
      <c r="S80" s="2"/>
      <c r="T80" s="2"/>
      <c r="U80" s="2"/>
      <c r="V80" s="2"/>
      <c r="W80" s="2"/>
      <c r="X80" s="2"/>
      <c r="Y80" s="2"/>
      <c r="Z80" s="2"/>
    </row>
    <row r="81" ht="15.75" customHeight="1">
      <c r="A81" s="3"/>
      <c r="B81" s="3"/>
      <c r="C81" s="3"/>
      <c r="D81" s="3"/>
      <c r="E81" s="2"/>
      <c r="F81" s="3"/>
      <c r="G81" s="2"/>
      <c r="H81" s="2"/>
      <c r="I81" s="2"/>
      <c r="J81" s="2"/>
      <c r="K81" s="2"/>
      <c r="L81" s="2"/>
      <c r="M81" s="2"/>
      <c r="N81" s="2"/>
      <c r="O81" s="2"/>
      <c r="P81" s="2"/>
      <c r="Q81" s="2"/>
      <c r="R81" s="2"/>
      <c r="S81" s="2"/>
      <c r="T81" s="2"/>
      <c r="U81" s="2"/>
      <c r="V81" s="2"/>
      <c r="W81" s="2"/>
      <c r="X81" s="2"/>
      <c r="Y81" s="2"/>
      <c r="Z81" s="2"/>
    </row>
    <row r="82" ht="15.75" customHeight="1">
      <c r="A82" s="3"/>
      <c r="B82" s="3"/>
      <c r="C82" s="3"/>
      <c r="D82" s="3"/>
      <c r="E82" s="2"/>
      <c r="F82" s="3"/>
      <c r="G82" s="2"/>
      <c r="H82" s="2"/>
      <c r="I82" s="2"/>
      <c r="J82" s="2"/>
      <c r="K82" s="2"/>
      <c r="L82" s="2"/>
      <c r="M82" s="2"/>
      <c r="N82" s="2"/>
      <c r="O82" s="2"/>
      <c r="P82" s="2"/>
      <c r="Q82" s="2"/>
      <c r="R82" s="2"/>
      <c r="S82" s="2"/>
      <c r="T82" s="2"/>
      <c r="U82" s="2"/>
      <c r="V82" s="2"/>
      <c r="W82" s="2"/>
      <c r="X82" s="2"/>
      <c r="Y82" s="2"/>
      <c r="Z82" s="2"/>
    </row>
    <row r="83" ht="15.75" customHeight="1">
      <c r="A83" s="3"/>
      <c r="B83" s="3"/>
      <c r="C83" s="3"/>
      <c r="D83" s="3"/>
      <c r="E83" s="2"/>
      <c r="F83" s="3"/>
      <c r="G83" s="2"/>
      <c r="H83" s="2"/>
      <c r="I83" s="2"/>
      <c r="J83" s="2"/>
      <c r="K83" s="2"/>
      <c r="L83" s="2"/>
      <c r="M83" s="2"/>
      <c r="N83" s="2"/>
      <c r="O83" s="2"/>
      <c r="P83" s="2"/>
      <c r="Q83" s="2"/>
      <c r="R83" s="2"/>
      <c r="S83" s="2"/>
      <c r="T83" s="2"/>
      <c r="U83" s="2"/>
      <c r="V83" s="2"/>
      <c r="W83" s="2"/>
      <c r="X83" s="2"/>
      <c r="Y83" s="2"/>
      <c r="Z83" s="2"/>
    </row>
    <row r="84" ht="15.75" customHeight="1">
      <c r="A84" s="3"/>
      <c r="B84" s="3"/>
      <c r="C84" s="3"/>
      <c r="D84" s="3"/>
      <c r="E84" s="2"/>
      <c r="F84" s="3"/>
      <c r="G84" s="2"/>
      <c r="H84" s="2"/>
      <c r="I84" s="2"/>
      <c r="J84" s="2"/>
      <c r="K84" s="2"/>
      <c r="L84" s="2"/>
      <c r="M84" s="2"/>
      <c r="N84" s="2"/>
      <c r="O84" s="2"/>
      <c r="P84" s="2"/>
      <c r="Q84" s="2"/>
      <c r="R84" s="2"/>
      <c r="S84" s="2"/>
      <c r="T84" s="2"/>
      <c r="U84" s="2"/>
      <c r="V84" s="2"/>
      <c r="W84" s="2"/>
      <c r="X84" s="2"/>
      <c r="Y84" s="2"/>
      <c r="Z84" s="2"/>
    </row>
    <row r="85" ht="15.75" customHeight="1">
      <c r="A85" s="3"/>
      <c r="B85" s="3"/>
      <c r="C85" s="3"/>
      <c r="D85" s="3"/>
      <c r="E85" s="2"/>
      <c r="F85" s="3"/>
      <c r="G85" s="2"/>
      <c r="H85" s="2"/>
      <c r="I85" s="2"/>
      <c r="J85" s="2"/>
      <c r="K85" s="2"/>
      <c r="L85" s="2"/>
      <c r="M85" s="2"/>
      <c r="N85" s="2"/>
      <c r="O85" s="2"/>
      <c r="P85" s="2"/>
      <c r="Q85" s="2"/>
      <c r="R85" s="2"/>
      <c r="S85" s="2"/>
      <c r="T85" s="2"/>
      <c r="U85" s="2"/>
      <c r="V85" s="2"/>
      <c r="W85" s="2"/>
      <c r="X85" s="2"/>
      <c r="Y85" s="2"/>
      <c r="Z85" s="2"/>
    </row>
    <row r="86" ht="15.75" customHeight="1">
      <c r="A86" s="3"/>
      <c r="B86" s="3"/>
      <c r="C86" s="3"/>
      <c r="D86" s="3"/>
      <c r="E86" s="2"/>
      <c r="F86" s="3"/>
      <c r="G86" s="2"/>
      <c r="H86" s="2"/>
      <c r="I86" s="2"/>
      <c r="J86" s="2"/>
      <c r="K86" s="2"/>
      <c r="L86" s="2"/>
      <c r="M86" s="2"/>
      <c r="N86" s="2"/>
      <c r="O86" s="2"/>
      <c r="P86" s="2"/>
      <c r="Q86" s="2"/>
      <c r="R86" s="2"/>
      <c r="S86" s="2"/>
      <c r="T86" s="2"/>
      <c r="U86" s="2"/>
      <c r="V86" s="2"/>
      <c r="W86" s="2"/>
      <c r="X86" s="2"/>
      <c r="Y86" s="2"/>
      <c r="Z86" s="2"/>
    </row>
    <row r="87" ht="15.75" customHeight="1">
      <c r="A87" s="3"/>
      <c r="B87" s="3"/>
      <c r="C87" s="3"/>
      <c r="D87" s="3"/>
      <c r="E87" s="2"/>
      <c r="F87" s="3"/>
      <c r="G87" s="2"/>
      <c r="H87" s="2"/>
      <c r="I87" s="2"/>
      <c r="J87" s="2"/>
      <c r="K87" s="2"/>
      <c r="L87" s="2"/>
      <c r="M87" s="2"/>
      <c r="N87" s="2"/>
      <c r="O87" s="2"/>
      <c r="P87" s="2"/>
      <c r="Q87" s="2"/>
      <c r="R87" s="2"/>
      <c r="S87" s="2"/>
      <c r="T87" s="2"/>
      <c r="U87" s="2"/>
      <c r="V87" s="2"/>
      <c r="W87" s="2"/>
      <c r="X87" s="2"/>
      <c r="Y87" s="2"/>
      <c r="Z87" s="2"/>
    </row>
    <row r="88" ht="15.75" customHeight="1">
      <c r="A88" s="3"/>
      <c r="B88" s="3"/>
      <c r="C88" s="3"/>
      <c r="D88" s="3"/>
      <c r="E88" s="2"/>
      <c r="F88" s="3"/>
      <c r="G88" s="2"/>
      <c r="H88" s="2"/>
      <c r="I88" s="2"/>
      <c r="J88" s="2"/>
      <c r="K88" s="2"/>
      <c r="L88" s="2"/>
      <c r="M88" s="2"/>
      <c r="N88" s="2"/>
      <c r="O88" s="2"/>
      <c r="P88" s="2"/>
      <c r="Q88" s="2"/>
      <c r="R88" s="2"/>
      <c r="S88" s="2"/>
      <c r="T88" s="2"/>
      <c r="U88" s="2"/>
      <c r="V88" s="2"/>
      <c r="W88" s="2"/>
      <c r="X88" s="2"/>
      <c r="Y88" s="2"/>
      <c r="Z88" s="2"/>
    </row>
    <row r="89" ht="15.75" customHeight="1">
      <c r="A89" s="3"/>
      <c r="B89" s="3"/>
      <c r="C89" s="3"/>
      <c r="D89" s="3"/>
      <c r="E89" s="2"/>
      <c r="F89" s="3"/>
      <c r="G89" s="2"/>
      <c r="H89" s="2"/>
      <c r="I89" s="2"/>
      <c r="J89" s="2"/>
      <c r="K89" s="2"/>
      <c r="L89" s="2"/>
      <c r="M89" s="2"/>
      <c r="N89" s="2"/>
      <c r="O89" s="2"/>
      <c r="P89" s="2"/>
      <c r="Q89" s="2"/>
      <c r="R89" s="2"/>
      <c r="S89" s="2"/>
      <c r="T89" s="2"/>
      <c r="U89" s="2"/>
      <c r="V89" s="2"/>
      <c r="W89" s="2"/>
      <c r="X89" s="2"/>
      <c r="Y89" s="2"/>
      <c r="Z89" s="2"/>
    </row>
    <row r="90" ht="15.75" customHeight="1">
      <c r="A90" s="3"/>
      <c r="B90" s="3"/>
      <c r="C90" s="3"/>
      <c r="D90" s="3"/>
      <c r="E90" s="2"/>
      <c r="F90" s="3"/>
      <c r="G90" s="2"/>
      <c r="H90" s="2"/>
      <c r="I90" s="2"/>
      <c r="J90" s="2"/>
      <c r="K90" s="2"/>
      <c r="L90" s="2"/>
      <c r="M90" s="2"/>
      <c r="N90" s="2"/>
      <c r="O90" s="2"/>
      <c r="P90" s="2"/>
      <c r="Q90" s="2"/>
      <c r="R90" s="2"/>
      <c r="S90" s="2"/>
      <c r="T90" s="2"/>
      <c r="U90" s="2"/>
      <c r="V90" s="2"/>
      <c r="W90" s="2"/>
      <c r="X90" s="2"/>
      <c r="Y90" s="2"/>
      <c r="Z90" s="2"/>
    </row>
    <row r="91" ht="15.75" customHeight="1">
      <c r="A91" s="3"/>
      <c r="B91" s="3"/>
      <c r="C91" s="3"/>
      <c r="D91" s="3"/>
      <c r="E91" s="2"/>
      <c r="F91" s="3"/>
      <c r="G91" s="2"/>
      <c r="H91" s="2"/>
      <c r="I91" s="2"/>
      <c r="J91" s="2"/>
      <c r="K91" s="2"/>
      <c r="L91" s="2"/>
      <c r="M91" s="2"/>
      <c r="N91" s="2"/>
      <c r="O91" s="2"/>
      <c r="P91" s="2"/>
      <c r="Q91" s="2"/>
      <c r="R91" s="2"/>
      <c r="S91" s="2"/>
      <c r="T91" s="2"/>
      <c r="U91" s="2"/>
      <c r="V91" s="2"/>
      <c r="W91" s="2"/>
      <c r="X91" s="2"/>
      <c r="Y91" s="2"/>
      <c r="Z91" s="2"/>
    </row>
    <row r="92" ht="15.75" customHeight="1">
      <c r="A92" s="3"/>
      <c r="B92" s="3"/>
      <c r="C92" s="3"/>
      <c r="D92" s="3"/>
      <c r="E92" s="2"/>
      <c r="F92" s="3"/>
      <c r="G92" s="2"/>
      <c r="H92" s="2"/>
      <c r="I92" s="2"/>
      <c r="J92" s="2"/>
      <c r="K92" s="2"/>
      <c r="L92" s="2"/>
      <c r="M92" s="2"/>
      <c r="N92" s="2"/>
      <c r="O92" s="2"/>
      <c r="P92" s="2"/>
      <c r="Q92" s="2"/>
      <c r="R92" s="2"/>
      <c r="S92" s="2"/>
      <c r="T92" s="2"/>
      <c r="U92" s="2"/>
      <c r="V92" s="2"/>
      <c r="W92" s="2"/>
      <c r="X92" s="2"/>
      <c r="Y92" s="2"/>
      <c r="Z92" s="2"/>
    </row>
    <row r="93" ht="15.75" customHeight="1">
      <c r="A93" s="3"/>
      <c r="B93" s="3"/>
      <c r="C93" s="3"/>
      <c r="D93" s="3"/>
      <c r="E93" s="2"/>
      <c r="F93" s="3"/>
      <c r="G93" s="2"/>
      <c r="H93" s="2"/>
      <c r="I93" s="2"/>
      <c r="J93" s="2"/>
      <c r="K93" s="2"/>
      <c r="L93" s="2"/>
      <c r="M93" s="2"/>
      <c r="N93" s="2"/>
      <c r="O93" s="2"/>
      <c r="P93" s="2"/>
      <c r="Q93" s="2"/>
      <c r="R93" s="2"/>
      <c r="S93" s="2"/>
      <c r="T93" s="2"/>
      <c r="U93" s="2"/>
      <c r="V93" s="2"/>
      <c r="W93" s="2"/>
      <c r="X93" s="2"/>
      <c r="Y93" s="2"/>
      <c r="Z93" s="2"/>
    </row>
    <row r="94" ht="15.75" customHeight="1">
      <c r="A94" s="3"/>
      <c r="B94" s="3"/>
      <c r="C94" s="3"/>
      <c r="D94" s="3"/>
      <c r="E94" s="2"/>
      <c r="F94" s="3"/>
      <c r="G94" s="2"/>
      <c r="H94" s="2"/>
      <c r="I94" s="2"/>
      <c r="J94" s="2"/>
      <c r="K94" s="2"/>
      <c r="L94" s="2"/>
      <c r="M94" s="2"/>
      <c r="N94" s="2"/>
      <c r="O94" s="2"/>
      <c r="P94" s="2"/>
      <c r="Q94" s="2"/>
      <c r="R94" s="2"/>
      <c r="S94" s="2"/>
      <c r="T94" s="2"/>
      <c r="U94" s="2"/>
      <c r="V94" s="2"/>
      <c r="W94" s="2"/>
      <c r="X94" s="2"/>
      <c r="Y94" s="2"/>
      <c r="Z94" s="2"/>
    </row>
    <row r="95" ht="15.75" customHeight="1">
      <c r="A95" s="3"/>
      <c r="B95" s="3"/>
      <c r="C95" s="3"/>
      <c r="D95" s="3"/>
      <c r="E95" s="2"/>
      <c r="F95" s="3"/>
      <c r="G95" s="2"/>
      <c r="H95" s="2"/>
      <c r="I95" s="2"/>
      <c r="J95" s="2"/>
      <c r="K95" s="2"/>
      <c r="L95" s="2"/>
      <c r="M95" s="2"/>
      <c r="N95" s="2"/>
      <c r="O95" s="2"/>
      <c r="P95" s="2"/>
      <c r="Q95" s="2"/>
      <c r="R95" s="2"/>
      <c r="S95" s="2"/>
      <c r="T95" s="2"/>
      <c r="U95" s="2"/>
      <c r="V95" s="2"/>
      <c r="W95" s="2"/>
      <c r="X95" s="2"/>
      <c r="Y95" s="2"/>
      <c r="Z95" s="2"/>
    </row>
    <row r="96" ht="15.75" customHeight="1">
      <c r="A96" s="3"/>
      <c r="B96" s="3"/>
      <c r="C96" s="3"/>
      <c r="D96" s="3"/>
      <c r="E96" s="2"/>
      <c r="F96" s="3"/>
      <c r="G96" s="2"/>
      <c r="H96" s="2"/>
      <c r="I96" s="2"/>
      <c r="J96" s="2"/>
      <c r="K96" s="2"/>
      <c r="L96" s="2"/>
      <c r="M96" s="2"/>
      <c r="N96" s="2"/>
      <c r="O96" s="2"/>
      <c r="P96" s="2"/>
      <c r="Q96" s="2"/>
      <c r="R96" s="2"/>
      <c r="S96" s="2"/>
      <c r="T96" s="2"/>
      <c r="U96" s="2"/>
      <c r="V96" s="2"/>
      <c r="W96" s="2"/>
      <c r="X96" s="2"/>
      <c r="Y96" s="2"/>
      <c r="Z96" s="2"/>
    </row>
    <row r="97" ht="15.75" customHeight="1">
      <c r="A97" s="3"/>
      <c r="B97" s="3"/>
      <c r="C97" s="3"/>
      <c r="D97" s="3"/>
      <c r="E97" s="2"/>
      <c r="F97" s="3"/>
      <c r="G97" s="2"/>
      <c r="H97" s="2"/>
      <c r="I97" s="2"/>
      <c r="J97" s="2"/>
      <c r="K97" s="2"/>
      <c r="L97" s="2"/>
      <c r="M97" s="2"/>
      <c r="N97" s="2"/>
      <c r="O97" s="2"/>
      <c r="P97" s="2"/>
      <c r="Q97" s="2"/>
      <c r="R97" s="2"/>
      <c r="S97" s="2"/>
      <c r="T97" s="2"/>
      <c r="U97" s="2"/>
      <c r="V97" s="2"/>
      <c r="W97" s="2"/>
      <c r="X97" s="2"/>
      <c r="Y97" s="2"/>
      <c r="Z97" s="2"/>
    </row>
    <row r="98" ht="15.75" customHeight="1">
      <c r="A98" s="3"/>
      <c r="B98" s="3"/>
      <c r="C98" s="3"/>
      <c r="D98" s="3"/>
      <c r="E98" s="2"/>
      <c r="F98" s="3"/>
      <c r="G98" s="2"/>
      <c r="H98" s="2"/>
      <c r="I98" s="2"/>
      <c r="J98" s="2"/>
      <c r="K98" s="2"/>
      <c r="L98" s="2"/>
      <c r="M98" s="2"/>
      <c r="N98" s="2"/>
      <c r="O98" s="2"/>
      <c r="P98" s="2"/>
      <c r="Q98" s="2"/>
      <c r="R98" s="2"/>
      <c r="S98" s="2"/>
      <c r="T98" s="2"/>
      <c r="U98" s="2"/>
      <c r="V98" s="2"/>
      <c r="W98" s="2"/>
      <c r="X98" s="2"/>
      <c r="Y98" s="2"/>
      <c r="Z98" s="2"/>
    </row>
    <row r="99" ht="15.75" customHeight="1">
      <c r="A99" s="3"/>
      <c r="B99" s="3"/>
      <c r="C99" s="3"/>
      <c r="D99" s="3"/>
      <c r="E99" s="2"/>
      <c r="F99" s="3"/>
      <c r="G99" s="2"/>
      <c r="H99" s="2"/>
      <c r="I99" s="2"/>
      <c r="J99" s="2"/>
      <c r="K99" s="2"/>
      <c r="L99" s="2"/>
      <c r="M99" s="2"/>
      <c r="N99" s="2"/>
      <c r="O99" s="2"/>
      <c r="P99" s="2"/>
      <c r="Q99" s="2"/>
      <c r="R99" s="2"/>
      <c r="S99" s="2"/>
      <c r="T99" s="2"/>
      <c r="U99" s="2"/>
      <c r="V99" s="2"/>
      <c r="W99" s="2"/>
      <c r="X99" s="2"/>
      <c r="Y99" s="2"/>
      <c r="Z99" s="2"/>
    </row>
    <row r="100" ht="15.75" customHeight="1">
      <c r="A100" s="3"/>
      <c r="B100" s="3"/>
      <c r="C100" s="3"/>
      <c r="D100" s="3"/>
      <c r="E100" s="2"/>
      <c r="F100" s="3"/>
      <c r="G100" s="2"/>
      <c r="H100" s="2"/>
      <c r="I100" s="2"/>
      <c r="J100" s="2"/>
      <c r="K100" s="2"/>
      <c r="L100" s="2"/>
      <c r="M100" s="2"/>
      <c r="N100" s="2"/>
      <c r="O100" s="2"/>
      <c r="P100" s="2"/>
      <c r="Q100" s="2"/>
      <c r="R100" s="2"/>
      <c r="S100" s="2"/>
      <c r="T100" s="2"/>
      <c r="U100" s="2"/>
      <c r="V100" s="2"/>
      <c r="W100" s="2"/>
      <c r="X100" s="2"/>
      <c r="Y100" s="2"/>
      <c r="Z100" s="2"/>
    </row>
    <row r="101" ht="15.75" customHeight="1">
      <c r="A101" s="3"/>
      <c r="B101" s="3"/>
      <c r="C101" s="3"/>
      <c r="D101" s="3"/>
      <c r="E101" s="2"/>
      <c r="F101" s="3"/>
      <c r="G101" s="2"/>
      <c r="H101" s="2"/>
      <c r="I101" s="2"/>
      <c r="J101" s="2"/>
      <c r="K101" s="2"/>
      <c r="L101" s="2"/>
      <c r="M101" s="2"/>
      <c r="N101" s="2"/>
      <c r="O101" s="2"/>
      <c r="P101" s="2"/>
      <c r="Q101" s="2"/>
      <c r="R101" s="2"/>
      <c r="S101" s="2"/>
      <c r="T101" s="2"/>
      <c r="U101" s="2"/>
      <c r="V101" s="2"/>
      <c r="W101" s="2"/>
      <c r="X101" s="2"/>
      <c r="Y101" s="2"/>
      <c r="Z101" s="2"/>
    </row>
    <row r="102" ht="15.75" customHeight="1">
      <c r="A102" s="3"/>
      <c r="B102" s="3"/>
      <c r="C102" s="3"/>
      <c r="D102" s="3"/>
      <c r="E102" s="2"/>
      <c r="F102" s="3"/>
      <c r="G102" s="2"/>
      <c r="H102" s="2"/>
      <c r="I102" s="2"/>
      <c r="J102" s="2"/>
      <c r="K102" s="2"/>
      <c r="L102" s="2"/>
      <c r="M102" s="2"/>
      <c r="N102" s="2"/>
      <c r="O102" s="2"/>
      <c r="P102" s="2"/>
      <c r="Q102" s="2"/>
      <c r="R102" s="2"/>
      <c r="S102" s="2"/>
      <c r="T102" s="2"/>
      <c r="U102" s="2"/>
      <c r="V102" s="2"/>
      <c r="W102" s="2"/>
      <c r="X102" s="2"/>
      <c r="Y102" s="2"/>
      <c r="Z102" s="2"/>
    </row>
    <row r="103" ht="15.75" customHeight="1">
      <c r="A103" s="3"/>
      <c r="B103" s="3"/>
      <c r="C103" s="3"/>
      <c r="D103" s="3"/>
      <c r="E103" s="2"/>
      <c r="F103" s="3"/>
      <c r="G103" s="2"/>
      <c r="H103" s="2"/>
      <c r="I103" s="2"/>
      <c r="J103" s="2"/>
      <c r="K103" s="2"/>
      <c r="L103" s="2"/>
      <c r="M103" s="2"/>
      <c r="N103" s="2"/>
      <c r="O103" s="2"/>
      <c r="P103" s="2"/>
      <c r="Q103" s="2"/>
      <c r="R103" s="2"/>
      <c r="S103" s="2"/>
      <c r="T103" s="2"/>
      <c r="U103" s="2"/>
      <c r="V103" s="2"/>
      <c r="W103" s="2"/>
      <c r="X103" s="2"/>
      <c r="Y103" s="2"/>
      <c r="Z103" s="2"/>
    </row>
    <row r="104" ht="15.75" customHeight="1">
      <c r="A104" s="3"/>
      <c r="B104" s="3"/>
      <c r="C104" s="3"/>
      <c r="D104" s="3"/>
      <c r="E104" s="2"/>
      <c r="F104" s="3"/>
      <c r="G104" s="2"/>
      <c r="H104" s="2"/>
      <c r="I104" s="2"/>
      <c r="J104" s="2"/>
      <c r="K104" s="2"/>
      <c r="L104" s="2"/>
      <c r="M104" s="2"/>
      <c r="N104" s="2"/>
      <c r="O104" s="2"/>
      <c r="P104" s="2"/>
      <c r="Q104" s="2"/>
      <c r="R104" s="2"/>
      <c r="S104" s="2"/>
      <c r="T104" s="2"/>
      <c r="U104" s="2"/>
      <c r="V104" s="2"/>
      <c r="W104" s="2"/>
      <c r="X104" s="2"/>
      <c r="Y104" s="2"/>
      <c r="Z104" s="2"/>
    </row>
    <row r="105" ht="15.75" customHeight="1">
      <c r="A105" s="3"/>
      <c r="B105" s="3"/>
      <c r="C105" s="3"/>
      <c r="D105" s="3"/>
      <c r="E105" s="2"/>
      <c r="F105" s="3"/>
      <c r="G105" s="2"/>
      <c r="H105" s="2"/>
      <c r="I105" s="2"/>
      <c r="J105" s="2"/>
      <c r="K105" s="2"/>
      <c r="L105" s="2"/>
      <c r="M105" s="2"/>
      <c r="N105" s="2"/>
      <c r="O105" s="2"/>
      <c r="P105" s="2"/>
      <c r="Q105" s="2"/>
      <c r="R105" s="2"/>
      <c r="S105" s="2"/>
      <c r="T105" s="2"/>
      <c r="U105" s="2"/>
      <c r="V105" s="2"/>
      <c r="W105" s="2"/>
      <c r="X105" s="2"/>
      <c r="Y105" s="2"/>
      <c r="Z105" s="2"/>
    </row>
    <row r="106" ht="15.75" customHeight="1">
      <c r="A106" s="3"/>
      <c r="B106" s="3"/>
      <c r="C106" s="3"/>
      <c r="D106" s="3"/>
      <c r="E106" s="2"/>
      <c r="F106" s="3"/>
      <c r="G106" s="2"/>
      <c r="H106" s="2"/>
      <c r="I106" s="2"/>
      <c r="J106" s="2"/>
      <c r="K106" s="2"/>
      <c r="L106" s="2"/>
      <c r="M106" s="2"/>
      <c r="N106" s="2"/>
      <c r="O106" s="2"/>
      <c r="P106" s="2"/>
      <c r="Q106" s="2"/>
      <c r="R106" s="2"/>
      <c r="S106" s="2"/>
      <c r="T106" s="2"/>
      <c r="U106" s="2"/>
      <c r="V106" s="2"/>
      <c r="W106" s="2"/>
      <c r="X106" s="2"/>
      <c r="Y106" s="2"/>
      <c r="Z106" s="2"/>
    </row>
    <row r="107" ht="15.75" customHeight="1">
      <c r="A107" s="3"/>
      <c r="B107" s="3"/>
      <c r="C107" s="3"/>
      <c r="D107" s="3"/>
      <c r="E107" s="2"/>
      <c r="F107" s="3"/>
      <c r="G107" s="2"/>
      <c r="H107" s="2"/>
      <c r="I107" s="2"/>
      <c r="J107" s="2"/>
      <c r="K107" s="2"/>
      <c r="L107" s="2"/>
      <c r="M107" s="2"/>
      <c r="N107" s="2"/>
      <c r="O107" s="2"/>
      <c r="P107" s="2"/>
      <c r="Q107" s="2"/>
      <c r="R107" s="2"/>
      <c r="S107" s="2"/>
      <c r="T107" s="2"/>
      <c r="U107" s="2"/>
      <c r="V107" s="2"/>
      <c r="W107" s="2"/>
      <c r="X107" s="2"/>
      <c r="Y107" s="2"/>
      <c r="Z107" s="2"/>
    </row>
    <row r="108" ht="15.75" customHeight="1">
      <c r="A108" s="3"/>
      <c r="B108" s="3"/>
      <c r="C108" s="3"/>
      <c r="D108" s="3"/>
      <c r="E108" s="2"/>
      <c r="F108" s="3"/>
      <c r="G108" s="2"/>
      <c r="H108" s="2"/>
      <c r="I108" s="2"/>
      <c r="J108" s="2"/>
      <c r="K108" s="2"/>
      <c r="L108" s="2"/>
      <c r="M108" s="2"/>
      <c r="N108" s="2"/>
      <c r="O108" s="2"/>
      <c r="P108" s="2"/>
      <c r="Q108" s="2"/>
      <c r="R108" s="2"/>
      <c r="S108" s="2"/>
      <c r="T108" s="2"/>
      <c r="U108" s="2"/>
      <c r="V108" s="2"/>
      <c r="W108" s="2"/>
      <c r="X108" s="2"/>
      <c r="Y108" s="2"/>
      <c r="Z108" s="2"/>
    </row>
    <row r="109" ht="15.75" customHeight="1">
      <c r="A109" s="3"/>
      <c r="B109" s="3"/>
      <c r="C109" s="3"/>
      <c r="D109" s="3"/>
      <c r="E109" s="2"/>
      <c r="F109" s="3"/>
      <c r="G109" s="2"/>
      <c r="H109" s="2"/>
      <c r="I109" s="2"/>
      <c r="J109" s="2"/>
      <c r="K109" s="2"/>
      <c r="L109" s="2"/>
      <c r="M109" s="2"/>
      <c r="N109" s="2"/>
      <c r="O109" s="2"/>
      <c r="P109" s="2"/>
      <c r="Q109" s="2"/>
      <c r="R109" s="2"/>
      <c r="S109" s="2"/>
      <c r="T109" s="2"/>
      <c r="U109" s="2"/>
      <c r="V109" s="2"/>
      <c r="W109" s="2"/>
      <c r="X109" s="2"/>
      <c r="Y109" s="2"/>
      <c r="Z109" s="2"/>
    </row>
    <row r="110" ht="15.75" customHeight="1">
      <c r="A110" s="3"/>
      <c r="B110" s="3"/>
      <c r="C110" s="3"/>
      <c r="D110" s="3"/>
      <c r="E110" s="2"/>
      <c r="F110" s="3"/>
      <c r="G110" s="2"/>
      <c r="H110" s="2"/>
      <c r="I110" s="2"/>
      <c r="J110" s="2"/>
      <c r="K110" s="2"/>
      <c r="L110" s="2"/>
      <c r="M110" s="2"/>
      <c r="N110" s="2"/>
      <c r="O110" s="2"/>
      <c r="P110" s="2"/>
      <c r="Q110" s="2"/>
      <c r="R110" s="2"/>
      <c r="S110" s="2"/>
      <c r="T110" s="2"/>
      <c r="U110" s="2"/>
      <c r="V110" s="2"/>
      <c r="W110" s="2"/>
      <c r="X110" s="2"/>
      <c r="Y110" s="2"/>
      <c r="Z110" s="2"/>
    </row>
    <row r="111" ht="15.75" customHeight="1">
      <c r="A111" s="3"/>
      <c r="B111" s="3"/>
      <c r="C111" s="3"/>
      <c r="D111" s="3"/>
      <c r="E111" s="2"/>
      <c r="F111" s="3"/>
      <c r="G111" s="2"/>
      <c r="H111" s="2"/>
      <c r="I111" s="2"/>
      <c r="J111" s="2"/>
      <c r="K111" s="2"/>
      <c r="L111" s="2"/>
      <c r="M111" s="2"/>
      <c r="N111" s="2"/>
      <c r="O111" s="2"/>
      <c r="P111" s="2"/>
      <c r="Q111" s="2"/>
      <c r="R111" s="2"/>
      <c r="S111" s="2"/>
      <c r="T111" s="2"/>
      <c r="U111" s="2"/>
      <c r="V111" s="2"/>
      <c r="W111" s="2"/>
      <c r="X111" s="2"/>
      <c r="Y111" s="2"/>
      <c r="Z111" s="2"/>
    </row>
    <row r="112" ht="15.75" customHeight="1">
      <c r="A112" s="3"/>
      <c r="B112" s="3"/>
      <c r="C112" s="3"/>
      <c r="D112" s="3"/>
      <c r="E112" s="2"/>
      <c r="F112" s="3"/>
      <c r="G112" s="2"/>
      <c r="H112" s="2"/>
      <c r="I112" s="2"/>
      <c r="J112" s="2"/>
      <c r="K112" s="2"/>
      <c r="L112" s="2"/>
      <c r="M112" s="2"/>
      <c r="N112" s="2"/>
      <c r="O112" s="2"/>
      <c r="P112" s="2"/>
      <c r="Q112" s="2"/>
      <c r="R112" s="2"/>
      <c r="S112" s="2"/>
      <c r="T112" s="2"/>
      <c r="U112" s="2"/>
      <c r="V112" s="2"/>
      <c r="W112" s="2"/>
      <c r="X112" s="2"/>
      <c r="Y112" s="2"/>
      <c r="Z112" s="2"/>
    </row>
    <row r="113" ht="15.75" customHeight="1">
      <c r="A113" s="3"/>
      <c r="B113" s="3"/>
      <c r="C113" s="3"/>
      <c r="D113" s="3"/>
      <c r="E113" s="2"/>
      <c r="F113" s="3"/>
      <c r="G113" s="2"/>
      <c r="H113" s="2"/>
      <c r="I113" s="2"/>
      <c r="J113" s="2"/>
      <c r="K113" s="2"/>
      <c r="L113" s="2"/>
      <c r="M113" s="2"/>
      <c r="N113" s="2"/>
      <c r="O113" s="2"/>
      <c r="P113" s="2"/>
      <c r="Q113" s="2"/>
      <c r="R113" s="2"/>
      <c r="S113" s="2"/>
      <c r="T113" s="2"/>
      <c r="U113" s="2"/>
      <c r="V113" s="2"/>
      <c r="W113" s="2"/>
      <c r="X113" s="2"/>
      <c r="Y113" s="2"/>
      <c r="Z113" s="2"/>
    </row>
    <row r="114" ht="15.75" customHeight="1">
      <c r="A114" s="3"/>
      <c r="B114" s="3"/>
      <c r="C114" s="3"/>
      <c r="D114" s="3"/>
      <c r="E114" s="2"/>
      <c r="F114" s="3"/>
      <c r="G114" s="2"/>
      <c r="H114" s="2"/>
      <c r="I114" s="2"/>
      <c r="J114" s="2"/>
      <c r="K114" s="2"/>
      <c r="L114" s="2"/>
      <c r="M114" s="2"/>
      <c r="N114" s="2"/>
      <c r="O114" s="2"/>
      <c r="P114" s="2"/>
      <c r="Q114" s="2"/>
      <c r="R114" s="2"/>
      <c r="S114" s="2"/>
      <c r="T114" s="2"/>
      <c r="U114" s="2"/>
      <c r="V114" s="2"/>
      <c r="W114" s="2"/>
      <c r="X114" s="2"/>
      <c r="Y114" s="2"/>
      <c r="Z114" s="2"/>
    </row>
    <row r="115" ht="15.75" customHeight="1">
      <c r="A115" s="3"/>
      <c r="B115" s="3"/>
      <c r="C115" s="3"/>
      <c r="D115" s="3"/>
      <c r="E115" s="2"/>
      <c r="F115" s="3"/>
      <c r="G115" s="2"/>
      <c r="H115" s="2"/>
      <c r="I115" s="2"/>
      <c r="J115" s="2"/>
      <c r="K115" s="2"/>
      <c r="L115" s="2"/>
      <c r="M115" s="2"/>
      <c r="N115" s="2"/>
      <c r="O115" s="2"/>
      <c r="P115" s="2"/>
      <c r="Q115" s="2"/>
      <c r="R115" s="2"/>
      <c r="S115" s="2"/>
      <c r="T115" s="2"/>
      <c r="U115" s="2"/>
      <c r="V115" s="2"/>
      <c r="W115" s="2"/>
      <c r="X115" s="2"/>
      <c r="Y115" s="2"/>
      <c r="Z115" s="2"/>
    </row>
    <row r="116" ht="15.75" customHeight="1">
      <c r="A116" s="3"/>
      <c r="B116" s="3"/>
      <c r="C116" s="3"/>
      <c r="D116" s="3"/>
      <c r="E116" s="2"/>
      <c r="F116" s="3"/>
      <c r="G116" s="2"/>
      <c r="H116" s="2"/>
      <c r="I116" s="2"/>
      <c r="J116" s="2"/>
      <c r="K116" s="2"/>
      <c r="L116" s="2"/>
      <c r="M116" s="2"/>
      <c r="N116" s="2"/>
      <c r="O116" s="2"/>
      <c r="P116" s="2"/>
      <c r="Q116" s="2"/>
      <c r="R116" s="2"/>
      <c r="S116" s="2"/>
      <c r="T116" s="2"/>
      <c r="U116" s="2"/>
      <c r="V116" s="2"/>
      <c r="W116" s="2"/>
      <c r="X116" s="2"/>
      <c r="Y116" s="2"/>
      <c r="Z116" s="2"/>
    </row>
    <row r="117" ht="15.75" customHeight="1">
      <c r="A117" s="3"/>
      <c r="B117" s="3"/>
      <c r="C117" s="3"/>
      <c r="D117" s="3"/>
      <c r="E117" s="2"/>
      <c r="F117" s="3"/>
      <c r="G117" s="2"/>
      <c r="H117" s="2"/>
      <c r="I117" s="2"/>
      <c r="J117" s="2"/>
      <c r="K117" s="2"/>
      <c r="L117" s="2"/>
      <c r="M117" s="2"/>
      <c r="N117" s="2"/>
      <c r="O117" s="2"/>
      <c r="P117" s="2"/>
      <c r="Q117" s="2"/>
      <c r="R117" s="2"/>
      <c r="S117" s="2"/>
      <c r="T117" s="2"/>
      <c r="U117" s="2"/>
      <c r="V117" s="2"/>
      <c r="W117" s="2"/>
      <c r="X117" s="2"/>
      <c r="Y117" s="2"/>
      <c r="Z117" s="2"/>
    </row>
    <row r="118" ht="15.75" customHeight="1">
      <c r="A118" s="3"/>
      <c r="B118" s="3"/>
      <c r="C118" s="3"/>
      <c r="D118" s="3"/>
      <c r="E118" s="2"/>
      <c r="F118" s="3"/>
      <c r="G118" s="2"/>
      <c r="H118" s="2"/>
      <c r="I118" s="2"/>
      <c r="J118" s="2"/>
      <c r="K118" s="2"/>
      <c r="L118" s="2"/>
      <c r="M118" s="2"/>
      <c r="N118" s="2"/>
      <c r="O118" s="2"/>
      <c r="P118" s="2"/>
      <c r="Q118" s="2"/>
      <c r="R118" s="2"/>
      <c r="S118" s="2"/>
      <c r="T118" s="2"/>
      <c r="U118" s="2"/>
      <c r="V118" s="2"/>
      <c r="W118" s="2"/>
      <c r="X118" s="2"/>
      <c r="Y118" s="2"/>
      <c r="Z118" s="2"/>
    </row>
    <row r="119" ht="15.75" customHeight="1">
      <c r="A119" s="3"/>
      <c r="B119" s="3"/>
      <c r="C119" s="3"/>
      <c r="D119" s="3"/>
      <c r="E119" s="2"/>
      <c r="F119" s="3"/>
      <c r="G119" s="2"/>
      <c r="H119" s="2"/>
      <c r="I119" s="2"/>
      <c r="J119" s="2"/>
      <c r="K119" s="2"/>
      <c r="L119" s="2"/>
      <c r="M119" s="2"/>
      <c r="N119" s="2"/>
      <c r="O119" s="2"/>
      <c r="P119" s="2"/>
      <c r="Q119" s="2"/>
      <c r="R119" s="2"/>
      <c r="S119" s="2"/>
      <c r="T119" s="2"/>
      <c r="U119" s="2"/>
      <c r="V119" s="2"/>
      <c r="W119" s="2"/>
      <c r="X119" s="2"/>
      <c r="Y119" s="2"/>
      <c r="Z119" s="2"/>
    </row>
    <row r="120" ht="15.75" customHeight="1">
      <c r="A120" s="3"/>
      <c r="B120" s="3"/>
      <c r="C120" s="3"/>
      <c r="D120" s="3"/>
      <c r="E120" s="2"/>
      <c r="F120" s="3"/>
      <c r="G120" s="2"/>
      <c r="H120" s="2"/>
      <c r="I120" s="2"/>
      <c r="J120" s="2"/>
      <c r="K120" s="2"/>
      <c r="L120" s="2"/>
      <c r="M120" s="2"/>
      <c r="N120" s="2"/>
      <c r="O120" s="2"/>
      <c r="P120" s="2"/>
      <c r="Q120" s="2"/>
      <c r="R120" s="2"/>
      <c r="S120" s="2"/>
      <c r="T120" s="2"/>
      <c r="U120" s="2"/>
      <c r="V120" s="2"/>
      <c r="W120" s="2"/>
      <c r="X120" s="2"/>
      <c r="Y120" s="2"/>
      <c r="Z120" s="2"/>
    </row>
    <row r="121" ht="15.75" customHeight="1">
      <c r="A121" s="3"/>
      <c r="B121" s="3"/>
      <c r="C121" s="3"/>
      <c r="D121" s="3"/>
      <c r="E121" s="2"/>
      <c r="F121" s="3"/>
      <c r="G121" s="2"/>
      <c r="H121" s="2"/>
      <c r="I121" s="2"/>
      <c r="J121" s="2"/>
      <c r="K121" s="2"/>
      <c r="L121" s="2"/>
      <c r="M121" s="2"/>
      <c r="N121" s="2"/>
      <c r="O121" s="2"/>
      <c r="P121" s="2"/>
      <c r="Q121" s="2"/>
      <c r="R121" s="2"/>
      <c r="S121" s="2"/>
      <c r="T121" s="2"/>
      <c r="U121" s="2"/>
      <c r="V121" s="2"/>
      <c r="W121" s="2"/>
      <c r="X121" s="2"/>
      <c r="Y121" s="2"/>
      <c r="Z121" s="2"/>
    </row>
    <row r="122" ht="15.75" customHeight="1">
      <c r="A122" s="3"/>
      <c r="B122" s="3"/>
      <c r="C122" s="3"/>
      <c r="D122" s="3"/>
      <c r="E122" s="2"/>
      <c r="F122" s="3"/>
      <c r="G122" s="2"/>
      <c r="H122" s="2"/>
      <c r="I122" s="2"/>
      <c r="J122" s="2"/>
      <c r="K122" s="2"/>
      <c r="L122" s="2"/>
      <c r="M122" s="2"/>
      <c r="N122" s="2"/>
      <c r="O122" s="2"/>
      <c r="P122" s="2"/>
      <c r="Q122" s="2"/>
      <c r="R122" s="2"/>
      <c r="S122" s="2"/>
      <c r="T122" s="2"/>
      <c r="U122" s="2"/>
      <c r="V122" s="2"/>
      <c r="W122" s="2"/>
      <c r="X122" s="2"/>
      <c r="Y122" s="2"/>
      <c r="Z122" s="2"/>
    </row>
    <row r="123" ht="15.75" customHeight="1">
      <c r="A123" s="3"/>
      <c r="B123" s="3"/>
      <c r="C123" s="3"/>
      <c r="D123" s="3"/>
      <c r="E123" s="2"/>
      <c r="F123" s="3"/>
      <c r="G123" s="2"/>
      <c r="H123" s="2"/>
      <c r="I123" s="2"/>
      <c r="J123" s="2"/>
      <c r="K123" s="2"/>
      <c r="L123" s="2"/>
      <c r="M123" s="2"/>
      <c r="N123" s="2"/>
      <c r="O123" s="2"/>
      <c r="P123" s="2"/>
      <c r="Q123" s="2"/>
      <c r="R123" s="2"/>
      <c r="S123" s="2"/>
      <c r="T123" s="2"/>
      <c r="U123" s="2"/>
      <c r="V123" s="2"/>
      <c r="W123" s="2"/>
      <c r="X123" s="2"/>
      <c r="Y123" s="2"/>
      <c r="Z123" s="2"/>
    </row>
    <row r="124" ht="15.75" customHeight="1">
      <c r="A124" s="3"/>
      <c r="B124" s="3"/>
      <c r="C124" s="3"/>
      <c r="D124" s="3"/>
      <c r="E124" s="2"/>
      <c r="F124" s="3"/>
      <c r="G124" s="2"/>
      <c r="H124" s="2"/>
      <c r="I124" s="2"/>
      <c r="J124" s="2"/>
      <c r="K124" s="2"/>
      <c r="L124" s="2"/>
      <c r="M124" s="2"/>
      <c r="N124" s="2"/>
      <c r="O124" s="2"/>
      <c r="P124" s="2"/>
      <c r="Q124" s="2"/>
      <c r="R124" s="2"/>
      <c r="S124" s="2"/>
      <c r="T124" s="2"/>
      <c r="U124" s="2"/>
      <c r="V124" s="2"/>
      <c r="W124" s="2"/>
      <c r="X124" s="2"/>
      <c r="Y124" s="2"/>
      <c r="Z124" s="2"/>
    </row>
    <row r="125" ht="15.75" customHeight="1">
      <c r="A125" s="3"/>
      <c r="B125" s="3"/>
      <c r="C125" s="3"/>
      <c r="D125" s="3"/>
      <c r="E125" s="2"/>
      <c r="F125" s="3"/>
      <c r="G125" s="2"/>
      <c r="H125" s="2"/>
      <c r="I125" s="2"/>
      <c r="J125" s="2"/>
      <c r="K125" s="2"/>
      <c r="L125" s="2"/>
      <c r="M125" s="2"/>
      <c r="N125" s="2"/>
      <c r="O125" s="2"/>
      <c r="P125" s="2"/>
      <c r="Q125" s="2"/>
      <c r="R125" s="2"/>
      <c r="S125" s="2"/>
      <c r="T125" s="2"/>
      <c r="U125" s="2"/>
      <c r="V125" s="2"/>
      <c r="W125" s="2"/>
      <c r="X125" s="2"/>
      <c r="Y125" s="2"/>
      <c r="Z125" s="2"/>
    </row>
    <row r="126" ht="15.75" customHeight="1">
      <c r="A126" s="3"/>
      <c r="B126" s="3"/>
      <c r="C126" s="3"/>
      <c r="D126" s="3"/>
      <c r="E126" s="2"/>
      <c r="F126" s="3"/>
      <c r="G126" s="2"/>
      <c r="H126" s="2"/>
      <c r="I126" s="2"/>
      <c r="J126" s="2"/>
      <c r="K126" s="2"/>
      <c r="L126" s="2"/>
      <c r="M126" s="2"/>
      <c r="N126" s="2"/>
      <c r="O126" s="2"/>
      <c r="P126" s="2"/>
      <c r="Q126" s="2"/>
      <c r="R126" s="2"/>
      <c r="S126" s="2"/>
      <c r="T126" s="2"/>
      <c r="U126" s="2"/>
      <c r="V126" s="2"/>
      <c r="W126" s="2"/>
      <c r="X126" s="2"/>
      <c r="Y126" s="2"/>
      <c r="Z126" s="2"/>
    </row>
    <row r="127" ht="15.75" customHeight="1">
      <c r="A127" s="3"/>
      <c r="B127" s="3"/>
      <c r="C127" s="3"/>
      <c r="D127" s="3"/>
      <c r="E127" s="2"/>
      <c r="F127" s="3"/>
      <c r="G127" s="2"/>
      <c r="H127" s="2"/>
      <c r="I127" s="2"/>
      <c r="J127" s="2"/>
      <c r="K127" s="2"/>
      <c r="L127" s="2"/>
      <c r="M127" s="2"/>
      <c r="N127" s="2"/>
      <c r="O127" s="2"/>
      <c r="P127" s="2"/>
      <c r="Q127" s="2"/>
      <c r="R127" s="2"/>
      <c r="S127" s="2"/>
      <c r="T127" s="2"/>
      <c r="U127" s="2"/>
      <c r="V127" s="2"/>
      <c r="W127" s="2"/>
      <c r="X127" s="2"/>
      <c r="Y127" s="2"/>
      <c r="Z127" s="2"/>
    </row>
    <row r="128" ht="15.75" customHeight="1">
      <c r="A128" s="3"/>
      <c r="B128" s="3"/>
      <c r="C128" s="3"/>
      <c r="D128" s="3"/>
      <c r="E128" s="2"/>
      <c r="F128" s="3"/>
      <c r="G128" s="2"/>
      <c r="H128" s="2"/>
      <c r="I128" s="2"/>
      <c r="J128" s="2"/>
      <c r="K128" s="2"/>
      <c r="L128" s="2"/>
      <c r="M128" s="2"/>
      <c r="N128" s="2"/>
      <c r="O128" s="2"/>
      <c r="P128" s="2"/>
      <c r="Q128" s="2"/>
      <c r="R128" s="2"/>
      <c r="S128" s="2"/>
      <c r="T128" s="2"/>
      <c r="U128" s="2"/>
      <c r="V128" s="2"/>
      <c r="W128" s="2"/>
      <c r="X128" s="2"/>
      <c r="Y128" s="2"/>
      <c r="Z128" s="2"/>
    </row>
    <row r="129" ht="15.75" customHeight="1">
      <c r="A129" s="3"/>
      <c r="B129" s="3"/>
      <c r="C129" s="3"/>
      <c r="D129" s="3"/>
      <c r="E129" s="2"/>
      <c r="F129" s="3"/>
      <c r="G129" s="2"/>
      <c r="H129" s="2"/>
      <c r="I129" s="2"/>
      <c r="J129" s="2"/>
      <c r="K129" s="2"/>
      <c r="L129" s="2"/>
      <c r="M129" s="2"/>
      <c r="N129" s="2"/>
      <c r="O129" s="2"/>
      <c r="P129" s="2"/>
      <c r="Q129" s="2"/>
      <c r="R129" s="2"/>
      <c r="S129" s="2"/>
      <c r="T129" s="2"/>
      <c r="U129" s="2"/>
      <c r="V129" s="2"/>
      <c r="W129" s="2"/>
      <c r="X129" s="2"/>
      <c r="Y129" s="2"/>
      <c r="Z129" s="2"/>
    </row>
    <row r="130" ht="15.75" customHeight="1">
      <c r="A130" s="3"/>
      <c r="B130" s="3"/>
      <c r="C130" s="3"/>
      <c r="D130" s="3"/>
      <c r="E130" s="2"/>
      <c r="F130" s="3"/>
      <c r="G130" s="2"/>
      <c r="H130" s="2"/>
      <c r="I130" s="2"/>
      <c r="J130" s="2"/>
      <c r="K130" s="2"/>
      <c r="L130" s="2"/>
      <c r="M130" s="2"/>
      <c r="N130" s="2"/>
      <c r="O130" s="2"/>
      <c r="P130" s="2"/>
      <c r="Q130" s="2"/>
      <c r="R130" s="2"/>
      <c r="S130" s="2"/>
      <c r="T130" s="2"/>
      <c r="U130" s="2"/>
      <c r="V130" s="2"/>
      <c r="W130" s="2"/>
      <c r="X130" s="2"/>
      <c r="Y130" s="2"/>
      <c r="Z130" s="2"/>
    </row>
    <row r="131" ht="15.75" customHeight="1">
      <c r="A131" s="3"/>
      <c r="B131" s="3"/>
      <c r="C131" s="3"/>
      <c r="D131" s="3"/>
      <c r="E131" s="2"/>
      <c r="F131" s="3"/>
      <c r="G131" s="2"/>
      <c r="H131" s="2"/>
      <c r="I131" s="2"/>
      <c r="J131" s="2"/>
      <c r="K131" s="2"/>
      <c r="L131" s="2"/>
      <c r="M131" s="2"/>
      <c r="N131" s="2"/>
      <c r="O131" s="2"/>
      <c r="P131" s="2"/>
      <c r="Q131" s="2"/>
      <c r="R131" s="2"/>
      <c r="S131" s="2"/>
      <c r="T131" s="2"/>
      <c r="U131" s="2"/>
      <c r="V131" s="2"/>
      <c r="W131" s="2"/>
      <c r="X131" s="2"/>
      <c r="Y131" s="2"/>
      <c r="Z131" s="2"/>
    </row>
    <row r="132" ht="15.75" customHeight="1">
      <c r="A132" s="3"/>
      <c r="B132" s="3"/>
      <c r="C132" s="3"/>
      <c r="D132" s="3"/>
      <c r="E132" s="2"/>
      <c r="F132" s="3"/>
      <c r="G132" s="2"/>
      <c r="H132" s="2"/>
      <c r="I132" s="2"/>
      <c r="J132" s="2"/>
      <c r="K132" s="2"/>
      <c r="L132" s="2"/>
      <c r="M132" s="2"/>
      <c r="N132" s="2"/>
      <c r="O132" s="2"/>
      <c r="P132" s="2"/>
      <c r="Q132" s="2"/>
      <c r="R132" s="2"/>
      <c r="S132" s="2"/>
      <c r="T132" s="2"/>
      <c r="U132" s="2"/>
      <c r="V132" s="2"/>
      <c r="W132" s="2"/>
      <c r="X132" s="2"/>
      <c r="Y132" s="2"/>
      <c r="Z132" s="2"/>
    </row>
    <row r="133" ht="15.75" customHeight="1">
      <c r="A133" s="3"/>
      <c r="B133" s="3"/>
      <c r="C133" s="3"/>
      <c r="D133" s="3"/>
      <c r="E133" s="2"/>
      <c r="F133" s="3"/>
      <c r="G133" s="2"/>
      <c r="H133" s="2"/>
      <c r="I133" s="2"/>
      <c r="J133" s="2"/>
      <c r="K133" s="2"/>
      <c r="L133" s="2"/>
      <c r="M133" s="2"/>
      <c r="N133" s="2"/>
      <c r="O133" s="2"/>
      <c r="P133" s="2"/>
      <c r="Q133" s="2"/>
      <c r="R133" s="2"/>
      <c r="S133" s="2"/>
      <c r="T133" s="2"/>
      <c r="U133" s="2"/>
      <c r="V133" s="2"/>
      <c r="W133" s="2"/>
      <c r="X133" s="2"/>
      <c r="Y133" s="2"/>
      <c r="Z133" s="2"/>
    </row>
    <row r="134" ht="15.75" customHeight="1">
      <c r="A134" s="3"/>
      <c r="B134" s="3"/>
      <c r="C134" s="3"/>
      <c r="D134" s="3"/>
      <c r="E134" s="2"/>
      <c r="F134" s="3"/>
      <c r="G134" s="2"/>
      <c r="H134" s="2"/>
      <c r="I134" s="2"/>
      <c r="J134" s="2"/>
      <c r="K134" s="2"/>
      <c r="L134" s="2"/>
      <c r="M134" s="2"/>
      <c r="N134" s="2"/>
      <c r="O134" s="2"/>
      <c r="P134" s="2"/>
      <c r="Q134" s="2"/>
      <c r="R134" s="2"/>
      <c r="S134" s="2"/>
      <c r="T134" s="2"/>
      <c r="U134" s="2"/>
      <c r="V134" s="2"/>
      <c r="W134" s="2"/>
      <c r="X134" s="2"/>
      <c r="Y134" s="2"/>
      <c r="Z134" s="2"/>
    </row>
    <row r="135" ht="15.75" customHeight="1">
      <c r="A135" s="3"/>
      <c r="B135" s="3"/>
      <c r="C135" s="3"/>
      <c r="D135" s="3"/>
      <c r="E135" s="2"/>
      <c r="F135" s="3"/>
      <c r="G135" s="2"/>
      <c r="H135" s="2"/>
      <c r="I135" s="2"/>
      <c r="J135" s="2"/>
      <c r="K135" s="2"/>
      <c r="L135" s="2"/>
      <c r="M135" s="2"/>
      <c r="N135" s="2"/>
      <c r="O135" s="2"/>
      <c r="P135" s="2"/>
      <c r="Q135" s="2"/>
      <c r="R135" s="2"/>
      <c r="S135" s="2"/>
      <c r="T135" s="2"/>
      <c r="U135" s="2"/>
      <c r="V135" s="2"/>
      <c r="W135" s="2"/>
      <c r="X135" s="2"/>
      <c r="Y135" s="2"/>
      <c r="Z135" s="2"/>
    </row>
    <row r="136" ht="15.75" customHeight="1">
      <c r="A136" s="3"/>
      <c r="B136" s="3"/>
      <c r="C136" s="3"/>
      <c r="D136" s="3"/>
      <c r="E136" s="2"/>
      <c r="F136" s="3"/>
      <c r="G136" s="2"/>
      <c r="H136" s="2"/>
      <c r="I136" s="2"/>
      <c r="J136" s="2"/>
      <c r="K136" s="2"/>
      <c r="L136" s="2"/>
      <c r="M136" s="2"/>
      <c r="N136" s="2"/>
      <c r="O136" s="2"/>
      <c r="P136" s="2"/>
      <c r="Q136" s="2"/>
      <c r="R136" s="2"/>
      <c r="S136" s="2"/>
      <c r="T136" s="2"/>
      <c r="U136" s="2"/>
      <c r="V136" s="2"/>
      <c r="W136" s="2"/>
      <c r="X136" s="2"/>
      <c r="Y136" s="2"/>
      <c r="Z136" s="2"/>
    </row>
    <row r="137" ht="15.75" customHeight="1">
      <c r="A137" s="3"/>
      <c r="B137" s="3"/>
      <c r="C137" s="3"/>
      <c r="D137" s="3"/>
      <c r="E137" s="2"/>
      <c r="F137" s="3"/>
      <c r="G137" s="2"/>
      <c r="H137" s="2"/>
      <c r="I137" s="2"/>
      <c r="J137" s="2"/>
      <c r="K137" s="2"/>
      <c r="L137" s="2"/>
      <c r="M137" s="2"/>
      <c r="N137" s="2"/>
      <c r="O137" s="2"/>
      <c r="P137" s="2"/>
      <c r="Q137" s="2"/>
      <c r="R137" s="2"/>
      <c r="S137" s="2"/>
      <c r="T137" s="2"/>
      <c r="U137" s="2"/>
      <c r="V137" s="2"/>
      <c r="W137" s="2"/>
      <c r="X137" s="2"/>
      <c r="Y137" s="2"/>
      <c r="Z137" s="2"/>
    </row>
    <row r="138" ht="15.75" customHeight="1">
      <c r="A138" s="3"/>
      <c r="B138" s="3"/>
      <c r="C138" s="3"/>
      <c r="D138" s="3"/>
      <c r="E138" s="2"/>
      <c r="F138" s="3"/>
      <c r="G138" s="2"/>
      <c r="H138" s="2"/>
      <c r="I138" s="2"/>
      <c r="J138" s="2"/>
      <c r="K138" s="2"/>
      <c r="L138" s="2"/>
      <c r="M138" s="2"/>
      <c r="N138" s="2"/>
      <c r="O138" s="2"/>
      <c r="P138" s="2"/>
      <c r="Q138" s="2"/>
      <c r="R138" s="2"/>
      <c r="S138" s="2"/>
      <c r="T138" s="2"/>
      <c r="U138" s="2"/>
      <c r="V138" s="2"/>
      <c r="W138" s="2"/>
      <c r="X138" s="2"/>
      <c r="Y138" s="2"/>
      <c r="Z138" s="2"/>
    </row>
    <row r="139" ht="15.75" customHeight="1">
      <c r="A139" s="3"/>
      <c r="B139" s="3"/>
      <c r="C139" s="3"/>
      <c r="D139" s="3"/>
      <c r="E139" s="2"/>
      <c r="F139" s="3"/>
      <c r="G139" s="2"/>
      <c r="H139" s="2"/>
      <c r="I139" s="2"/>
      <c r="J139" s="2"/>
      <c r="K139" s="2"/>
      <c r="L139" s="2"/>
      <c r="M139" s="2"/>
      <c r="N139" s="2"/>
      <c r="O139" s="2"/>
      <c r="P139" s="2"/>
      <c r="Q139" s="2"/>
      <c r="R139" s="2"/>
      <c r="S139" s="2"/>
      <c r="T139" s="2"/>
      <c r="U139" s="2"/>
      <c r="V139" s="2"/>
      <c r="W139" s="2"/>
      <c r="X139" s="2"/>
      <c r="Y139" s="2"/>
      <c r="Z139" s="2"/>
    </row>
    <row r="140" ht="15.75" customHeight="1">
      <c r="A140" s="3"/>
      <c r="B140" s="3"/>
      <c r="C140" s="3"/>
      <c r="D140" s="3"/>
      <c r="E140" s="2"/>
      <c r="F140" s="3"/>
      <c r="G140" s="2"/>
      <c r="H140" s="2"/>
      <c r="I140" s="2"/>
      <c r="J140" s="2"/>
      <c r="K140" s="2"/>
      <c r="L140" s="2"/>
      <c r="M140" s="2"/>
      <c r="N140" s="2"/>
      <c r="O140" s="2"/>
      <c r="P140" s="2"/>
      <c r="Q140" s="2"/>
      <c r="R140" s="2"/>
      <c r="S140" s="2"/>
      <c r="T140" s="2"/>
      <c r="U140" s="2"/>
      <c r="V140" s="2"/>
      <c r="W140" s="2"/>
      <c r="X140" s="2"/>
      <c r="Y140" s="2"/>
      <c r="Z140" s="2"/>
    </row>
    <row r="141" ht="15.75" customHeight="1">
      <c r="A141" s="3"/>
      <c r="B141" s="3"/>
      <c r="C141" s="3"/>
      <c r="D141" s="3"/>
      <c r="E141" s="2"/>
      <c r="F141" s="3"/>
      <c r="G141" s="2"/>
      <c r="H141" s="2"/>
      <c r="I141" s="2"/>
      <c r="J141" s="2"/>
      <c r="K141" s="2"/>
      <c r="L141" s="2"/>
      <c r="M141" s="2"/>
      <c r="N141" s="2"/>
      <c r="O141" s="2"/>
      <c r="P141" s="2"/>
      <c r="Q141" s="2"/>
      <c r="R141" s="2"/>
      <c r="S141" s="2"/>
      <c r="T141" s="2"/>
      <c r="U141" s="2"/>
      <c r="V141" s="2"/>
      <c r="W141" s="2"/>
      <c r="X141" s="2"/>
      <c r="Y141" s="2"/>
      <c r="Z141" s="2"/>
    </row>
    <row r="142" ht="15.75" customHeight="1">
      <c r="A142" s="3"/>
      <c r="B142" s="3"/>
      <c r="C142" s="3"/>
      <c r="D142" s="3"/>
      <c r="E142" s="2"/>
      <c r="F142" s="3"/>
      <c r="G142" s="2"/>
      <c r="H142" s="2"/>
      <c r="I142" s="2"/>
      <c r="J142" s="2"/>
      <c r="K142" s="2"/>
      <c r="L142" s="2"/>
      <c r="M142" s="2"/>
      <c r="N142" s="2"/>
      <c r="O142" s="2"/>
      <c r="P142" s="2"/>
      <c r="Q142" s="2"/>
      <c r="R142" s="2"/>
      <c r="S142" s="2"/>
      <c r="T142" s="2"/>
      <c r="U142" s="2"/>
      <c r="V142" s="2"/>
      <c r="W142" s="2"/>
      <c r="X142" s="2"/>
      <c r="Y142" s="2"/>
      <c r="Z142" s="2"/>
    </row>
    <row r="143" ht="15.75" customHeight="1">
      <c r="A143" s="3"/>
      <c r="B143" s="3"/>
      <c r="C143" s="3"/>
      <c r="D143" s="3"/>
      <c r="E143" s="2"/>
      <c r="F143" s="3"/>
      <c r="G143" s="2"/>
      <c r="H143" s="2"/>
      <c r="I143" s="2"/>
      <c r="J143" s="2"/>
      <c r="K143" s="2"/>
      <c r="L143" s="2"/>
      <c r="M143" s="2"/>
      <c r="N143" s="2"/>
      <c r="O143" s="2"/>
      <c r="P143" s="2"/>
      <c r="Q143" s="2"/>
      <c r="R143" s="2"/>
      <c r="S143" s="2"/>
      <c r="T143" s="2"/>
      <c r="U143" s="2"/>
      <c r="V143" s="2"/>
      <c r="W143" s="2"/>
      <c r="X143" s="2"/>
      <c r="Y143" s="2"/>
      <c r="Z143" s="2"/>
    </row>
    <row r="144" ht="15.75" customHeight="1">
      <c r="A144" s="3"/>
      <c r="B144" s="3"/>
      <c r="C144" s="3"/>
      <c r="D144" s="3"/>
      <c r="E144" s="2"/>
      <c r="F144" s="3"/>
      <c r="G144" s="2"/>
      <c r="H144" s="2"/>
      <c r="I144" s="2"/>
      <c r="J144" s="2"/>
      <c r="K144" s="2"/>
      <c r="L144" s="2"/>
      <c r="M144" s="2"/>
      <c r="N144" s="2"/>
      <c r="O144" s="2"/>
      <c r="P144" s="2"/>
      <c r="Q144" s="2"/>
      <c r="R144" s="2"/>
      <c r="S144" s="2"/>
      <c r="T144" s="2"/>
      <c r="U144" s="2"/>
      <c r="V144" s="2"/>
      <c r="W144" s="2"/>
      <c r="X144" s="2"/>
      <c r="Y144" s="2"/>
      <c r="Z144" s="2"/>
    </row>
    <row r="145" ht="15.75" customHeight="1">
      <c r="A145" s="3"/>
      <c r="B145" s="3"/>
      <c r="C145" s="3"/>
      <c r="D145" s="3"/>
      <c r="E145" s="2"/>
      <c r="F145" s="3"/>
      <c r="G145" s="2"/>
      <c r="H145" s="2"/>
      <c r="I145" s="2"/>
      <c r="J145" s="2"/>
      <c r="K145" s="2"/>
      <c r="L145" s="2"/>
      <c r="M145" s="2"/>
      <c r="N145" s="2"/>
      <c r="O145" s="2"/>
      <c r="P145" s="2"/>
      <c r="Q145" s="2"/>
      <c r="R145" s="2"/>
      <c r="S145" s="2"/>
      <c r="T145" s="2"/>
      <c r="U145" s="2"/>
      <c r="V145" s="2"/>
      <c r="W145" s="2"/>
      <c r="X145" s="2"/>
      <c r="Y145" s="2"/>
      <c r="Z145" s="2"/>
    </row>
    <row r="146" ht="15.75" customHeight="1">
      <c r="A146" s="3"/>
      <c r="B146" s="3"/>
      <c r="C146" s="3"/>
      <c r="D146" s="3"/>
      <c r="E146" s="2"/>
      <c r="F146" s="3"/>
      <c r="G146" s="2"/>
      <c r="H146" s="2"/>
      <c r="I146" s="2"/>
      <c r="J146" s="2"/>
      <c r="K146" s="2"/>
      <c r="L146" s="2"/>
      <c r="M146" s="2"/>
      <c r="N146" s="2"/>
      <c r="O146" s="2"/>
      <c r="P146" s="2"/>
      <c r="Q146" s="2"/>
      <c r="R146" s="2"/>
      <c r="S146" s="2"/>
      <c r="T146" s="2"/>
      <c r="U146" s="2"/>
      <c r="V146" s="2"/>
      <c r="W146" s="2"/>
      <c r="X146" s="2"/>
      <c r="Y146" s="2"/>
      <c r="Z146" s="2"/>
    </row>
    <row r="147" ht="15.75" customHeight="1">
      <c r="A147" s="3"/>
      <c r="B147" s="3"/>
      <c r="C147" s="3"/>
      <c r="D147" s="3"/>
      <c r="E147" s="2"/>
      <c r="F147" s="3"/>
      <c r="G147" s="2"/>
      <c r="H147" s="2"/>
      <c r="I147" s="2"/>
      <c r="J147" s="2"/>
      <c r="K147" s="2"/>
      <c r="L147" s="2"/>
      <c r="M147" s="2"/>
      <c r="N147" s="2"/>
      <c r="O147" s="2"/>
      <c r="P147" s="2"/>
      <c r="Q147" s="2"/>
      <c r="R147" s="2"/>
      <c r="S147" s="2"/>
      <c r="T147" s="2"/>
      <c r="U147" s="2"/>
      <c r="V147" s="2"/>
      <c r="W147" s="2"/>
      <c r="X147" s="2"/>
      <c r="Y147" s="2"/>
      <c r="Z147" s="2"/>
    </row>
    <row r="148" ht="15.75" customHeight="1">
      <c r="A148" s="3"/>
      <c r="B148" s="3"/>
      <c r="C148" s="3"/>
      <c r="D148" s="3"/>
      <c r="E148" s="2"/>
      <c r="F148" s="3"/>
      <c r="G148" s="2"/>
      <c r="H148" s="2"/>
      <c r="I148" s="2"/>
      <c r="J148" s="2"/>
      <c r="K148" s="2"/>
      <c r="L148" s="2"/>
      <c r="M148" s="2"/>
      <c r="N148" s="2"/>
      <c r="O148" s="2"/>
      <c r="P148" s="2"/>
      <c r="Q148" s="2"/>
      <c r="R148" s="2"/>
      <c r="S148" s="2"/>
      <c r="T148" s="2"/>
      <c r="U148" s="2"/>
      <c r="V148" s="2"/>
      <c r="W148" s="2"/>
      <c r="X148" s="2"/>
      <c r="Y148" s="2"/>
      <c r="Z148" s="2"/>
    </row>
    <row r="149" ht="15.75" customHeight="1">
      <c r="A149" s="3"/>
      <c r="B149" s="3"/>
      <c r="C149" s="3"/>
      <c r="D149" s="3"/>
      <c r="E149" s="2"/>
      <c r="F149" s="3"/>
      <c r="G149" s="2"/>
      <c r="H149" s="2"/>
      <c r="I149" s="2"/>
      <c r="J149" s="2"/>
      <c r="K149" s="2"/>
      <c r="L149" s="2"/>
      <c r="M149" s="2"/>
      <c r="N149" s="2"/>
      <c r="O149" s="2"/>
      <c r="P149" s="2"/>
      <c r="Q149" s="2"/>
      <c r="R149" s="2"/>
      <c r="S149" s="2"/>
      <c r="T149" s="2"/>
      <c r="U149" s="2"/>
      <c r="V149" s="2"/>
      <c r="W149" s="2"/>
      <c r="X149" s="2"/>
      <c r="Y149" s="2"/>
      <c r="Z149" s="2"/>
    </row>
    <row r="150" ht="15.75" customHeight="1">
      <c r="A150" s="3"/>
      <c r="B150" s="3"/>
      <c r="C150" s="3"/>
      <c r="D150" s="3"/>
      <c r="E150" s="2"/>
      <c r="F150" s="3"/>
      <c r="G150" s="2"/>
      <c r="H150" s="2"/>
      <c r="I150" s="2"/>
      <c r="J150" s="2"/>
      <c r="K150" s="2"/>
      <c r="L150" s="2"/>
      <c r="M150" s="2"/>
      <c r="N150" s="2"/>
      <c r="O150" s="2"/>
      <c r="P150" s="2"/>
      <c r="Q150" s="2"/>
      <c r="R150" s="2"/>
      <c r="S150" s="2"/>
      <c r="T150" s="2"/>
      <c r="U150" s="2"/>
      <c r="V150" s="2"/>
      <c r="W150" s="2"/>
      <c r="X150" s="2"/>
      <c r="Y150" s="2"/>
      <c r="Z150" s="2"/>
    </row>
    <row r="151" ht="15.75" customHeight="1">
      <c r="A151" s="3"/>
      <c r="B151" s="3"/>
      <c r="C151" s="3"/>
      <c r="D151" s="3"/>
      <c r="E151" s="2"/>
      <c r="F151" s="3"/>
      <c r="G151" s="2"/>
      <c r="H151" s="2"/>
      <c r="I151" s="2"/>
      <c r="J151" s="2"/>
      <c r="K151" s="2"/>
      <c r="L151" s="2"/>
      <c r="M151" s="2"/>
      <c r="N151" s="2"/>
      <c r="O151" s="2"/>
      <c r="P151" s="2"/>
      <c r="Q151" s="2"/>
      <c r="R151" s="2"/>
      <c r="S151" s="2"/>
      <c r="T151" s="2"/>
      <c r="U151" s="2"/>
      <c r="V151" s="2"/>
      <c r="W151" s="2"/>
      <c r="X151" s="2"/>
      <c r="Y151" s="2"/>
      <c r="Z151" s="2"/>
    </row>
    <row r="152" ht="15.75" customHeight="1">
      <c r="A152" s="3"/>
      <c r="B152" s="3"/>
      <c r="C152" s="3"/>
      <c r="D152" s="3"/>
      <c r="E152" s="2"/>
      <c r="F152" s="3"/>
      <c r="G152" s="2"/>
      <c r="H152" s="2"/>
      <c r="I152" s="2"/>
      <c r="J152" s="2"/>
      <c r="K152" s="2"/>
      <c r="L152" s="2"/>
      <c r="M152" s="2"/>
      <c r="N152" s="2"/>
      <c r="O152" s="2"/>
      <c r="P152" s="2"/>
      <c r="Q152" s="2"/>
      <c r="R152" s="2"/>
      <c r="S152" s="2"/>
      <c r="T152" s="2"/>
      <c r="U152" s="2"/>
      <c r="V152" s="2"/>
      <c r="W152" s="2"/>
      <c r="X152" s="2"/>
      <c r="Y152" s="2"/>
      <c r="Z152" s="2"/>
    </row>
    <row r="153" ht="15.75" customHeight="1">
      <c r="A153" s="3"/>
      <c r="B153" s="3"/>
      <c r="C153" s="3"/>
      <c r="D153" s="3"/>
      <c r="E153" s="2"/>
      <c r="F153" s="3"/>
      <c r="G153" s="2"/>
      <c r="H153" s="2"/>
      <c r="I153" s="2"/>
      <c r="J153" s="2"/>
      <c r="K153" s="2"/>
      <c r="L153" s="2"/>
      <c r="M153" s="2"/>
      <c r="N153" s="2"/>
      <c r="O153" s="2"/>
      <c r="P153" s="2"/>
      <c r="Q153" s="2"/>
      <c r="R153" s="2"/>
      <c r="S153" s="2"/>
      <c r="T153" s="2"/>
      <c r="U153" s="2"/>
      <c r="V153" s="2"/>
      <c r="W153" s="2"/>
      <c r="X153" s="2"/>
      <c r="Y153" s="2"/>
      <c r="Z153" s="2"/>
    </row>
    <row r="154" ht="15.75" customHeight="1">
      <c r="A154" s="3"/>
      <c r="B154" s="3"/>
      <c r="C154" s="3"/>
      <c r="D154" s="3"/>
      <c r="E154" s="2"/>
      <c r="F154" s="3"/>
      <c r="G154" s="2"/>
      <c r="H154" s="2"/>
      <c r="I154" s="2"/>
      <c r="J154" s="2"/>
      <c r="K154" s="2"/>
      <c r="L154" s="2"/>
      <c r="M154" s="2"/>
      <c r="N154" s="2"/>
      <c r="O154" s="2"/>
      <c r="P154" s="2"/>
      <c r="Q154" s="2"/>
      <c r="R154" s="2"/>
      <c r="S154" s="2"/>
      <c r="T154" s="2"/>
      <c r="U154" s="2"/>
      <c r="V154" s="2"/>
      <c r="W154" s="2"/>
      <c r="X154" s="2"/>
      <c r="Y154" s="2"/>
      <c r="Z154" s="2"/>
    </row>
    <row r="155" ht="15.75" customHeight="1">
      <c r="A155" s="3"/>
      <c r="B155" s="3"/>
      <c r="C155" s="3"/>
      <c r="D155" s="3"/>
      <c r="E155" s="2"/>
      <c r="F155" s="3"/>
      <c r="G155" s="2"/>
      <c r="H155" s="2"/>
      <c r="I155" s="2"/>
      <c r="J155" s="2"/>
      <c r="K155" s="2"/>
      <c r="L155" s="2"/>
      <c r="M155" s="2"/>
      <c r="N155" s="2"/>
      <c r="O155" s="2"/>
      <c r="P155" s="2"/>
      <c r="Q155" s="2"/>
      <c r="R155" s="2"/>
      <c r="S155" s="2"/>
      <c r="T155" s="2"/>
      <c r="U155" s="2"/>
      <c r="V155" s="2"/>
      <c r="W155" s="2"/>
      <c r="X155" s="2"/>
      <c r="Y155" s="2"/>
      <c r="Z155" s="2"/>
    </row>
    <row r="156" ht="15.75" customHeight="1">
      <c r="A156" s="3"/>
      <c r="B156" s="3"/>
      <c r="C156" s="3"/>
      <c r="D156" s="3"/>
      <c r="E156" s="2"/>
      <c r="F156" s="3"/>
      <c r="G156" s="2"/>
      <c r="H156" s="2"/>
      <c r="I156" s="2"/>
      <c r="J156" s="2"/>
      <c r="K156" s="2"/>
      <c r="L156" s="2"/>
      <c r="M156" s="2"/>
      <c r="N156" s="2"/>
      <c r="O156" s="2"/>
      <c r="P156" s="2"/>
      <c r="Q156" s="2"/>
      <c r="R156" s="2"/>
      <c r="S156" s="2"/>
      <c r="T156" s="2"/>
      <c r="U156" s="2"/>
      <c r="V156" s="2"/>
      <c r="W156" s="2"/>
      <c r="X156" s="2"/>
      <c r="Y156" s="2"/>
      <c r="Z156" s="2"/>
    </row>
    <row r="157" ht="15.75" customHeight="1">
      <c r="A157" s="3"/>
      <c r="B157" s="3"/>
      <c r="C157" s="3"/>
      <c r="D157" s="3"/>
      <c r="E157" s="2"/>
      <c r="F157" s="3"/>
      <c r="G157" s="2"/>
      <c r="H157" s="2"/>
      <c r="I157" s="2"/>
      <c r="J157" s="2"/>
      <c r="K157" s="2"/>
      <c r="L157" s="2"/>
      <c r="M157" s="2"/>
      <c r="N157" s="2"/>
      <c r="O157" s="2"/>
      <c r="P157" s="2"/>
      <c r="Q157" s="2"/>
      <c r="R157" s="2"/>
      <c r="S157" s="2"/>
      <c r="T157" s="2"/>
      <c r="U157" s="2"/>
      <c r="V157" s="2"/>
      <c r="W157" s="2"/>
      <c r="X157" s="2"/>
      <c r="Y157" s="2"/>
      <c r="Z157" s="2"/>
    </row>
    <row r="158" ht="15.75" customHeight="1">
      <c r="A158" s="3"/>
      <c r="B158" s="3"/>
      <c r="C158" s="3"/>
      <c r="D158" s="3"/>
      <c r="E158" s="2"/>
      <c r="F158" s="3"/>
      <c r="G158" s="2"/>
      <c r="H158" s="2"/>
      <c r="I158" s="2"/>
      <c r="J158" s="2"/>
      <c r="K158" s="2"/>
      <c r="L158" s="2"/>
      <c r="M158" s="2"/>
      <c r="N158" s="2"/>
      <c r="O158" s="2"/>
      <c r="P158" s="2"/>
      <c r="Q158" s="2"/>
      <c r="R158" s="2"/>
      <c r="S158" s="2"/>
      <c r="T158" s="2"/>
      <c r="U158" s="2"/>
      <c r="V158" s="2"/>
      <c r="W158" s="2"/>
      <c r="X158" s="2"/>
      <c r="Y158" s="2"/>
      <c r="Z158" s="2"/>
    </row>
    <row r="159" ht="15.75" customHeight="1">
      <c r="A159" s="3"/>
      <c r="B159" s="3"/>
      <c r="C159" s="3"/>
      <c r="D159" s="3"/>
      <c r="E159" s="2"/>
      <c r="F159" s="3"/>
      <c r="G159" s="2"/>
      <c r="H159" s="2"/>
      <c r="I159" s="2"/>
      <c r="J159" s="2"/>
      <c r="K159" s="2"/>
      <c r="L159" s="2"/>
      <c r="M159" s="2"/>
      <c r="N159" s="2"/>
      <c r="O159" s="2"/>
      <c r="P159" s="2"/>
      <c r="Q159" s="2"/>
      <c r="R159" s="2"/>
      <c r="S159" s="2"/>
      <c r="T159" s="2"/>
      <c r="U159" s="2"/>
      <c r="V159" s="2"/>
      <c r="W159" s="2"/>
      <c r="X159" s="2"/>
      <c r="Y159" s="2"/>
      <c r="Z159" s="2"/>
    </row>
    <row r="160" ht="15.75" customHeight="1">
      <c r="A160" s="3"/>
      <c r="B160" s="3"/>
      <c r="C160" s="3"/>
      <c r="D160" s="3"/>
      <c r="E160" s="2"/>
      <c r="F160" s="3"/>
      <c r="G160" s="2"/>
      <c r="H160" s="2"/>
      <c r="I160" s="2"/>
      <c r="J160" s="2"/>
      <c r="K160" s="2"/>
      <c r="L160" s="2"/>
      <c r="M160" s="2"/>
      <c r="N160" s="2"/>
      <c r="O160" s="2"/>
      <c r="P160" s="2"/>
      <c r="Q160" s="2"/>
      <c r="R160" s="2"/>
      <c r="S160" s="2"/>
      <c r="T160" s="2"/>
      <c r="U160" s="2"/>
      <c r="V160" s="2"/>
      <c r="W160" s="2"/>
      <c r="X160" s="2"/>
      <c r="Y160" s="2"/>
      <c r="Z160" s="2"/>
    </row>
    <row r="161" ht="15.75" customHeight="1">
      <c r="A161" s="3"/>
      <c r="B161" s="3"/>
      <c r="C161" s="3"/>
      <c r="D161" s="3"/>
      <c r="E161" s="2"/>
      <c r="F161" s="3"/>
      <c r="G161" s="2"/>
      <c r="H161" s="2"/>
      <c r="I161" s="2"/>
      <c r="J161" s="2"/>
      <c r="K161" s="2"/>
      <c r="L161" s="2"/>
      <c r="M161" s="2"/>
      <c r="N161" s="2"/>
      <c r="O161" s="2"/>
      <c r="P161" s="2"/>
      <c r="Q161" s="2"/>
      <c r="R161" s="2"/>
      <c r="S161" s="2"/>
      <c r="T161" s="2"/>
      <c r="U161" s="2"/>
      <c r="V161" s="2"/>
      <c r="W161" s="2"/>
      <c r="X161" s="2"/>
      <c r="Y161" s="2"/>
      <c r="Z161" s="2"/>
    </row>
    <row r="162" ht="15.75" customHeight="1">
      <c r="A162" s="3"/>
      <c r="B162" s="3"/>
      <c r="C162" s="3"/>
      <c r="D162" s="3"/>
      <c r="E162" s="2"/>
      <c r="F162" s="3"/>
      <c r="G162" s="2"/>
      <c r="H162" s="2"/>
      <c r="I162" s="2"/>
      <c r="J162" s="2"/>
      <c r="K162" s="2"/>
      <c r="L162" s="2"/>
      <c r="M162" s="2"/>
      <c r="N162" s="2"/>
      <c r="O162" s="2"/>
      <c r="P162" s="2"/>
      <c r="Q162" s="2"/>
      <c r="R162" s="2"/>
      <c r="S162" s="2"/>
      <c r="T162" s="2"/>
      <c r="U162" s="2"/>
      <c r="V162" s="2"/>
      <c r="W162" s="2"/>
      <c r="X162" s="2"/>
      <c r="Y162" s="2"/>
      <c r="Z162" s="2"/>
    </row>
    <row r="163" ht="15.75" customHeight="1">
      <c r="A163" s="3"/>
      <c r="B163" s="3"/>
      <c r="C163" s="3"/>
      <c r="D163" s="3"/>
      <c r="E163" s="2"/>
      <c r="F163" s="3"/>
      <c r="G163" s="2"/>
      <c r="H163" s="2"/>
      <c r="I163" s="2"/>
      <c r="J163" s="2"/>
      <c r="K163" s="2"/>
      <c r="L163" s="2"/>
      <c r="M163" s="2"/>
      <c r="N163" s="2"/>
      <c r="O163" s="2"/>
      <c r="P163" s="2"/>
      <c r="Q163" s="2"/>
      <c r="R163" s="2"/>
      <c r="S163" s="2"/>
      <c r="T163" s="2"/>
      <c r="U163" s="2"/>
      <c r="V163" s="2"/>
      <c r="W163" s="2"/>
      <c r="X163" s="2"/>
      <c r="Y163" s="2"/>
      <c r="Z163" s="2"/>
    </row>
    <row r="164" ht="15.75" customHeight="1">
      <c r="A164" s="3"/>
      <c r="B164" s="3"/>
      <c r="C164" s="3"/>
      <c r="D164" s="3"/>
      <c r="E164" s="2"/>
      <c r="F164" s="3"/>
      <c r="G164" s="2"/>
      <c r="H164" s="2"/>
      <c r="I164" s="2"/>
      <c r="J164" s="2"/>
      <c r="K164" s="2"/>
      <c r="L164" s="2"/>
      <c r="M164" s="2"/>
      <c r="N164" s="2"/>
      <c r="O164" s="2"/>
      <c r="P164" s="2"/>
      <c r="Q164" s="2"/>
      <c r="R164" s="2"/>
      <c r="S164" s="2"/>
      <c r="T164" s="2"/>
      <c r="U164" s="2"/>
      <c r="V164" s="2"/>
      <c r="W164" s="2"/>
      <c r="X164" s="2"/>
      <c r="Y164" s="2"/>
      <c r="Z164" s="2"/>
    </row>
    <row r="165" ht="15.75" customHeight="1">
      <c r="A165" s="3"/>
      <c r="B165" s="3"/>
      <c r="C165" s="3"/>
      <c r="D165" s="3"/>
      <c r="E165" s="2"/>
      <c r="F165" s="3"/>
      <c r="G165" s="2"/>
      <c r="H165" s="2"/>
      <c r="I165" s="2"/>
      <c r="J165" s="2"/>
      <c r="K165" s="2"/>
      <c r="L165" s="2"/>
      <c r="M165" s="2"/>
      <c r="N165" s="2"/>
      <c r="O165" s="2"/>
      <c r="P165" s="2"/>
      <c r="Q165" s="2"/>
      <c r="R165" s="2"/>
      <c r="S165" s="2"/>
      <c r="T165" s="2"/>
      <c r="U165" s="2"/>
      <c r="V165" s="2"/>
      <c r="W165" s="2"/>
      <c r="X165" s="2"/>
      <c r="Y165" s="2"/>
      <c r="Z165" s="2"/>
    </row>
    <row r="166" ht="15.75" customHeight="1">
      <c r="A166" s="3"/>
      <c r="B166" s="3"/>
      <c r="C166" s="3"/>
      <c r="D166" s="3"/>
      <c r="E166" s="2"/>
      <c r="F166" s="3"/>
      <c r="G166" s="2"/>
      <c r="H166" s="2"/>
      <c r="I166" s="2"/>
      <c r="J166" s="2"/>
      <c r="K166" s="2"/>
      <c r="L166" s="2"/>
      <c r="M166" s="2"/>
      <c r="N166" s="2"/>
      <c r="O166" s="2"/>
      <c r="P166" s="2"/>
      <c r="Q166" s="2"/>
      <c r="R166" s="2"/>
      <c r="S166" s="2"/>
      <c r="T166" s="2"/>
      <c r="U166" s="2"/>
      <c r="V166" s="2"/>
      <c r="W166" s="2"/>
      <c r="X166" s="2"/>
      <c r="Y166" s="2"/>
      <c r="Z166" s="2"/>
    </row>
    <row r="167" ht="15.75" customHeight="1">
      <c r="A167" s="3"/>
      <c r="B167" s="3"/>
      <c r="C167" s="3"/>
      <c r="D167" s="3"/>
      <c r="E167" s="2"/>
      <c r="F167" s="3"/>
      <c r="G167" s="2"/>
      <c r="H167" s="2"/>
      <c r="I167" s="2"/>
      <c r="J167" s="2"/>
      <c r="K167" s="2"/>
      <c r="L167" s="2"/>
      <c r="M167" s="2"/>
      <c r="N167" s="2"/>
      <c r="O167" s="2"/>
      <c r="P167" s="2"/>
      <c r="Q167" s="2"/>
      <c r="R167" s="2"/>
      <c r="S167" s="2"/>
      <c r="T167" s="2"/>
      <c r="U167" s="2"/>
      <c r="V167" s="2"/>
      <c r="W167" s="2"/>
      <c r="X167" s="2"/>
      <c r="Y167" s="2"/>
      <c r="Z167" s="2"/>
    </row>
    <row r="168" ht="15.75" customHeight="1">
      <c r="A168" s="3"/>
      <c r="B168" s="3"/>
      <c r="C168" s="3"/>
      <c r="D168" s="3"/>
      <c r="E168" s="2"/>
      <c r="F168" s="3"/>
      <c r="G168" s="2"/>
      <c r="H168" s="2"/>
      <c r="I168" s="2"/>
      <c r="J168" s="2"/>
      <c r="K168" s="2"/>
      <c r="L168" s="2"/>
      <c r="M168" s="2"/>
      <c r="N168" s="2"/>
      <c r="O168" s="2"/>
      <c r="P168" s="2"/>
      <c r="Q168" s="2"/>
      <c r="R168" s="2"/>
      <c r="S168" s="2"/>
      <c r="T168" s="2"/>
      <c r="U168" s="2"/>
      <c r="V168" s="2"/>
      <c r="W168" s="2"/>
      <c r="X168" s="2"/>
      <c r="Y168" s="2"/>
      <c r="Z168" s="2"/>
    </row>
    <row r="169" ht="15.75" customHeight="1">
      <c r="A169" s="3"/>
      <c r="B169" s="3"/>
      <c r="C169" s="3"/>
      <c r="D169" s="3"/>
      <c r="E169" s="2"/>
      <c r="F169" s="3"/>
      <c r="G169" s="2"/>
      <c r="H169" s="2"/>
      <c r="I169" s="2"/>
      <c r="J169" s="2"/>
      <c r="K169" s="2"/>
      <c r="L169" s="2"/>
      <c r="M169" s="2"/>
      <c r="N169" s="2"/>
      <c r="O169" s="2"/>
      <c r="P169" s="2"/>
      <c r="Q169" s="2"/>
      <c r="R169" s="2"/>
      <c r="S169" s="2"/>
      <c r="T169" s="2"/>
      <c r="U169" s="2"/>
      <c r="V169" s="2"/>
      <c r="W169" s="2"/>
      <c r="X169" s="2"/>
      <c r="Y169" s="2"/>
      <c r="Z169" s="2"/>
    </row>
    <row r="170" ht="15.75" customHeight="1">
      <c r="A170" s="3"/>
      <c r="B170" s="3"/>
      <c r="C170" s="3"/>
      <c r="D170" s="3"/>
      <c r="E170" s="2"/>
      <c r="F170" s="3"/>
      <c r="G170" s="2"/>
      <c r="H170" s="2"/>
      <c r="I170" s="2"/>
      <c r="J170" s="2"/>
      <c r="K170" s="2"/>
      <c r="L170" s="2"/>
      <c r="M170" s="2"/>
      <c r="N170" s="2"/>
      <c r="O170" s="2"/>
      <c r="P170" s="2"/>
      <c r="Q170" s="2"/>
      <c r="R170" s="2"/>
      <c r="S170" s="2"/>
      <c r="T170" s="2"/>
      <c r="U170" s="2"/>
      <c r="V170" s="2"/>
      <c r="W170" s="2"/>
      <c r="X170" s="2"/>
      <c r="Y170" s="2"/>
      <c r="Z170" s="2"/>
    </row>
    <row r="171" ht="15.75" customHeight="1">
      <c r="A171" s="3"/>
      <c r="B171" s="3"/>
      <c r="C171" s="3"/>
      <c r="D171" s="3"/>
      <c r="E171" s="2"/>
      <c r="F171" s="3"/>
      <c r="G171" s="2"/>
      <c r="H171" s="2"/>
      <c r="I171" s="2"/>
      <c r="J171" s="2"/>
      <c r="K171" s="2"/>
      <c r="L171" s="2"/>
      <c r="M171" s="2"/>
      <c r="N171" s="2"/>
      <c r="O171" s="2"/>
      <c r="P171" s="2"/>
      <c r="Q171" s="2"/>
      <c r="R171" s="2"/>
      <c r="S171" s="2"/>
      <c r="T171" s="2"/>
      <c r="U171" s="2"/>
      <c r="V171" s="2"/>
      <c r="W171" s="2"/>
      <c r="X171" s="2"/>
      <c r="Y171" s="2"/>
      <c r="Z171" s="2"/>
    </row>
    <row r="172" ht="15.75" customHeight="1">
      <c r="A172" s="3"/>
      <c r="B172" s="3"/>
      <c r="C172" s="3"/>
      <c r="D172" s="3"/>
      <c r="E172" s="2"/>
      <c r="F172" s="3"/>
      <c r="G172" s="2"/>
      <c r="H172" s="2"/>
      <c r="I172" s="2"/>
      <c r="J172" s="2"/>
      <c r="K172" s="2"/>
      <c r="L172" s="2"/>
      <c r="M172" s="2"/>
      <c r="N172" s="2"/>
      <c r="O172" s="2"/>
      <c r="P172" s="2"/>
      <c r="Q172" s="2"/>
      <c r="R172" s="2"/>
      <c r="S172" s="2"/>
      <c r="T172" s="2"/>
      <c r="U172" s="2"/>
      <c r="V172" s="2"/>
      <c r="W172" s="2"/>
      <c r="X172" s="2"/>
      <c r="Y172" s="2"/>
      <c r="Z172" s="2"/>
    </row>
    <row r="173" ht="15.75" customHeight="1">
      <c r="A173" s="3"/>
      <c r="B173" s="3"/>
      <c r="C173" s="3"/>
      <c r="D173" s="3"/>
      <c r="E173" s="2"/>
      <c r="F173" s="3"/>
      <c r="G173" s="2"/>
      <c r="H173" s="2"/>
      <c r="I173" s="2"/>
      <c r="J173" s="2"/>
      <c r="K173" s="2"/>
      <c r="L173" s="2"/>
      <c r="M173" s="2"/>
      <c r="N173" s="2"/>
      <c r="O173" s="2"/>
      <c r="P173" s="2"/>
      <c r="Q173" s="2"/>
      <c r="R173" s="2"/>
      <c r="S173" s="2"/>
      <c r="T173" s="2"/>
      <c r="U173" s="2"/>
      <c r="V173" s="2"/>
      <c r="W173" s="2"/>
      <c r="X173" s="2"/>
      <c r="Y173" s="2"/>
      <c r="Z173" s="2"/>
    </row>
    <row r="174" ht="15.75" customHeight="1">
      <c r="A174" s="3"/>
      <c r="B174" s="3"/>
      <c r="C174" s="3"/>
      <c r="D174" s="3"/>
      <c r="E174" s="2"/>
      <c r="F174" s="3"/>
      <c r="G174" s="2"/>
      <c r="H174" s="2"/>
      <c r="I174" s="2"/>
      <c r="J174" s="2"/>
      <c r="K174" s="2"/>
      <c r="L174" s="2"/>
      <c r="M174" s="2"/>
      <c r="N174" s="2"/>
      <c r="O174" s="2"/>
      <c r="P174" s="2"/>
      <c r="Q174" s="2"/>
      <c r="R174" s="2"/>
      <c r="S174" s="2"/>
      <c r="T174" s="2"/>
      <c r="U174" s="2"/>
      <c r="V174" s="2"/>
      <c r="W174" s="2"/>
      <c r="X174" s="2"/>
      <c r="Y174" s="2"/>
      <c r="Z174" s="2"/>
    </row>
    <row r="175" ht="15.75" customHeight="1">
      <c r="A175" s="3"/>
      <c r="B175" s="3"/>
      <c r="C175" s="3"/>
      <c r="D175" s="3"/>
      <c r="E175" s="2"/>
      <c r="F175" s="3"/>
      <c r="G175" s="2"/>
      <c r="H175" s="2"/>
      <c r="I175" s="2"/>
      <c r="J175" s="2"/>
      <c r="K175" s="2"/>
      <c r="L175" s="2"/>
      <c r="M175" s="2"/>
      <c r="N175" s="2"/>
      <c r="O175" s="2"/>
      <c r="P175" s="2"/>
      <c r="Q175" s="2"/>
      <c r="R175" s="2"/>
      <c r="S175" s="2"/>
      <c r="T175" s="2"/>
      <c r="U175" s="2"/>
      <c r="V175" s="2"/>
      <c r="W175" s="2"/>
      <c r="X175" s="2"/>
      <c r="Y175" s="2"/>
      <c r="Z175" s="2"/>
    </row>
    <row r="176" ht="15.75" customHeight="1">
      <c r="A176" s="3"/>
      <c r="B176" s="3"/>
      <c r="C176" s="3"/>
      <c r="D176" s="3"/>
      <c r="E176" s="2"/>
      <c r="F176" s="3"/>
      <c r="G176" s="2"/>
      <c r="H176" s="2"/>
      <c r="I176" s="2"/>
      <c r="J176" s="2"/>
      <c r="K176" s="2"/>
      <c r="L176" s="2"/>
      <c r="M176" s="2"/>
      <c r="N176" s="2"/>
      <c r="O176" s="2"/>
      <c r="P176" s="2"/>
      <c r="Q176" s="2"/>
      <c r="R176" s="2"/>
      <c r="S176" s="2"/>
      <c r="T176" s="2"/>
      <c r="U176" s="2"/>
      <c r="V176" s="2"/>
      <c r="W176" s="2"/>
      <c r="X176" s="2"/>
      <c r="Y176" s="2"/>
      <c r="Z176" s="2"/>
    </row>
    <row r="177" ht="15.75" customHeight="1">
      <c r="A177" s="3"/>
      <c r="B177" s="3"/>
      <c r="C177" s="3"/>
      <c r="D177" s="3"/>
      <c r="E177" s="2"/>
      <c r="F177" s="3"/>
      <c r="G177" s="2"/>
      <c r="H177" s="2"/>
      <c r="I177" s="2"/>
      <c r="J177" s="2"/>
      <c r="K177" s="2"/>
      <c r="L177" s="2"/>
      <c r="M177" s="2"/>
      <c r="N177" s="2"/>
      <c r="O177" s="2"/>
      <c r="P177" s="2"/>
      <c r="Q177" s="2"/>
      <c r="R177" s="2"/>
      <c r="S177" s="2"/>
      <c r="T177" s="2"/>
      <c r="U177" s="2"/>
      <c r="V177" s="2"/>
      <c r="W177" s="2"/>
      <c r="X177" s="2"/>
      <c r="Y177" s="2"/>
      <c r="Z177" s="2"/>
    </row>
    <row r="178" ht="15.75" customHeight="1">
      <c r="A178" s="3"/>
      <c r="B178" s="3"/>
      <c r="C178" s="3"/>
      <c r="D178" s="3"/>
      <c r="E178" s="2"/>
      <c r="F178" s="3"/>
      <c r="G178" s="2"/>
      <c r="H178" s="2"/>
      <c r="I178" s="2"/>
      <c r="J178" s="2"/>
      <c r="K178" s="2"/>
      <c r="L178" s="2"/>
      <c r="M178" s="2"/>
      <c r="N178" s="2"/>
      <c r="O178" s="2"/>
      <c r="P178" s="2"/>
      <c r="Q178" s="2"/>
      <c r="R178" s="2"/>
      <c r="S178" s="2"/>
      <c r="T178" s="2"/>
      <c r="U178" s="2"/>
      <c r="V178" s="2"/>
      <c r="W178" s="2"/>
      <c r="X178" s="2"/>
      <c r="Y178" s="2"/>
      <c r="Z178" s="2"/>
    </row>
    <row r="179" ht="15.75" customHeight="1">
      <c r="A179" s="3"/>
      <c r="B179" s="3"/>
      <c r="C179" s="3"/>
      <c r="D179" s="3"/>
      <c r="E179" s="2"/>
      <c r="F179" s="3"/>
      <c r="G179" s="2"/>
      <c r="H179" s="2"/>
      <c r="I179" s="2"/>
      <c r="J179" s="2"/>
      <c r="K179" s="2"/>
      <c r="L179" s="2"/>
      <c r="M179" s="2"/>
      <c r="N179" s="2"/>
      <c r="O179" s="2"/>
      <c r="P179" s="2"/>
      <c r="Q179" s="2"/>
      <c r="R179" s="2"/>
      <c r="S179" s="2"/>
      <c r="T179" s="2"/>
      <c r="U179" s="2"/>
      <c r="V179" s="2"/>
      <c r="W179" s="2"/>
      <c r="X179" s="2"/>
      <c r="Y179" s="2"/>
      <c r="Z179" s="2"/>
    </row>
    <row r="180" ht="15.75" customHeight="1">
      <c r="A180" s="3"/>
      <c r="B180" s="3"/>
      <c r="C180" s="3"/>
      <c r="D180" s="3"/>
      <c r="E180" s="2"/>
      <c r="F180" s="3"/>
      <c r="G180" s="2"/>
      <c r="H180" s="2"/>
      <c r="I180" s="2"/>
      <c r="J180" s="2"/>
      <c r="K180" s="2"/>
      <c r="L180" s="2"/>
      <c r="M180" s="2"/>
      <c r="N180" s="2"/>
      <c r="O180" s="2"/>
      <c r="P180" s="2"/>
      <c r="Q180" s="2"/>
      <c r="R180" s="2"/>
      <c r="S180" s="2"/>
      <c r="T180" s="2"/>
      <c r="U180" s="2"/>
      <c r="V180" s="2"/>
      <c r="W180" s="2"/>
      <c r="X180" s="2"/>
      <c r="Y180" s="2"/>
      <c r="Z180" s="2"/>
    </row>
    <row r="181" ht="15.75" customHeight="1">
      <c r="A181" s="3"/>
      <c r="B181" s="3"/>
      <c r="C181" s="3"/>
      <c r="D181" s="3"/>
      <c r="E181" s="2"/>
      <c r="F181" s="3"/>
      <c r="G181" s="2"/>
      <c r="H181" s="2"/>
      <c r="I181" s="2"/>
      <c r="J181" s="2"/>
      <c r="K181" s="2"/>
      <c r="L181" s="2"/>
      <c r="M181" s="2"/>
      <c r="N181" s="2"/>
      <c r="O181" s="2"/>
      <c r="P181" s="2"/>
      <c r="Q181" s="2"/>
      <c r="R181" s="2"/>
      <c r="S181" s="2"/>
      <c r="T181" s="2"/>
      <c r="U181" s="2"/>
      <c r="V181" s="2"/>
      <c r="W181" s="2"/>
      <c r="X181" s="2"/>
      <c r="Y181" s="2"/>
      <c r="Z181" s="2"/>
    </row>
    <row r="182" ht="15.75" customHeight="1">
      <c r="A182" s="3"/>
      <c r="B182" s="3"/>
      <c r="C182" s="3"/>
      <c r="D182" s="3"/>
      <c r="E182" s="2"/>
      <c r="F182" s="3"/>
      <c r="G182" s="2"/>
      <c r="H182" s="2"/>
      <c r="I182" s="2"/>
      <c r="J182" s="2"/>
      <c r="K182" s="2"/>
      <c r="L182" s="2"/>
      <c r="M182" s="2"/>
      <c r="N182" s="2"/>
      <c r="O182" s="2"/>
      <c r="P182" s="2"/>
      <c r="Q182" s="2"/>
      <c r="R182" s="2"/>
      <c r="S182" s="2"/>
      <c r="T182" s="2"/>
      <c r="U182" s="2"/>
      <c r="V182" s="2"/>
      <c r="W182" s="2"/>
      <c r="X182" s="2"/>
      <c r="Y182" s="2"/>
      <c r="Z182" s="2"/>
    </row>
    <row r="183" ht="15.75" customHeight="1">
      <c r="A183" s="3"/>
      <c r="B183" s="3"/>
      <c r="C183" s="3"/>
      <c r="D183" s="3"/>
      <c r="E183" s="2"/>
      <c r="F183" s="3"/>
      <c r="G183" s="2"/>
      <c r="H183" s="2"/>
      <c r="I183" s="2"/>
      <c r="J183" s="2"/>
      <c r="K183" s="2"/>
      <c r="L183" s="2"/>
      <c r="M183" s="2"/>
      <c r="N183" s="2"/>
      <c r="O183" s="2"/>
      <c r="P183" s="2"/>
      <c r="Q183" s="2"/>
      <c r="R183" s="2"/>
      <c r="S183" s="2"/>
      <c r="T183" s="2"/>
      <c r="U183" s="2"/>
      <c r="V183" s="2"/>
      <c r="W183" s="2"/>
      <c r="X183" s="2"/>
      <c r="Y183" s="2"/>
      <c r="Z183" s="2"/>
    </row>
    <row r="184" ht="15.75" customHeight="1">
      <c r="A184" s="3"/>
      <c r="B184" s="3"/>
      <c r="C184" s="3"/>
      <c r="D184" s="3"/>
      <c r="E184" s="2"/>
      <c r="F184" s="3"/>
      <c r="G184" s="2"/>
      <c r="H184" s="2"/>
      <c r="I184" s="2"/>
      <c r="J184" s="2"/>
      <c r="K184" s="2"/>
      <c r="L184" s="2"/>
      <c r="M184" s="2"/>
      <c r="N184" s="2"/>
      <c r="O184" s="2"/>
      <c r="P184" s="2"/>
      <c r="Q184" s="2"/>
      <c r="R184" s="2"/>
      <c r="S184" s="2"/>
      <c r="T184" s="2"/>
      <c r="U184" s="2"/>
      <c r="V184" s="2"/>
      <c r="W184" s="2"/>
      <c r="X184" s="2"/>
      <c r="Y184" s="2"/>
      <c r="Z184" s="2"/>
    </row>
    <row r="185" ht="15.75" customHeight="1">
      <c r="A185" s="3"/>
      <c r="B185" s="3"/>
      <c r="C185" s="3"/>
      <c r="D185" s="3"/>
      <c r="E185" s="2"/>
      <c r="F185" s="3"/>
      <c r="G185" s="2"/>
      <c r="H185" s="2"/>
      <c r="I185" s="2"/>
      <c r="J185" s="2"/>
      <c r="K185" s="2"/>
      <c r="L185" s="2"/>
      <c r="M185" s="2"/>
      <c r="N185" s="2"/>
      <c r="O185" s="2"/>
      <c r="P185" s="2"/>
      <c r="Q185" s="2"/>
      <c r="R185" s="2"/>
      <c r="S185" s="2"/>
      <c r="T185" s="2"/>
      <c r="U185" s="2"/>
      <c r="V185" s="2"/>
      <c r="W185" s="2"/>
      <c r="X185" s="2"/>
      <c r="Y185" s="2"/>
      <c r="Z185" s="2"/>
    </row>
    <row r="186" ht="15.75" customHeight="1">
      <c r="A186" s="3"/>
      <c r="B186" s="3"/>
      <c r="C186" s="3"/>
      <c r="D186" s="3"/>
      <c r="E186" s="2"/>
      <c r="F186" s="3"/>
      <c r="G186" s="2"/>
      <c r="H186" s="2"/>
      <c r="I186" s="2"/>
      <c r="J186" s="2"/>
      <c r="K186" s="2"/>
      <c r="L186" s="2"/>
      <c r="M186" s="2"/>
      <c r="N186" s="2"/>
      <c r="O186" s="2"/>
      <c r="P186" s="2"/>
      <c r="Q186" s="2"/>
      <c r="R186" s="2"/>
      <c r="S186" s="2"/>
      <c r="T186" s="2"/>
      <c r="U186" s="2"/>
      <c r="V186" s="2"/>
      <c r="W186" s="2"/>
      <c r="X186" s="2"/>
      <c r="Y186" s="2"/>
      <c r="Z186" s="2"/>
    </row>
    <row r="187" ht="15.75" customHeight="1">
      <c r="A187" s="3"/>
      <c r="B187" s="3"/>
      <c r="C187" s="3"/>
      <c r="D187" s="3"/>
      <c r="E187" s="2"/>
      <c r="F187" s="3"/>
      <c r="G187" s="2"/>
      <c r="H187" s="2"/>
      <c r="I187" s="2"/>
      <c r="J187" s="2"/>
      <c r="K187" s="2"/>
      <c r="L187" s="2"/>
      <c r="M187" s="2"/>
      <c r="N187" s="2"/>
      <c r="O187" s="2"/>
      <c r="P187" s="2"/>
      <c r="Q187" s="2"/>
      <c r="R187" s="2"/>
      <c r="S187" s="2"/>
      <c r="T187" s="2"/>
      <c r="U187" s="2"/>
      <c r="V187" s="2"/>
      <c r="W187" s="2"/>
      <c r="X187" s="2"/>
      <c r="Y187" s="2"/>
      <c r="Z187" s="2"/>
    </row>
    <row r="188" ht="15.75" customHeight="1">
      <c r="A188" s="3"/>
      <c r="B188" s="3"/>
      <c r="C188" s="3"/>
      <c r="D188" s="3"/>
      <c r="E188" s="2"/>
      <c r="F188" s="3"/>
      <c r="G188" s="2"/>
      <c r="H188" s="2"/>
      <c r="I188" s="2"/>
      <c r="J188" s="2"/>
      <c r="K188" s="2"/>
      <c r="L188" s="2"/>
      <c r="M188" s="2"/>
      <c r="N188" s="2"/>
      <c r="O188" s="2"/>
      <c r="P188" s="2"/>
      <c r="Q188" s="2"/>
      <c r="R188" s="2"/>
      <c r="S188" s="2"/>
      <c r="T188" s="2"/>
      <c r="U188" s="2"/>
      <c r="V188" s="2"/>
      <c r="W188" s="2"/>
      <c r="X188" s="2"/>
      <c r="Y188" s="2"/>
      <c r="Z188" s="2"/>
    </row>
    <row r="189" ht="15.75" customHeight="1">
      <c r="A189" s="3"/>
      <c r="B189" s="3"/>
      <c r="C189" s="3"/>
      <c r="D189" s="3"/>
      <c r="E189" s="2"/>
      <c r="F189" s="3"/>
      <c r="G189" s="2"/>
      <c r="H189" s="2"/>
      <c r="I189" s="2"/>
      <c r="J189" s="2"/>
      <c r="K189" s="2"/>
      <c r="L189" s="2"/>
      <c r="M189" s="2"/>
      <c r="N189" s="2"/>
      <c r="O189" s="2"/>
      <c r="P189" s="2"/>
      <c r="Q189" s="2"/>
      <c r="R189" s="2"/>
      <c r="S189" s="2"/>
      <c r="T189" s="2"/>
      <c r="U189" s="2"/>
      <c r="V189" s="2"/>
      <c r="W189" s="2"/>
      <c r="X189" s="2"/>
      <c r="Y189" s="2"/>
      <c r="Z189" s="2"/>
    </row>
    <row r="190" ht="15.75" customHeight="1">
      <c r="A190" s="3"/>
      <c r="B190" s="3"/>
      <c r="C190" s="3"/>
      <c r="D190" s="3"/>
      <c r="E190" s="2"/>
      <c r="F190" s="3"/>
      <c r="G190" s="2"/>
      <c r="H190" s="2"/>
      <c r="I190" s="2"/>
      <c r="J190" s="2"/>
      <c r="K190" s="2"/>
      <c r="L190" s="2"/>
      <c r="M190" s="2"/>
      <c r="N190" s="2"/>
      <c r="O190" s="2"/>
      <c r="P190" s="2"/>
      <c r="Q190" s="2"/>
      <c r="R190" s="2"/>
      <c r="S190" s="2"/>
      <c r="T190" s="2"/>
      <c r="U190" s="2"/>
      <c r="V190" s="2"/>
      <c r="W190" s="2"/>
      <c r="X190" s="2"/>
      <c r="Y190" s="2"/>
      <c r="Z190" s="2"/>
    </row>
    <row r="191" ht="15.75" customHeight="1">
      <c r="A191" s="3"/>
      <c r="B191" s="3"/>
      <c r="C191" s="3"/>
      <c r="D191" s="3"/>
      <c r="E191" s="2"/>
      <c r="F191" s="3"/>
      <c r="G191" s="2"/>
      <c r="H191" s="2"/>
      <c r="I191" s="2"/>
      <c r="J191" s="2"/>
      <c r="K191" s="2"/>
      <c r="L191" s="2"/>
      <c r="M191" s="2"/>
      <c r="N191" s="2"/>
      <c r="O191" s="2"/>
      <c r="P191" s="2"/>
      <c r="Q191" s="2"/>
      <c r="R191" s="2"/>
      <c r="S191" s="2"/>
      <c r="T191" s="2"/>
      <c r="U191" s="2"/>
      <c r="V191" s="2"/>
      <c r="W191" s="2"/>
      <c r="X191" s="2"/>
      <c r="Y191" s="2"/>
      <c r="Z191" s="2"/>
    </row>
    <row r="192" ht="15.75" customHeight="1">
      <c r="A192" s="3"/>
      <c r="B192" s="3"/>
      <c r="C192" s="3"/>
      <c r="D192" s="3"/>
      <c r="E192" s="2"/>
      <c r="F192" s="3"/>
      <c r="G192" s="2"/>
      <c r="H192" s="2"/>
      <c r="I192" s="2"/>
      <c r="J192" s="2"/>
      <c r="K192" s="2"/>
      <c r="L192" s="2"/>
      <c r="M192" s="2"/>
      <c r="N192" s="2"/>
      <c r="O192" s="2"/>
      <c r="P192" s="2"/>
      <c r="Q192" s="2"/>
      <c r="R192" s="2"/>
      <c r="S192" s="2"/>
      <c r="T192" s="2"/>
      <c r="U192" s="2"/>
      <c r="V192" s="2"/>
      <c r="W192" s="2"/>
      <c r="X192" s="2"/>
      <c r="Y192" s="2"/>
      <c r="Z192" s="2"/>
    </row>
    <row r="193" ht="15.75" customHeight="1">
      <c r="A193" s="3"/>
      <c r="B193" s="3"/>
      <c r="C193" s="3"/>
      <c r="D193" s="3"/>
      <c r="E193" s="2"/>
      <c r="F193" s="3"/>
      <c r="G193" s="2"/>
      <c r="H193" s="2"/>
      <c r="I193" s="2"/>
      <c r="J193" s="2"/>
      <c r="K193" s="2"/>
      <c r="L193" s="2"/>
      <c r="M193" s="2"/>
      <c r="N193" s="2"/>
      <c r="O193" s="2"/>
      <c r="P193" s="2"/>
      <c r="Q193" s="2"/>
      <c r="R193" s="2"/>
      <c r="S193" s="2"/>
      <c r="T193" s="2"/>
      <c r="U193" s="2"/>
      <c r="V193" s="2"/>
      <c r="W193" s="2"/>
      <c r="X193" s="2"/>
      <c r="Y193" s="2"/>
      <c r="Z193" s="2"/>
    </row>
    <row r="194" ht="15.75" customHeight="1">
      <c r="A194" s="3"/>
      <c r="B194" s="3"/>
      <c r="C194" s="3"/>
      <c r="D194" s="3"/>
      <c r="E194" s="2"/>
      <c r="F194" s="3"/>
      <c r="G194" s="2"/>
      <c r="H194" s="2"/>
      <c r="I194" s="2"/>
      <c r="J194" s="2"/>
      <c r="K194" s="2"/>
      <c r="L194" s="2"/>
      <c r="M194" s="2"/>
      <c r="N194" s="2"/>
      <c r="O194" s="2"/>
      <c r="P194" s="2"/>
      <c r="Q194" s="2"/>
      <c r="R194" s="2"/>
      <c r="S194" s="2"/>
      <c r="T194" s="2"/>
      <c r="U194" s="2"/>
      <c r="V194" s="2"/>
      <c r="W194" s="2"/>
      <c r="X194" s="2"/>
      <c r="Y194" s="2"/>
      <c r="Z194" s="2"/>
    </row>
    <row r="195" ht="15.75" customHeight="1">
      <c r="A195" s="3"/>
      <c r="B195" s="3"/>
      <c r="C195" s="3"/>
      <c r="D195" s="3"/>
      <c r="E195" s="2"/>
      <c r="F195" s="3"/>
      <c r="G195" s="2"/>
      <c r="H195" s="2"/>
      <c r="I195" s="2"/>
      <c r="J195" s="2"/>
      <c r="K195" s="2"/>
      <c r="L195" s="2"/>
      <c r="M195" s="2"/>
      <c r="N195" s="2"/>
      <c r="O195" s="2"/>
      <c r="P195" s="2"/>
      <c r="Q195" s="2"/>
      <c r="R195" s="2"/>
      <c r="S195" s="2"/>
      <c r="T195" s="2"/>
      <c r="U195" s="2"/>
      <c r="V195" s="2"/>
      <c r="W195" s="2"/>
      <c r="X195" s="2"/>
      <c r="Y195" s="2"/>
      <c r="Z195" s="2"/>
    </row>
    <row r="196" ht="15.75" customHeight="1">
      <c r="A196" s="3"/>
      <c r="B196" s="3"/>
      <c r="C196" s="3"/>
      <c r="D196" s="3"/>
      <c r="E196" s="2"/>
      <c r="F196" s="3"/>
      <c r="G196" s="2"/>
      <c r="H196" s="2"/>
      <c r="I196" s="2"/>
      <c r="J196" s="2"/>
      <c r="K196" s="2"/>
      <c r="L196" s="2"/>
      <c r="M196" s="2"/>
      <c r="N196" s="2"/>
      <c r="O196" s="2"/>
      <c r="P196" s="2"/>
      <c r="Q196" s="2"/>
      <c r="R196" s="2"/>
      <c r="S196" s="2"/>
      <c r="T196" s="2"/>
      <c r="U196" s="2"/>
      <c r="V196" s="2"/>
      <c r="W196" s="2"/>
      <c r="X196" s="2"/>
      <c r="Y196" s="2"/>
      <c r="Z196" s="2"/>
    </row>
    <row r="197" ht="15.75" customHeight="1">
      <c r="A197" s="3"/>
      <c r="B197" s="3"/>
      <c r="C197" s="3"/>
      <c r="D197" s="3"/>
      <c r="E197" s="2"/>
      <c r="F197" s="3"/>
      <c r="G197" s="2"/>
      <c r="H197" s="2"/>
      <c r="I197" s="2"/>
      <c r="J197" s="2"/>
      <c r="K197" s="2"/>
      <c r="L197" s="2"/>
      <c r="M197" s="2"/>
      <c r="N197" s="2"/>
      <c r="O197" s="2"/>
      <c r="P197" s="2"/>
      <c r="Q197" s="2"/>
      <c r="R197" s="2"/>
      <c r="S197" s="2"/>
      <c r="T197" s="2"/>
      <c r="U197" s="2"/>
      <c r="V197" s="2"/>
      <c r="W197" s="2"/>
      <c r="X197" s="2"/>
      <c r="Y197" s="2"/>
      <c r="Z197" s="2"/>
    </row>
    <row r="198" ht="15.75" customHeight="1">
      <c r="A198" s="3"/>
      <c r="B198" s="3"/>
      <c r="C198" s="3"/>
      <c r="D198" s="3"/>
      <c r="E198" s="2"/>
      <c r="F198" s="3"/>
      <c r="G198" s="2"/>
      <c r="H198" s="2"/>
      <c r="I198" s="2"/>
      <c r="J198" s="2"/>
      <c r="K198" s="2"/>
      <c r="L198" s="2"/>
      <c r="M198" s="2"/>
      <c r="N198" s="2"/>
      <c r="O198" s="2"/>
      <c r="P198" s="2"/>
      <c r="Q198" s="2"/>
      <c r="R198" s="2"/>
      <c r="S198" s="2"/>
      <c r="T198" s="2"/>
      <c r="U198" s="2"/>
      <c r="V198" s="2"/>
      <c r="W198" s="2"/>
      <c r="X198" s="2"/>
      <c r="Y198" s="2"/>
      <c r="Z198" s="2"/>
    </row>
    <row r="199" ht="15.75" customHeight="1">
      <c r="A199" s="3"/>
      <c r="B199" s="3"/>
      <c r="C199" s="3"/>
      <c r="D199" s="3"/>
      <c r="E199" s="2"/>
      <c r="F199" s="3"/>
      <c r="G199" s="2"/>
      <c r="H199" s="2"/>
      <c r="I199" s="2"/>
      <c r="J199" s="2"/>
      <c r="K199" s="2"/>
      <c r="L199" s="2"/>
      <c r="M199" s="2"/>
      <c r="N199" s="2"/>
      <c r="O199" s="2"/>
      <c r="P199" s="2"/>
      <c r="Q199" s="2"/>
      <c r="R199" s="2"/>
      <c r="S199" s="2"/>
      <c r="T199" s="2"/>
      <c r="U199" s="2"/>
      <c r="V199" s="2"/>
      <c r="W199" s="2"/>
      <c r="X199" s="2"/>
      <c r="Y199" s="2"/>
      <c r="Z199" s="2"/>
    </row>
    <row r="200" ht="15.75" customHeight="1">
      <c r="A200" s="3"/>
      <c r="B200" s="3"/>
      <c r="C200" s="3"/>
      <c r="D200" s="3"/>
      <c r="E200" s="2"/>
      <c r="F200" s="3"/>
      <c r="G200" s="2"/>
      <c r="H200" s="2"/>
      <c r="I200" s="2"/>
      <c r="J200" s="2"/>
      <c r="K200" s="2"/>
      <c r="L200" s="2"/>
      <c r="M200" s="2"/>
      <c r="N200" s="2"/>
      <c r="O200" s="2"/>
      <c r="P200" s="2"/>
      <c r="Q200" s="2"/>
      <c r="R200" s="2"/>
      <c r="S200" s="2"/>
      <c r="T200" s="2"/>
      <c r="U200" s="2"/>
      <c r="V200" s="2"/>
      <c r="W200" s="2"/>
      <c r="X200" s="2"/>
      <c r="Y200" s="2"/>
      <c r="Z200" s="2"/>
    </row>
    <row r="201" ht="15.75" customHeight="1">
      <c r="A201" s="3"/>
      <c r="B201" s="3"/>
      <c r="C201" s="3"/>
      <c r="D201" s="3"/>
      <c r="E201" s="2"/>
      <c r="F201" s="3"/>
      <c r="G201" s="2"/>
      <c r="H201" s="2"/>
      <c r="I201" s="2"/>
      <c r="J201" s="2"/>
      <c r="K201" s="2"/>
      <c r="L201" s="2"/>
      <c r="M201" s="2"/>
      <c r="N201" s="2"/>
      <c r="O201" s="2"/>
      <c r="P201" s="2"/>
      <c r="Q201" s="2"/>
      <c r="R201" s="2"/>
      <c r="S201" s="2"/>
      <c r="T201" s="2"/>
      <c r="U201" s="2"/>
      <c r="V201" s="2"/>
      <c r="W201" s="2"/>
      <c r="X201" s="2"/>
      <c r="Y201" s="2"/>
      <c r="Z201" s="2"/>
    </row>
    <row r="202" ht="15.75" customHeight="1">
      <c r="A202" s="3"/>
      <c r="B202" s="3"/>
      <c r="C202" s="3"/>
      <c r="D202" s="3"/>
      <c r="E202" s="2"/>
      <c r="F202" s="3"/>
      <c r="G202" s="2"/>
      <c r="H202" s="2"/>
      <c r="I202" s="2"/>
      <c r="J202" s="2"/>
      <c r="K202" s="2"/>
      <c r="L202" s="2"/>
      <c r="M202" s="2"/>
      <c r="N202" s="2"/>
      <c r="O202" s="2"/>
      <c r="P202" s="2"/>
      <c r="Q202" s="2"/>
      <c r="R202" s="2"/>
      <c r="S202" s="2"/>
      <c r="T202" s="2"/>
      <c r="U202" s="2"/>
      <c r="V202" s="2"/>
      <c r="W202" s="2"/>
      <c r="X202" s="2"/>
      <c r="Y202" s="2"/>
      <c r="Z202" s="2"/>
    </row>
    <row r="203" ht="15.75" customHeight="1">
      <c r="A203" s="3"/>
      <c r="B203" s="3"/>
      <c r="C203" s="3"/>
      <c r="D203" s="3"/>
      <c r="E203" s="2"/>
      <c r="F203" s="3"/>
      <c r="G203" s="2"/>
      <c r="H203" s="2"/>
      <c r="I203" s="2"/>
      <c r="J203" s="2"/>
      <c r="K203" s="2"/>
      <c r="L203" s="2"/>
      <c r="M203" s="2"/>
      <c r="N203" s="2"/>
      <c r="O203" s="2"/>
      <c r="P203" s="2"/>
      <c r="Q203" s="2"/>
      <c r="R203" s="2"/>
      <c r="S203" s="2"/>
      <c r="T203" s="2"/>
      <c r="U203" s="2"/>
      <c r="V203" s="2"/>
      <c r="W203" s="2"/>
      <c r="X203" s="2"/>
      <c r="Y203" s="2"/>
      <c r="Z203" s="2"/>
    </row>
    <row r="204" ht="15.75" customHeight="1">
      <c r="A204" s="3"/>
      <c r="B204" s="3"/>
      <c r="C204" s="3"/>
      <c r="D204" s="3"/>
      <c r="E204" s="2"/>
      <c r="F204" s="3"/>
      <c r="G204" s="2"/>
      <c r="H204" s="2"/>
      <c r="I204" s="2"/>
      <c r="J204" s="2"/>
      <c r="K204" s="2"/>
      <c r="L204" s="2"/>
      <c r="M204" s="2"/>
      <c r="N204" s="2"/>
      <c r="O204" s="2"/>
      <c r="P204" s="2"/>
      <c r="Q204" s="2"/>
      <c r="R204" s="2"/>
      <c r="S204" s="2"/>
      <c r="T204" s="2"/>
      <c r="U204" s="2"/>
      <c r="V204" s="2"/>
      <c r="W204" s="2"/>
      <c r="X204" s="2"/>
      <c r="Y204" s="2"/>
      <c r="Z204" s="2"/>
    </row>
    <row r="205" ht="15.75" customHeight="1">
      <c r="A205" s="3"/>
      <c r="B205" s="3"/>
      <c r="C205" s="3"/>
      <c r="D205" s="3"/>
      <c r="E205" s="2"/>
      <c r="F205" s="3"/>
      <c r="G205" s="2"/>
      <c r="H205" s="2"/>
      <c r="I205" s="2"/>
      <c r="J205" s="2"/>
      <c r="K205" s="2"/>
      <c r="L205" s="2"/>
      <c r="M205" s="2"/>
      <c r="N205" s="2"/>
      <c r="O205" s="2"/>
      <c r="P205" s="2"/>
      <c r="Q205" s="2"/>
      <c r="R205" s="2"/>
      <c r="S205" s="2"/>
      <c r="T205" s="2"/>
      <c r="U205" s="2"/>
      <c r="V205" s="2"/>
      <c r="W205" s="2"/>
      <c r="X205" s="2"/>
      <c r="Y205" s="2"/>
      <c r="Z205" s="2"/>
    </row>
    <row r="206" ht="15.75" customHeight="1">
      <c r="A206" s="3"/>
      <c r="B206" s="3"/>
      <c r="C206" s="3"/>
      <c r="D206" s="3"/>
      <c r="E206" s="2"/>
      <c r="F206" s="3"/>
      <c r="G206" s="2"/>
      <c r="H206" s="2"/>
      <c r="I206" s="2"/>
      <c r="J206" s="2"/>
      <c r="K206" s="2"/>
      <c r="L206" s="2"/>
      <c r="M206" s="2"/>
      <c r="N206" s="2"/>
      <c r="O206" s="2"/>
      <c r="P206" s="2"/>
      <c r="Q206" s="2"/>
      <c r="R206" s="2"/>
      <c r="S206" s="2"/>
      <c r="T206" s="2"/>
      <c r="U206" s="2"/>
      <c r="V206" s="2"/>
      <c r="W206" s="2"/>
      <c r="X206" s="2"/>
      <c r="Y206" s="2"/>
      <c r="Z206" s="2"/>
    </row>
    <row r="207" ht="15.75" customHeight="1">
      <c r="A207" s="3"/>
      <c r="B207" s="3"/>
      <c r="C207" s="3"/>
      <c r="D207" s="3"/>
      <c r="E207" s="2"/>
      <c r="F207" s="3"/>
      <c r="G207" s="2"/>
      <c r="H207" s="2"/>
      <c r="I207" s="2"/>
      <c r="J207" s="2"/>
      <c r="K207" s="2"/>
      <c r="L207" s="2"/>
      <c r="M207" s="2"/>
      <c r="N207" s="2"/>
      <c r="O207" s="2"/>
      <c r="P207" s="2"/>
      <c r="Q207" s="2"/>
      <c r="R207" s="2"/>
      <c r="S207" s="2"/>
      <c r="T207" s="2"/>
      <c r="U207" s="2"/>
      <c r="V207" s="2"/>
      <c r="W207" s="2"/>
      <c r="X207" s="2"/>
      <c r="Y207" s="2"/>
      <c r="Z207" s="2"/>
    </row>
    <row r="208" ht="15.75" customHeight="1">
      <c r="A208" s="3"/>
      <c r="B208" s="3"/>
      <c r="C208" s="3"/>
      <c r="D208" s="3"/>
      <c r="E208" s="2"/>
      <c r="F208" s="3"/>
      <c r="G208" s="2"/>
      <c r="H208" s="2"/>
      <c r="I208" s="2"/>
      <c r="J208" s="2"/>
      <c r="K208" s="2"/>
      <c r="L208" s="2"/>
      <c r="M208" s="2"/>
      <c r="N208" s="2"/>
      <c r="O208" s="2"/>
      <c r="P208" s="2"/>
      <c r="Q208" s="2"/>
      <c r="R208" s="2"/>
      <c r="S208" s="2"/>
      <c r="T208" s="2"/>
      <c r="U208" s="2"/>
      <c r="V208" s="2"/>
      <c r="W208" s="2"/>
      <c r="X208" s="2"/>
      <c r="Y208" s="2"/>
      <c r="Z208" s="2"/>
    </row>
    <row r="209" ht="15.75" customHeight="1">
      <c r="A209" s="3"/>
      <c r="B209" s="3"/>
      <c r="C209" s="3"/>
      <c r="D209" s="3"/>
      <c r="E209" s="2"/>
      <c r="F209" s="3"/>
      <c r="G209" s="2"/>
      <c r="H209" s="2"/>
      <c r="I209" s="2"/>
      <c r="J209" s="2"/>
      <c r="K209" s="2"/>
      <c r="L209" s="2"/>
      <c r="M209" s="2"/>
      <c r="N209" s="2"/>
      <c r="O209" s="2"/>
      <c r="P209" s="2"/>
      <c r="Q209" s="2"/>
      <c r="R209" s="2"/>
      <c r="S209" s="2"/>
      <c r="T209" s="2"/>
      <c r="U209" s="2"/>
      <c r="V209" s="2"/>
      <c r="W209" s="2"/>
      <c r="X209" s="2"/>
      <c r="Y209" s="2"/>
      <c r="Z209" s="2"/>
    </row>
    <row r="210" ht="15.75" customHeight="1">
      <c r="A210" s="3"/>
      <c r="B210" s="3"/>
      <c r="C210" s="3"/>
      <c r="D210" s="3"/>
      <c r="E210" s="2"/>
      <c r="F210" s="3"/>
      <c r="G210" s="2"/>
      <c r="H210" s="2"/>
      <c r="I210" s="2"/>
      <c r="J210" s="2"/>
      <c r="K210" s="2"/>
      <c r="L210" s="2"/>
      <c r="M210" s="2"/>
      <c r="N210" s="2"/>
      <c r="O210" s="2"/>
      <c r="P210" s="2"/>
      <c r="Q210" s="2"/>
      <c r="R210" s="2"/>
      <c r="S210" s="2"/>
      <c r="T210" s="2"/>
      <c r="U210" s="2"/>
      <c r="V210" s="2"/>
      <c r="W210" s="2"/>
      <c r="X210" s="2"/>
      <c r="Y210" s="2"/>
      <c r="Z210" s="2"/>
    </row>
    <row r="211" ht="15.75" customHeight="1">
      <c r="A211" s="3"/>
      <c r="B211" s="3"/>
      <c r="C211" s="3"/>
      <c r="D211" s="3"/>
      <c r="E211" s="2"/>
      <c r="F211" s="3"/>
      <c r="G211" s="2"/>
      <c r="H211" s="2"/>
      <c r="I211" s="2"/>
      <c r="J211" s="2"/>
      <c r="K211" s="2"/>
      <c r="L211" s="2"/>
      <c r="M211" s="2"/>
      <c r="N211" s="2"/>
      <c r="O211" s="2"/>
      <c r="P211" s="2"/>
      <c r="Q211" s="2"/>
      <c r="R211" s="2"/>
      <c r="S211" s="2"/>
      <c r="T211" s="2"/>
      <c r="U211" s="2"/>
      <c r="V211" s="2"/>
      <c r="W211" s="2"/>
      <c r="X211" s="2"/>
      <c r="Y211" s="2"/>
      <c r="Z211" s="2"/>
    </row>
    <row r="212" ht="15.75" customHeight="1">
      <c r="A212" s="3"/>
      <c r="B212" s="3"/>
      <c r="C212" s="3"/>
      <c r="D212" s="3"/>
      <c r="E212" s="2"/>
      <c r="F212" s="3"/>
      <c r="G212" s="2"/>
      <c r="H212" s="2"/>
      <c r="I212" s="2"/>
      <c r="J212" s="2"/>
      <c r="K212" s="2"/>
      <c r="L212" s="2"/>
      <c r="M212" s="2"/>
      <c r="N212" s="2"/>
      <c r="O212" s="2"/>
      <c r="P212" s="2"/>
      <c r="Q212" s="2"/>
      <c r="R212" s="2"/>
      <c r="S212" s="2"/>
      <c r="T212" s="2"/>
      <c r="U212" s="2"/>
      <c r="V212" s="2"/>
      <c r="W212" s="2"/>
      <c r="X212" s="2"/>
      <c r="Y212" s="2"/>
      <c r="Z212" s="2"/>
    </row>
    <row r="213" ht="15.75" customHeight="1">
      <c r="A213" s="3"/>
      <c r="B213" s="3"/>
      <c r="C213" s="3"/>
      <c r="D213" s="3"/>
      <c r="E213" s="2"/>
      <c r="F213" s="3"/>
      <c r="G213" s="2"/>
      <c r="H213" s="2"/>
      <c r="I213" s="2"/>
      <c r="J213" s="2"/>
      <c r="K213" s="2"/>
      <c r="L213" s="2"/>
      <c r="M213" s="2"/>
      <c r="N213" s="2"/>
      <c r="O213" s="2"/>
      <c r="P213" s="2"/>
      <c r="Q213" s="2"/>
      <c r="R213" s="2"/>
      <c r="S213" s="2"/>
      <c r="T213" s="2"/>
      <c r="U213" s="2"/>
      <c r="V213" s="2"/>
      <c r="W213" s="2"/>
      <c r="X213" s="2"/>
      <c r="Y213" s="2"/>
      <c r="Z213" s="2"/>
    </row>
    <row r="214" ht="15.75" customHeight="1">
      <c r="A214" s="3"/>
      <c r="B214" s="3"/>
      <c r="C214" s="3"/>
      <c r="D214" s="3"/>
      <c r="E214" s="2"/>
      <c r="F214" s="3"/>
      <c r="G214" s="2"/>
      <c r="H214" s="2"/>
      <c r="I214" s="2"/>
      <c r="J214" s="2"/>
      <c r="K214" s="2"/>
      <c r="L214" s="2"/>
      <c r="M214" s="2"/>
      <c r="N214" s="2"/>
      <c r="O214" s="2"/>
      <c r="P214" s="2"/>
      <c r="Q214" s="2"/>
      <c r="R214" s="2"/>
      <c r="S214" s="2"/>
      <c r="T214" s="2"/>
      <c r="U214" s="2"/>
      <c r="V214" s="2"/>
      <c r="W214" s="2"/>
      <c r="X214" s="2"/>
      <c r="Y214" s="2"/>
      <c r="Z214" s="2"/>
    </row>
    <row r="215" ht="15.75" customHeight="1">
      <c r="A215" s="3"/>
      <c r="B215" s="3"/>
      <c r="C215" s="3"/>
      <c r="D215" s="3"/>
      <c r="E215" s="2"/>
      <c r="F215" s="3"/>
      <c r="G215" s="2"/>
      <c r="H215" s="2"/>
      <c r="I215" s="2"/>
      <c r="J215" s="2"/>
      <c r="K215" s="2"/>
      <c r="L215" s="2"/>
      <c r="M215" s="2"/>
      <c r="N215" s="2"/>
      <c r="O215" s="2"/>
      <c r="P215" s="2"/>
      <c r="Q215" s="2"/>
      <c r="R215" s="2"/>
      <c r="S215" s="2"/>
      <c r="T215" s="2"/>
      <c r="U215" s="2"/>
      <c r="V215" s="2"/>
      <c r="W215" s="2"/>
      <c r="X215" s="2"/>
      <c r="Y215" s="2"/>
      <c r="Z215" s="2"/>
    </row>
    <row r="216" ht="15.75" customHeight="1">
      <c r="A216" s="3"/>
      <c r="B216" s="3"/>
      <c r="C216" s="3"/>
      <c r="D216" s="3"/>
      <c r="E216" s="2"/>
      <c r="F216" s="3"/>
      <c r="G216" s="2"/>
      <c r="H216" s="2"/>
      <c r="I216" s="2"/>
      <c r="J216" s="2"/>
      <c r="K216" s="2"/>
      <c r="L216" s="2"/>
      <c r="M216" s="2"/>
      <c r="N216" s="2"/>
      <c r="O216" s="2"/>
      <c r="P216" s="2"/>
      <c r="Q216" s="2"/>
      <c r="R216" s="2"/>
      <c r="S216" s="2"/>
      <c r="T216" s="2"/>
      <c r="U216" s="2"/>
      <c r="V216" s="2"/>
      <c r="W216" s="2"/>
      <c r="X216" s="2"/>
      <c r="Y216" s="2"/>
      <c r="Z216" s="2"/>
    </row>
    <row r="217" ht="15.75" customHeight="1">
      <c r="A217" s="3"/>
      <c r="B217" s="3"/>
      <c r="C217" s="3"/>
      <c r="D217" s="3"/>
      <c r="E217" s="2"/>
      <c r="F217" s="3"/>
      <c r="G217" s="2"/>
      <c r="H217" s="2"/>
      <c r="I217" s="2"/>
      <c r="J217" s="2"/>
      <c r="K217" s="2"/>
      <c r="L217" s="2"/>
      <c r="M217" s="2"/>
      <c r="N217" s="2"/>
      <c r="O217" s="2"/>
      <c r="P217" s="2"/>
      <c r="Q217" s="2"/>
      <c r="R217" s="2"/>
      <c r="S217" s="2"/>
      <c r="T217" s="2"/>
      <c r="U217" s="2"/>
      <c r="V217" s="2"/>
      <c r="W217" s="2"/>
      <c r="X217" s="2"/>
      <c r="Y217" s="2"/>
      <c r="Z217" s="2"/>
    </row>
    <row r="218" ht="15.75" customHeight="1">
      <c r="A218" s="3"/>
      <c r="B218" s="3"/>
      <c r="C218" s="3"/>
      <c r="D218" s="3"/>
      <c r="E218" s="2"/>
      <c r="F218" s="3"/>
      <c r="G218" s="2"/>
      <c r="H218" s="2"/>
      <c r="I218" s="2"/>
      <c r="J218" s="2"/>
      <c r="K218" s="2"/>
      <c r="L218" s="2"/>
      <c r="M218" s="2"/>
      <c r="N218" s="2"/>
      <c r="O218" s="2"/>
      <c r="P218" s="2"/>
      <c r="Q218" s="2"/>
      <c r="R218" s="2"/>
      <c r="S218" s="2"/>
      <c r="T218" s="2"/>
      <c r="U218" s="2"/>
      <c r="V218" s="2"/>
      <c r="W218" s="2"/>
      <c r="X218" s="2"/>
      <c r="Y218" s="2"/>
      <c r="Z218" s="2"/>
    </row>
    <row r="219" ht="15.75" customHeight="1">
      <c r="A219" s="3"/>
      <c r="B219" s="3"/>
      <c r="C219" s="3"/>
      <c r="D219" s="3"/>
      <c r="E219" s="2"/>
      <c r="F219" s="3"/>
      <c r="G219" s="2"/>
      <c r="H219" s="2"/>
      <c r="I219" s="2"/>
      <c r="J219" s="2"/>
      <c r="K219" s="2"/>
      <c r="L219" s="2"/>
      <c r="M219" s="2"/>
      <c r="N219" s="2"/>
      <c r="O219" s="2"/>
      <c r="P219" s="2"/>
      <c r="Q219" s="2"/>
      <c r="R219" s="2"/>
      <c r="S219" s="2"/>
      <c r="T219" s="2"/>
      <c r="U219" s="2"/>
      <c r="V219" s="2"/>
      <c r="W219" s="2"/>
      <c r="X219" s="2"/>
      <c r="Y219" s="2"/>
      <c r="Z219" s="2"/>
    </row>
    <row r="220" ht="15.75" customHeight="1">
      <c r="A220" s="3"/>
      <c r="B220" s="3"/>
      <c r="C220" s="3"/>
      <c r="D220" s="3"/>
      <c r="E220" s="2"/>
      <c r="F220" s="3"/>
      <c r="G220" s="2"/>
      <c r="H220" s="2"/>
      <c r="I220" s="2"/>
      <c r="J220" s="2"/>
      <c r="K220" s="2"/>
      <c r="L220" s="2"/>
      <c r="M220" s="2"/>
      <c r="N220" s="2"/>
      <c r="O220" s="2"/>
      <c r="P220" s="2"/>
      <c r="Q220" s="2"/>
      <c r="R220" s="2"/>
      <c r="S220" s="2"/>
      <c r="T220" s="2"/>
      <c r="U220" s="2"/>
      <c r="V220" s="2"/>
      <c r="W220" s="2"/>
      <c r="X220" s="2"/>
      <c r="Y220" s="2"/>
      <c r="Z220" s="2"/>
    </row>
    <row r="221" ht="15.75" customHeight="1">
      <c r="A221" s="3"/>
      <c r="B221" s="3"/>
      <c r="C221" s="3"/>
      <c r="D221" s="3"/>
      <c r="E221" s="2"/>
      <c r="F221" s="3"/>
      <c r="G221" s="2"/>
      <c r="H221" s="2"/>
      <c r="I221" s="2"/>
      <c r="J221" s="2"/>
      <c r="K221" s="2"/>
      <c r="L221" s="2"/>
      <c r="M221" s="2"/>
      <c r="N221" s="2"/>
      <c r="O221" s="2"/>
      <c r="P221" s="2"/>
      <c r="Q221" s="2"/>
      <c r="R221" s="2"/>
      <c r="S221" s="2"/>
      <c r="T221" s="2"/>
      <c r="U221" s="2"/>
      <c r="V221" s="2"/>
      <c r="W221" s="2"/>
      <c r="X221" s="2"/>
      <c r="Y221" s="2"/>
      <c r="Z221" s="2"/>
    </row>
    <row r="222" ht="15.75" customHeight="1">
      <c r="A222" s="3"/>
      <c r="B222" s="3"/>
      <c r="C222" s="3"/>
      <c r="D222" s="3"/>
      <c r="E222" s="2"/>
      <c r="F222" s="3"/>
      <c r="G222" s="2"/>
      <c r="H222" s="2"/>
      <c r="I222" s="2"/>
      <c r="J222" s="2"/>
      <c r="K222" s="2"/>
      <c r="L222" s="2"/>
      <c r="M222" s="2"/>
      <c r="N222" s="2"/>
      <c r="O222" s="2"/>
      <c r="P222" s="2"/>
      <c r="Q222" s="2"/>
      <c r="R222" s="2"/>
      <c r="S222" s="2"/>
      <c r="T222" s="2"/>
      <c r="U222" s="2"/>
      <c r="V222" s="2"/>
      <c r="W222" s="2"/>
      <c r="X222" s="2"/>
      <c r="Y222" s="2"/>
      <c r="Z222" s="2"/>
    </row>
    <row r="223" ht="15.75" customHeight="1">
      <c r="A223" s="3"/>
      <c r="B223" s="3"/>
      <c r="C223" s="3"/>
      <c r="D223" s="3"/>
      <c r="E223" s="2"/>
      <c r="F223" s="3"/>
      <c r="G223" s="2"/>
      <c r="H223" s="2"/>
      <c r="I223" s="2"/>
      <c r="J223" s="2"/>
      <c r="K223" s="2"/>
      <c r="L223" s="2"/>
      <c r="M223" s="2"/>
      <c r="N223" s="2"/>
      <c r="O223" s="2"/>
      <c r="P223" s="2"/>
      <c r="Q223" s="2"/>
      <c r="R223" s="2"/>
      <c r="S223" s="2"/>
      <c r="T223" s="2"/>
      <c r="U223" s="2"/>
      <c r="V223" s="2"/>
      <c r="W223" s="2"/>
      <c r="X223" s="2"/>
      <c r="Y223" s="2"/>
      <c r="Z223" s="2"/>
    </row>
    <row r="224" ht="15.75" customHeight="1">
      <c r="A224" s="3"/>
      <c r="B224" s="3"/>
      <c r="C224" s="3"/>
      <c r="D224" s="3"/>
      <c r="E224" s="2"/>
      <c r="F224" s="3"/>
      <c r="G224" s="2"/>
      <c r="H224" s="2"/>
      <c r="I224" s="2"/>
      <c r="J224" s="2"/>
      <c r="K224" s="2"/>
      <c r="L224" s="2"/>
      <c r="M224" s="2"/>
      <c r="N224" s="2"/>
      <c r="O224" s="2"/>
      <c r="P224" s="2"/>
      <c r="Q224" s="2"/>
      <c r="R224" s="2"/>
      <c r="S224" s="2"/>
      <c r="T224" s="2"/>
      <c r="U224" s="2"/>
      <c r="V224" s="2"/>
      <c r="W224" s="2"/>
      <c r="X224" s="2"/>
      <c r="Y224" s="2"/>
      <c r="Z224" s="2"/>
    </row>
    <row r="225" ht="15.75" customHeight="1">
      <c r="A225" s="3"/>
      <c r="B225" s="3"/>
      <c r="C225" s="3"/>
      <c r="D225" s="3"/>
      <c r="E225" s="2"/>
      <c r="F225" s="3"/>
      <c r="G225" s="2"/>
      <c r="H225" s="2"/>
      <c r="I225" s="2"/>
      <c r="J225" s="2"/>
      <c r="K225" s="2"/>
      <c r="L225" s="2"/>
      <c r="M225" s="2"/>
      <c r="N225" s="2"/>
      <c r="O225" s="2"/>
      <c r="P225" s="2"/>
      <c r="Q225" s="2"/>
      <c r="R225" s="2"/>
      <c r="S225" s="2"/>
      <c r="T225" s="2"/>
      <c r="U225" s="2"/>
      <c r="V225" s="2"/>
      <c r="W225" s="2"/>
      <c r="X225" s="2"/>
      <c r="Y225" s="2"/>
      <c r="Z225" s="2"/>
    </row>
    <row r="226" ht="15.75" customHeight="1">
      <c r="A226" s="3"/>
      <c r="B226" s="3"/>
      <c r="C226" s="3"/>
      <c r="D226" s="3"/>
      <c r="E226" s="2"/>
      <c r="F226" s="3"/>
      <c r="G226" s="2"/>
      <c r="H226" s="2"/>
      <c r="I226" s="2"/>
      <c r="J226" s="2"/>
      <c r="K226" s="2"/>
      <c r="L226" s="2"/>
      <c r="M226" s="2"/>
      <c r="N226" s="2"/>
      <c r="O226" s="2"/>
      <c r="P226" s="2"/>
      <c r="Q226" s="2"/>
      <c r="R226" s="2"/>
      <c r="S226" s="2"/>
      <c r="T226" s="2"/>
      <c r="U226" s="2"/>
      <c r="V226" s="2"/>
      <c r="W226" s="2"/>
      <c r="X226" s="2"/>
      <c r="Y226" s="2"/>
      <c r="Z226" s="2"/>
    </row>
    <row r="227" ht="15.75" customHeight="1">
      <c r="A227" s="3"/>
      <c r="B227" s="3"/>
      <c r="C227" s="3"/>
      <c r="D227" s="3"/>
      <c r="E227" s="2"/>
      <c r="F227" s="3"/>
      <c r="G227" s="2"/>
      <c r="H227" s="2"/>
      <c r="I227" s="2"/>
      <c r="J227" s="2"/>
      <c r="K227" s="2"/>
      <c r="L227" s="2"/>
      <c r="M227" s="2"/>
      <c r="N227" s="2"/>
      <c r="O227" s="2"/>
      <c r="P227" s="2"/>
      <c r="Q227" s="2"/>
      <c r="R227" s="2"/>
      <c r="S227" s="2"/>
      <c r="T227" s="2"/>
      <c r="U227" s="2"/>
      <c r="V227" s="2"/>
      <c r="W227" s="2"/>
      <c r="X227" s="2"/>
      <c r="Y227" s="2"/>
      <c r="Z227" s="2"/>
    </row>
    <row r="228" ht="15.75" customHeight="1">
      <c r="A228" s="3"/>
      <c r="B228" s="3"/>
      <c r="C228" s="3"/>
      <c r="D228" s="3"/>
      <c r="E228" s="2"/>
      <c r="F228" s="3"/>
      <c r="G228" s="2"/>
      <c r="H228" s="2"/>
      <c r="I228" s="2"/>
      <c r="J228" s="2"/>
      <c r="K228" s="2"/>
      <c r="L228" s="2"/>
      <c r="M228" s="2"/>
      <c r="N228" s="2"/>
      <c r="O228" s="2"/>
      <c r="P228" s="2"/>
      <c r="Q228" s="2"/>
      <c r="R228" s="2"/>
      <c r="S228" s="2"/>
      <c r="T228" s="2"/>
      <c r="U228" s="2"/>
      <c r="V228" s="2"/>
      <c r="W228" s="2"/>
      <c r="X228" s="2"/>
      <c r="Y228" s="2"/>
      <c r="Z228" s="2"/>
    </row>
    <row r="229" ht="15.75" customHeight="1">
      <c r="A229" s="3"/>
      <c r="B229" s="3"/>
      <c r="C229" s="3"/>
      <c r="D229" s="3"/>
      <c r="E229" s="2"/>
      <c r="F229" s="3"/>
      <c r="G229" s="2"/>
      <c r="H229" s="2"/>
      <c r="I229" s="2"/>
      <c r="J229" s="2"/>
      <c r="K229" s="2"/>
      <c r="L229" s="2"/>
      <c r="M229" s="2"/>
      <c r="N229" s="2"/>
      <c r="O229" s="2"/>
      <c r="P229" s="2"/>
      <c r="Q229" s="2"/>
      <c r="R229" s="2"/>
      <c r="S229" s="2"/>
      <c r="T229" s="2"/>
      <c r="U229" s="2"/>
      <c r="V229" s="2"/>
      <c r="W229" s="2"/>
      <c r="X229" s="2"/>
      <c r="Y229" s="2"/>
      <c r="Z229" s="2"/>
    </row>
    <row r="230" ht="15.75" customHeight="1">
      <c r="A230" s="3"/>
      <c r="B230" s="3"/>
      <c r="C230" s="3"/>
      <c r="D230" s="3"/>
      <c r="E230" s="2"/>
      <c r="F230" s="3"/>
      <c r="G230" s="2"/>
      <c r="H230" s="2"/>
      <c r="I230" s="2"/>
      <c r="J230" s="2"/>
      <c r="K230" s="2"/>
      <c r="L230" s="2"/>
      <c r="M230" s="2"/>
      <c r="N230" s="2"/>
      <c r="O230" s="2"/>
      <c r="P230" s="2"/>
      <c r="Q230" s="2"/>
      <c r="R230" s="2"/>
      <c r="S230" s="2"/>
      <c r="T230" s="2"/>
      <c r="U230" s="2"/>
      <c r="V230" s="2"/>
      <c r="W230" s="2"/>
      <c r="X230" s="2"/>
      <c r="Y230" s="2"/>
      <c r="Z230" s="2"/>
    </row>
    <row r="231" ht="15.75" customHeight="1">
      <c r="A231" s="3"/>
      <c r="B231" s="3"/>
      <c r="C231" s="3"/>
      <c r="D231" s="3"/>
      <c r="E231" s="2"/>
      <c r="F231" s="3"/>
      <c r="G231" s="2"/>
      <c r="H231" s="2"/>
      <c r="I231" s="2"/>
      <c r="J231" s="2"/>
      <c r="K231" s="2"/>
      <c r="L231" s="2"/>
      <c r="M231" s="2"/>
      <c r="N231" s="2"/>
      <c r="O231" s="2"/>
      <c r="P231" s="2"/>
      <c r="Q231" s="2"/>
      <c r="R231" s="2"/>
      <c r="S231" s="2"/>
      <c r="T231" s="2"/>
      <c r="U231" s="2"/>
      <c r="V231" s="2"/>
      <c r="W231" s="2"/>
      <c r="X231" s="2"/>
      <c r="Y231" s="2"/>
      <c r="Z231" s="2"/>
    </row>
    <row r="232" ht="15.75" customHeight="1">
      <c r="A232" s="3"/>
      <c r="B232" s="3"/>
      <c r="C232" s="3"/>
      <c r="D232" s="3"/>
      <c r="E232" s="2"/>
      <c r="F232" s="3"/>
      <c r="G232" s="2"/>
      <c r="H232" s="2"/>
      <c r="I232" s="2"/>
      <c r="J232" s="2"/>
      <c r="K232" s="2"/>
      <c r="L232" s="2"/>
      <c r="M232" s="2"/>
      <c r="N232" s="2"/>
      <c r="O232" s="2"/>
      <c r="P232" s="2"/>
      <c r="Q232" s="2"/>
      <c r="R232" s="2"/>
      <c r="S232" s="2"/>
      <c r="T232" s="2"/>
      <c r="U232" s="2"/>
      <c r="V232" s="2"/>
      <c r="W232" s="2"/>
      <c r="X232" s="2"/>
      <c r="Y232" s="2"/>
      <c r="Z232" s="2"/>
    </row>
    <row r="233" ht="15.75" customHeight="1">
      <c r="A233" s="3"/>
      <c r="B233" s="3"/>
      <c r="C233" s="3"/>
      <c r="D233" s="3"/>
      <c r="E233" s="2"/>
      <c r="F233" s="3"/>
      <c r="G233" s="2"/>
      <c r="H233" s="2"/>
      <c r="I233" s="2"/>
      <c r="J233" s="2"/>
      <c r="K233" s="2"/>
      <c r="L233" s="2"/>
      <c r="M233" s="2"/>
      <c r="N233" s="2"/>
      <c r="O233" s="2"/>
      <c r="P233" s="2"/>
      <c r="Q233" s="2"/>
      <c r="R233" s="2"/>
      <c r="S233" s="2"/>
      <c r="T233" s="2"/>
      <c r="U233" s="2"/>
      <c r="V233" s="2"/>
      <c r="W233" s="2"/>
      <c r="X233" s="2"/>
      <c r="Y233" s="2"/>
      <c r="Z233" s="2"/>
    </row>
    <row r="234" ht="15.75" customHeight="1">
      <c r="A234" s="3"/>
      <c r="B234" s="3"/>
      <c r="C234" s="3"/>
      <c r="D234" s="3"/>
      <c r="E234" s="2"/>
      <c r="F234" s="3"/>
      <c r="G234" s="2"/>
      <c r="H234" s="2"/>
      <c r="I234" s="2"/>
      <c r="J234" s="2"/>
      <c r="K234" s="2"/>
      <c r="L234" s="2"/>
      <c r="M234" s="2"/>
      <c r="N234" s="2"/>
      <c r="O234" s="2"/>
      <c r="P234" s="2"/>
      <c r="Q234" s="2"/>
      <c r="R234" s="2"/>
      <c r="S234" s="2"/>
      <c r="T234" s="2"/>
      <c r="U234" s="2"/>
      <c r="V234" s="2"/>
      <c r="W234" s="2"/>
      <c r="X234" s="2"/>
      <c r="Y234" s="2"/>
      <c r="Z234" s="2"/>
    </row>
    <row r="235" ht="15.75" customHeight="1">
      <c r="A235" s="3"/>
      <c r="B235" s="3"/>
      <c r="C235" s="3"/>
      <c r="D235" s="3"/>
      <c r="E235" s="2"/>
      <c r="F235" s="3"/>
      <c r="G235" s="2"/>
      <c r="H235" s="2"/>
      <c r="I235" s="2"/>
      <c r="J235" s="2"/>
      <c r="K235" s="2"/>
      <c r="L235" s="2"/>
      <c r="M235" s="2"/>
      <c r="N235" s="2"/>
      <c r="O235" s="2"/>
      <c r="P235" s="2"/>
      <c r="Q235" s="2"/>
      <c r="R235" s="2"/>
      <c r="S235" s="2"/>
      <c r="T235" s="2"/>
      <c r="U235" s="2"/>
      <c r="V235" s="2"/>
      <c r="W235" s="2"/>
      <c r="X235" s="2"/>
      <c r="Y235" s="2"/>
      <c r="Z235" s="2"/>
    </row>
    <row r="236" ht="15.75" customHeight="1">
      <c r="A236" s="3"/>
      <c r="B236" s="3"/>
      <c r="C236" s="3"/>
      <c r="D236" s="3"/>
      <c r="E236" s="2"/>
      <c r="F236" s="3"/>
      <c r="G236" s="2"/>
      <c r="H236" s="2"/>
      <c r="I236" s="2"/>
      <c r="J236" s="2"/>
      <c r="K236" s="2"/>
      <c r="L236" s="2"/>
      <c r="M236" s="2"/>
      <c r="N236" s="2"/>
      <c r="O236" s="2"/>
      <c r="P236" s="2"/>
      <c r="Q236" s="2"/>
      <c r="R236" s="2"/>
      <c r="S236" s="2"/>
      <c r="T236" s="2"/>
      <c r="U236" s="2"/>
      <c r="V236" s="2"/>
      <c r="W236" s="2"/>
      <c r="X236" s="2"/>
      <c r="Y236" s="2"/>
      <c r="Z236" s="2"/>
    </row>
    <row r="237" ht="15.75" customHeight="1">
      <c r="A237" s="3"/>
      <c r="B237" s="3"/>
      <c r="C237" s="3"/>
      <c r="D237" s="3"/>
      <c r="E237" s="2"/>
      <c r="F237" s="3"/>
      <c r="G237" s="2"/>
      <c r="H237" s="2"/>
      <c r="I237" s="2"/>
      <c r="J237" s="2"/>
      <c r="K237" s="2"/>
      <c r="L237" s="2"/>
      <c r="M237" s="2"/>
      <c r="N237" s="2"/>
      <c r="O237" s="2"/>
      <c r="P237" s="2"/>
      <c r="Q237" s="2"/>
      <c r="R237" s="2"/>
      <c r="S237" s="2"/>
      <c r="T237" s="2"/>
      <c r="U237" s="2"/>
      <c r="V237" s="2"/>
      <c r="W237" s="2"/>
      <c r="X237" s="2"/>
      <c r="Y237" s="2"/>
      <c r="Z237" s="2"/>
    </row>
    <row r="238" ht="15.75" customHeight="1">
      <c r="A238" s="3"/>
      <c r="B238" s="3"/>
      <c r="C238" s="3"/>
      <c r="D238" s="3"/>
      <c r="E238" s="2"/>
      <c r="F238" s="3"/>
      <c r="G238" s="2"/>
      <c r="H238" s="2"/>
      <c r="I238" s="2"/>
      <c r="J238" s="2"/>
      <c r="K238" s="2"/>
      <c r="L238" s="2"/>
      <c r="M238" s="2"/>
      <c r="N238" s="2"/>
      <c r="O238" s="2"/>
      <c r="P238" s="2"/>
      <c r="Q238" s="2"/>
      <c r="R238" s="2"/>
      <c r="S238" s="2"/>
      <c r="T238" s="2"/>
      <c r="U238" s="2"/>
      <c r="V238" s="2"/>
      <c r="W238" s="2"/>
      <c r="X238" s="2"/>
      <c r="Y238" s="2"/>
      <c r="Z238" s="2"/>
    </row>
    <row r="239" ht="15.75" customHeight="1">
      <c r="A239" s="3"/>
      <c r="B239" s="3"/>
      <c r="C239" s="3"/>
      <c r="D239" s="3"/>
      <c r="E239" s="2"/>
      <c r="F239" s="3"/>
      <c r="G239" s="2"/>
      <c r="H239" s="2"/>
      <c r="I239" s="2"/>
      <c r="J239" s="2"/>
      <c r="K239" s="2"/>
      <c r="L239" s="2"/>
      <c r="M239" s="2"/>
      <c r="N239" s="2"/>
      <c r="O239" s="2"/>
      <c r="P239" s="2"/>
      <c r="Q239" s="2"/>
      <c r="R239" s="2"/>
      <c r="S239" s="2"/>
      <c r="T239" s="2"/>
      <c r="U239" s="2"/>
      <c r="V239" s="2"/>
      <c r="W239" s="2"/>
      <c r="X239" s="2"/>
      <c r="Y239" s="2"/>
      <c r="Z239" s="2"/>
    </row>
    <row r="240" ht="15.75" customHeight="1">
      <c r="A240" s="3"/>
      <c r="B240" s="3"/>
      <c r="C240" s="3"/>
      <c r="D240" s="3"/>
      <c r="E240" s="2"/>
      <c r="F240" s="3"/>
      <c r="G240" s="2"/>
      <c r="H240" s="2"/>
      <c r="I240" s="2"/>
      <c r="J240" s="2"/>
      <c r="K240" s="2"/>
      <c r="L240" s="2"/>
      <c r="M240" s="2"/>
      <c r="N240" s="2"/>
      <c r="O240" s="2"/>
      <c r="P240" s="2"/>
      <c r="Q240" s="2"/>
      <c r="R240" s="2"/>
      <c r="S240" s="2"/>
      <c r="T240" s="2"/>
      <c r="U240" s="2"/>
      <c r="V240" s="2"/>
      <c r="W240" s="2"/>
      <c r="X240" s="2"/>
      <c r="Y240" s="2"/>
      <c r="Z240" s="2"/>
    </row>
    <row r="241" ht="15.75" customHeight="1">
      <c r="A241" s="3"/>
      <c r="B241" s="3"/>
      <c r="C241" s="3"/>
      <c r="D241" s="3"/>
      <c r="E241" s="2"/>
      <c r="F241" s="3"/>
      <c r="G241" s="2"/>
      <c r="H241" s="2"/>
      <c r="I241" s="2"/>
      <c r="J241" s="2"/>
      <c r="K241" s="2"/>
      <c r="L241" s="2"/>
      <c r="M241" s="2"/>
      <c r="N241" s="2"/>
      <c r="O241" s="2"/>
      <c r="P241" s="2"/>
      <c r="Q241" s="2"/>
      <c r="R241" s="2"/>
      <c r="S241" s="2"/>
      <c r="T241" s="2"/>
      <c r="U241" s="2"/>
      <c r="V241" s="2"/>
      <c r="W241" s="2"/>
      <c r="X241" s="2"/>
      <c r="Y241" s="2"/>
      <c r="Z241" s="2"/>
    </row>
    <row r="242" ht="15.75" customHeight="1">
      <c r="A242" s="3"/>
      <c r="B242" s="3"/>
      <c r="C242" s="3"/>
      <c r="D242" s="3"/>
      <c r="E242" s="2"/>
      <c r="F242" s="3"/>
      <c r="G242" s="2"/>
      <c r="H242" s="2"/>
      <c r="I242" s="2"/>
      <c r="J242" s="2"/>
      <c r="K242" s="2"/>
      <c r="L242" s="2"/>
      <c r="M242" s="2"/>
      <c r="N242" s="2"/>
      <c r="O242" s="2"/>
      <c r="P242" s="2"/>
      <c r="Q242" s="2"/>
      <c r="R242" s="2"/>
      <c r="S242" s="2"/>
      <c r="T242" s="2"/>
      <c r="U242" s="2"/>
      <c r="V242" s="2"/>
      <c r="W242" s="2"/>
      <c r="X242" s="2"/>
      <c r="Y242" s="2"/>
      <c r="Z242" s="2"/>
    </row>
    <row r="243" ht="15.75" customHeight="1">
      <c r="A243" s="3"/>
      <c r="B243" s="3"/>
      <c r="C243" s="3"/>
      <c r="D243" s="3"/>
      <c r="E243" s="2"/>
      <c r="F243" s="3"/>
      <c r="G243" s="2"/>
      <c r="H243" s="2"/>
      <c r="I243" s="2"/>
      <c r="J243" s="2"/>
      <c r="K243" s="2"/>
      <c r="L243" s="2"/>
      <c r="M243" s="2"/>
      <c r="N243" s="2"/>
      <c r="O243" s="2"/>
      <c r="P243" s="2"/>
      <c r="Q243" s="2"/>
      <c r="R243" s="2"/>
      <c r="S243" s="2"/>
      <c r="T243" s="2"/>
      <c r="U243" s="2"/>
      <c r="V243" s="2"/>
      <c r="W243" s="2"/>
      <c r="X243" s="2"/>
      <c r="Y243" s="2"/>
      <c r="Z243" s="2"/>
    </row>
    <row r="244" ht="15.75" customHeight="1">
      <c r="A244" s="3"/>
      <c r="B244" s="3"/>
      <c r="C244" s="3"/>
      <c r="D244" s="3"/>
      <c r="E244" s="2"/>
      <c r="F244" s="3"/>
      <c r="G244" s="2"/>
      <c r="H244" s="2"/>
      <c r="I244" s="2"/>
      <c r="J244" s="2"/>
      <c r="K244" s="2"/>
      <c r="L244" s="2"/>
      <c r="M244" s="2"/>
      <c r="N244" s="2"/>
      <c r="O244" s="2"/>
      <c r="P244" s="2"/>
      <c r="Q244" s="2"/>
      <c r="R244" s="2"/>
      <c r="S244" s="2"/>
      <c r="T244" s="2"/>
      <c r="U244" s="2"/>
      <c r="V244" s="2"/>
      <c r="W244" s="2"/>
      <c r="X244" s="2"/>
      <c r="Y244" s="2"/>
      <c r="Z244" s="2"/>
    </row>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F$45"/>
  <conditionalFormatting sqref="F2:F45">
    <cfRule type="expression" dxfId="5" priority="1">
      <formula>F2="Alta"</formula>
    </cfRule>
  </conditionalFormatting>
  <conditionalFormatting sqref="F2:F45">
    <cfRule type="expression" dxfId="6" priority="2">
      <formula>F2="Media"</formula>
    </cfRule>
  </conditionalFormatting>
  <conditionalFormatting sqref="F2:F45">
    <cfRule type="expression" dxfId="7" priority="3">
      <formula>F2="Baja"</formula>
    </cfRule>
  </conditionalFormatting>
  <dataValidations>
    <dataValidation type="list" allowBlank="1" showErrorMessage="1" sqref="F2:F45">
      <formula1>"Alta,Media,Baja,Por definir"</formula1>
    </dataValidation>
    <dataValidation type="list" allowBlank="1" showErrorMessage="1" sqref="B2:B45">
      <formula1>"Funcional,No funcional"</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4.38"/>
    <col customWidth="1" min="2" max="2" width="29.38"/>
    <col customWidth="1" min="3" max="3" width="27.5"/>
    <col customWidth="1" min="4" max="4" width="22.5"/>
    <col customWidth="1" min="5" max="5" width="31.25"/>
    <col customWidth="1" min="6" max="6" width="30.63"/>
    <col customWidth="1" min="7" max="7" width="22.5"/>
    <col customWidth="1" min="8" max="26" width="8.63"/>
  </cols>
  <sheetData>
    <row r="1">
      <c r="A1" s="21"/>
      <c r="B1" s="21"/>
      <c r="C1" s="21"/>
      <c r="D1" s="21"/>
      <c r="E1" s="21"/>
      <c r="F1" s="21"/>
      <c r="G1" s="21"/>
    </row>
    <row r="2" ht="30.0" customHeight="1">
      <c r="A2" s="23" t="s">
        <v>733</v>
      </c>
    </row>
    <row r="3">
      <c r="A3" s="21"/>
      <c r="B3" s="21"/>
      <c r="C3" s="21"/>
      <c r="D3" s="21"/>
      <c r="E3" s="21"/>
      <c r="F3" s="21"/>
      <c r="G3" s="21"/>
    </row>
    <row r="4" ht="31.5" customHeight="1">
      <c r="A4" s="26" t="s">
        <v>736</v>
      </c>
      <c r="B4" s="26" t="s">
        <v>739</v>
      </c>
      <c r="C4" s="26" t="s">
        <v>740</v>
      </c>
      <c r="D4" s="26" t="s">
        <v>741</v>
      </c>
      <c r="E4" s="27"/>
    </row>
    <row r="5" ht="30.0" customHeight="1">
      <c r="A5" s="28" t="n">
        <v>210</v>
      </c>
      <c r="B5" s="28">
        <f>COUNTA('Registro de pruebas'!B11:B198)</f>
        <v>188</v>
      </c>
      <c r="C5" s="28">
        <f>COUNTIF('Registro de pruebas'!E11:E198,"Verificado")</f>
        <v>184</v>
      </c>
      <c r="D5" s="28">
        <f>COUNTIF('Registro de pruebas'!E11:E198,"Ajustar navegación")</f>
        <v>2</v>
      </c>
    </row>
    <row r="6">
      <c r="A6" s="21"/>
      <c r="B6" s="21"/>
      <c r="C6" s="21"/>
      <c r="D6" s="21"/>
      <c r="E6" s="21"/>
      <c r="F6" s="21"/>
      <c r="G6" s="21"/>
    </row>
    <row r="7" ht="36.0" customHeight="1">
      <c r="A7" s="27" t="s">
        <v>752</v>
      </c>
    </row>
    <row r="8" ht="33.75" customHeight="1">
      <c r="A8" s="21" t="s">
        <v>753</v>
      </c>
      <c r="B8" s="27" t="s">
        <v>755</v>
      </c>
    </row>
    <row r="9">
      <c r="A9" s="21"/>
      <c r="B9" s="21"/>
      <c r="C9" s="21"/>
      <c r="D9" s="21"/>
      <c r="E9" s="21"/>
      <c r="F9" s="21"/>
      <c r="G9" s="21"/>
    </row>
    <row r="10">
      <c r="A10" s="21" t="s">
        <v>759</v>
      </c>
      <c r="B10" s="35" t="str">
        <v>Abrir registro de la ejecución completa de 210 pruebas y sus evidencias</v>
      </c>
    </row>
    <row r="11" ht="33.75" customHeight="1">
      <c r="A11" s="21" t="s">
        <v>771</v>
      </c>
      <c r="B11" s="27" t="s">
        <v>773</v>
      </c>
    </row>
    <row r="12">
      <c r="A12" s="21"/>
      <c r="B12" s="21"/>
      <c r="C12" s="21"/>
      <c r="D12" s="21"/>
      <c r="E12" s="21"/>
      <c r="F12" s="21"/>
      <c r="G12" s="21"/>
    </row>
    <row r="13">
      <c r="A13" s="37" t="s">
        <v>777</v>
      </c>
    </row>
    <row r="14">
      <c r="A14" s="21"/>
      <c r="B14" s="21"/>
      <c r="C14" s="21"/>
      <c r="D14" s="21"/>
      <c r="E14" s="21"/>
      <c r="F14" s="21"/>
      <c r="G14" s="21"/>
    </row>
    <row r="15" ht="31.5" customHeight="1">
      <c r="A15" s="26" t="s">
        <v>780</v>
      </c>
      <c r="B15" s="38" t="s">
        <v>782</v>
      </c>
      <c r="C15" s="39"/>
      <c r="D15" s="39"/>
      <c r="E15" s="38" t="s">
        <v>789</v>
      </c>
      <c r="F15" s="39"/>
      <c r="G15" s="39"/>
    </row>
    <row r="16" ht="85.5" customHeight="1">
      <c r="A16" s="27">
        <v>1.0</v>
      </c>
      <c r="B16" s="27" t="s">
        <v>792</v>
      </c>
      <c r="E16" s="27" t="str">
        <v>Sprint 2: 139 puntos revisados, 137 con prueba directa y 2 reglas del flujo. Se añadió el cotejo de dos filas de la planilla de la Sexta Compañía, desde el formulario hasta la consulta. Los dos ajustes del menú pertenecen al Sprint 1 y se realizarán después.</v>
      </c>
    </row>
    <row r="17" ht="85.5" customHeight="1">
      <c r="A17" s="33">
        <v>2.0</v>
      </c>
      <c r="B17" s="40" t="s">
        <v>797</v>
      </c>
      <c r="C17" s="39"/>
      <c r="D17" s="39"/>
      <c r="E17" s="40" t="str">
        <v>Se ejecutaron 210 pruebas de Django sobre modelos, formularios, vistas y servicios, incluidos los casos nuevos de los Sprint 1 y 2. La ejecución completa terminó sin fallos.</v>
      </c>
      <c r="F17" s="39"/>
      <c r="G17" s="39"/>
    </row>
    <row r="18" ht="85.5" customHeight="1">
      <c r="A18" s="27">
        <v>3.0</v>
      </c>
      <c r="B18" s="27" t="s">
        <v>804</v>
      </c>
      <c r="E18" s="27" t="s">
        <v>807</v>
      </c>
    </row>
    <row r="19" ht="85.5" customHeight="1">
      <c r="A19" s="33">
        <v>4.0</v>
      </c>
      <c r="B19" s="40" t="s">
        <v>809</v>
      </c>
      <c r="C19" s="39"/>
      <c r="D19" s="39"/>
      <c r="E19" s="40" t="str">
        <v>Las 210 pruebas terminaron sin fallos. Se comprobaron series únicas, saldos, conservación del historial, reversión ante errores y documentos privados. Los datos se prepararon en una base temporal.</v>
      </c>
      <c r="F19" s="39"/>
      <c r="G19" s="39"/>
    </row>
    <row r="20" ht="85.5" customHeight="1">
      <c r="A20" s="27">
        <v>5.0</v>
      </c>
      <c r="B20" s="27" t="s">
        <v>813</v>
      </c>
      <c r="E20" s="27" t="str">
        <v>Código y migraciones publicados en la rama principal. Se aplicaron las migraciones a una copia de la base anterior y se conservaron sus registros. El cotejo también pasó desde la versión publicada.</v>
      </c>
    </row>
    <row r="21" ht="85.5" customHeight="1">
      <c r="A21" s="33">
        <v>6.0</v>
      </c>
      <c r="B21" s="40" t="s">
        <v>817</v>
      </c>
      <c r="C21" s="39"/>
      <c r="D21" s="39"/>
      <c r="E21" s="40" t="str">
        <v>El registro enlazado reúne la ejecución completa, el cotejo B6 de la planilla y las evidencias de ingreso, consulta, entregas, devoluciones, préstamos y transferencias completas.</v>
      </c>
      <c r="F21" s="39"/>
      <c r="G21" s="39"/>
    </row>
    <row r="22" ht="15.75" customHeight="1">
      <c r="A22" s="21"/>
      <c r="B22" s="21"/>
      <c r="C22" s="21"/>
      <c r="D22" s="21"/>
      <c r="E22" s="21"/>
      <c r="F22" s="21"/>
      <c r="G22" s="21"/>
    </row>
    <row r="23" ht="15.75" customHeight="1">
      <c r="A23" s="21"/>
      <c r="B23" s="21"/>
      <c r="C23" s="21"/>
      <c r="D23" s="21"/>
      <c r="E23" s="21"/>
      <c r="F23" s="21"/>
      <c r="G23" s="21"/>
    </row>
    <row r="24" ht="15.75" customHeight="1">
      <c r="A24" s="37" t="s">
        <v>824</v>
      </c>
    </row>
    <row r="25" ht="27.75" customHeight="1">
      <c r="A25" s="35" t="s">
        <v>826</v>
      </c>
      <c r="D25" s="35" t="s">
        <v>833</v>
      </c>
    </row>
    <row r="26" ht="27.0" customHeight="1">
      <c r="A26" s="27" t="s">
        <v>841</v>
      </c>
    </row>
    <row r="27" ht="27.0" customHeight="1"/>
    <row r="28" ht="15.75" customHeight="1">
      <c r="A28" s="21"/>
      <c r="B28" s="21"/>
      <c r="C28" s="21"/>
      <c r="D28" s="21"/>
      <c r="E28" s="21"/>
      <c r="F28" s="21"/>
      <c r="G28" s="21"/>
    </row>
    <row r="29" ht="24.0" customHeight="1">
      <c r="A29" s="35" t="s">
        <v>845</v>
      </c>
      <c r="D29" s="35" t="str">
        <v>Ver consola: resultado final de las 210 pruebas</v>
      </c>
    </row>
    <row r="30" ht="24.0" customHeight="1"/>
    <row r="31" ht="27.75" customHeight="1">
      <c r="A31" s="35" t="s">
        <v>852</v>
      </c>
    </row>
    <row r="32" ht="27.75" customHeight="1">
      <c r="A32" s="35" t="s">
        <v>857</v>
      </c>
      <c r="D32" s="35" t="s">
        <v>863</v>
      </c>
    </row>
    <row r="33" ht="15.75" customHeight="1">
      <c r="A33" s="35" t="s">
        <v>867</v>
      </c>
      <c r="D33" s="35" t="s">
        <v>874</v>
      </c>
    </row>
    <row r="34" ht="15.75" customHeight="1">
      <c r="A34" s="21"/>
      <c r="B34" s="21"/>
      <c r="C34" s="21"/>
      <c r="D34" s="21"/>
      <c r="E34" s="21"/>
      <c r="F34" s="21"/>
      <c r="G34" s="21"/>
    </row>
    <row r="35" ht="15.75" customHeight="1">
      <c r="A35" s="21"/>
      <c r="B35" s="21"/>
      <c r="C35" s="21"/>
      <c r="D35" s="21"/>
      <c r="E35" s="21"/>
      <c r="F35" s="21"/>
      <c r="G35" s="21"/>
    </row>
    <row r="36" ht="25.5" customHeight="1">
      <c r="A36" s="27"/>
    </row>
    <row r="37" ht="25.5" customHeight="1"/>
    <row r="38" ht="15.75" customHeight="1">
      <c r="A38" s="21"/>
      <c r="B38" s="21"/>
      <c r="C38" s="21"/>
      <c r="D38" s="21"/>
      <c r="E38" s="21"/>
      <c r="F38" s="21"/>
      <c r="G38" s="21"/>
    </row>
    <row r="39" ht="15.75" customHeight="1">
      <c r="A39" s="21"/>
      <c r="B39" s="21"/>
      <c r="C39" s="21"/>
      <c r="D39" s="21"/>
      <c r="E39" s="21"/>
      <c r="F39" s="21"/>
      <c r="G39" s="21"/>
    </row>
    <row r="40" ht="15.75" customHeight="1">
      <c r="A40" s="21"/>
      <c r="B40" s="21"/>
      <c r="C40" s="21"/>
      <c r="D40" s="21"/>
      <c r="E40" s="21"/>
      <c r="F40" s="21"/>
      <c r="G40" s="21"/>
    </row>
    <row r="41" ht="15.75" customHeight="1">
      <c r="A41" s="21"/>
      <c r="B41" s="21"/>
      <c r="C41" s="21"/>
      <c r="D41" s="21"/>
      <c r="E41" s="21"/>
      <c r="F41" s="21"/>
      <c r="G41" s="21"/>
    </row>
    <row r="42" ht="15.75" customHeight="1">
      <c r="A42" s="21"/>
      <c r="B42" s="21"/>
      <c r="C42" s="21"/>
      <c r="D42" s="21"/>
      <c r="E42" s="21"/>
      <c r="F42" s="21"/>
      <c r="G42" s="21"/>
    </row>
    <row r="43" ht="15.75" customHeight="1">
      <c r="A43" s="21"/>
      <c r="B43" s="21"/>
      <c r="C43" s="21"/>
      <c r="D43" s="21"/>
      <c r="E43" s="21"/>
      <c r="F43" s="21"/>
      <c r="G43" s="21"/>
    </row>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sheetData>
  <mergeCells count="33">
    <mergeCell ref="A2:G2"/>
    <mergeCell ref="E4:G5"/>
    <mergeCell ref="A7:G7"/>
    <mergeCell ref="B8:G8"/>
    <mergeCell ref="B10:G10"/>
    <mergeCell ref="B11:G11"/>
    <mergeCell ref="A13:G13"/>
    <mergeCell ref="B18:D18"/>
    <mergeCell ref="B19:D19"/>
    <mergeCell ref="B20:D20"/>
    <mergeCell ref="B21:D21"/>
    <mergeCell ref="B15:D15"/>
    <mergeCell ref="E15:G15"/>
    <mergeCell ref="B16:D16"/>
    <mergeCell ref="E16:G16"/>
    <mergeCell ref="B17:D17"/>
    <mergeCell ref="E17:G17"/>
    <mergeCell ref="E18:G18"/>
    <mergeCell ref="A29:C30"/>
    <mergeCell ref="D29:G30"/>
    <mergeCell ref="A31:G31"/>
    <mergeCell ref="A32:C32"/>
    <mergeCell ref="D32:G32"/>
    <mergeCell ref="A33:C33"/>
    <mergeCell ref="D33:G33"/>
    <mergeCell ref="A36:G37"/>
    <mergeCell ref="E19:G19"/>
    <mergeCell ref="E20:G20"/>
    <mergeCell ref="E21:G21"/>
    <mergeCell ref="A24:G24"/>
    <mergeCell ref="A25:C25"/>
    <mergeCell ref="D25:G25"/>
    <mergeCell ref="A26:G27"/>
  </mergeCells>
  <hyperlinks>
    <hyperlink r:id="rId1" ref="B10"/>
    <hyperlink r:id="rId2" ref="A25"/>
    <hyperlink r:id="rId3" ref="D25"/>
    <hyperlink r:id="rId4" ref="A29"/>
    <hyperlink r:id="rId5" ref="D29"/>
    <hyperlink r:id="rId6" ref="A31"/>
    <hyperlink r:id="rId7" ref="A32"/>
    <hyperlink r:id="rId8" ref="D32"/>
    <hyperlink r:id="rId9" ref="A33"/>
    <hyperlink r:id="rId10" ref="D33"/>
  </hyperlinks>
  <printOptions/>
  <pageMargins bottom="0.75" footer="0.0" header="0.0" left="0.7" right="0.7" top="0.75"/>
  <pageSetup orientation="landscape"/>
  <drawing r:id="rId1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8.5"/>
    <col customWidth="1" min="2" max="2" width="16.0"/>
    <col customWidth="1" min="3" max="3" width="20.0"/>
    <col customWidth="1" min="4" max="4" width="52.5"/>
    <col customWidth="1" min="5" max="5" width="18.13"/>
    <col customWidth="1" min="6" max="6" width="45.0"/>
    <col customWidth="1" min="7" max="8" width="52.5"/>
    <col customWidth="1" min="9" max="26" width="8.63"/>
  </cols>
  <sheetData>
    <row r="1">
      <c r="A1" s="22"/>
      <c r="B1" s="22"/>
      <c r="C1" s="21"/>
      <c r="D1" s="21"/>
      <c r="E1" s="22"/>
      <c r="F1" s="21"/>
      <c r="G1" s="21"/>
      <c r="H1" s="21"/>
    </row>
    <row r="2" ht="30.0" customHeight="1">
      <c r="A2" s="24" t="s">
        <v>734</v>
      </c>
    </row>
    <row r="3">
      <c r="A3" s="22"/>
      <c r="B3" s="22"/>
      <c r="C3" s="21"/>
      <c r="D3" s="21"/>
      <c r="E3" s="22"/>
      <c r="F3" s="21"/>
      <c r="G3" s="21"/>
      <c r="H3" s="21"/>
    </row>
    <row r="4" ht="27.75" customHeight="1">
      <c r="A4" s="25" t="s">
        <v>735</v>
      </c>
    </row>
    <row r="5" ht="27.75" customHeight="1">
      <c r="A5" s="25" t="s">
        <v>737</v>
      </c>
    </row>
    <row r="6" ht="27.75" customHeight="1">
      <c r="A6" s="25" t="str">
        <v>Ejecución completa del 25/10/2026: 210 pruebas sin fallos en 231,470 segundos. Se revisaron 23 historias y 188 criterios de los Sprint 1 y 2.</v>
      </c>
    </row>
    <row r="7">
      <c r="A7" s="22"/>
      <c r="B7" s="22"/>
      <c r="C7" s="21"/>
      <c r="D7" s="21"/>
      <c r="E7" s="22"/>
      <c r="F7" s="21"/>
      <c r="G7" s="21"/>
      <c r="H7" s="21"/>
    </row>
    <row r="8">
      <c r="A8" s="29" t="s">
        <v>742</v>
      </c>
    </row>
    <row r="9">
      <c r="A9" s="22"/>
      <c r="B9" s="22"/>
      <c r="C9" s="21"/>
      <c r="D9" s="21"/>
      <c r="E9" s="22"/>
      <c r="F9" s="21"/>
      <c r="G9" s="21"/>
      <c r="H9" s="21"/>
    </row>
    <row r="10" ht="31.5" customHeight="1">
      <c r="A10" s="30" t="s">
        <v>743</v>
      </c>
      <c r="B10" s="30" t="s">
        <v>25</v>
      </c>
      <c r="C10" s="26" t="s">
        <v>744</v>
      </c>
      <c r="D10" s="26" t="s">
        <v>745</v>
      </c>
      <c r="E10" s="30" t="s">
        <v>746</v>
      </c>
      <c r="F10" s="26" t="s">
        <v>747</v>
      </c>
      <c r="G10" s="26" t="s">
        <v>748</v>
      </c>
      <c r="H10" s="26" t="s">
        <v>749</v>
      </c>
    </row>
    <row r="11" ht="85.5" customHeight="1">
      <c r="A11" s="25" t="s">
        <v>750</v>
      </c>
      <c r="B11" s="25" t="s">
        <v>68</v>
      </c>
      <c r="C11" s="27" t="s">
        <v>90</v>
      </c>
      <c r="D11" s="27" t="s">
        <v>751</v>
      </c>
      <c r="E11" s="31" t="s">
        <v>754</v>
      </c>
      <c r="F11" s="27" t="s">
        <v>756</v>
      </c>
      <c r="G11" s="27" t="s">
        <v>757</v>
      </c>
      <c r="H11" s="27" t="s">
        <v>758</v>
      </c>
    </row>
    <row r="12" ht="85.5" customHeight="1">
      <c r="A12" s="32" t="s">
        <v>750</v>
      </c>
      <c r="B12" s="32" t="s">
        <v>68</v>
      </c>
      <c r="C12" s="33" t="s">
        <v>90</v>
      </c>
      <c r="D12" s="33" t="s">
        <v>761</v>
      </c>
      <c r="E12" s="34" t="s">
        <v>754</v>
      </c>
      <c r="F12" s="33" t="s">
        <v>756</v>
      </c>
      <c r="G12" s="33" t="s">
        <v>757</v>
      </c>
      <c r="H12" s="33" t="s">
        <v>758</v>
      </c>
    </row>
    <row r="13" ht="85.5" customHeight="1">
      <c r="A13" s="25" t="s">
        <v>750</v>
      </c>
      <c r="B13" s="25" t="s">
        <v>68</v>
      </c>
      <c r="C13" s="27" t="s">
        <v>90</v>
      </c>
      <c r="D13" s="27" t="s">
        <v>762</v>
      </c>
      <c r="E13" s="34" t="s">
        <v>754</v>
      </c>
      <c r="F13" s="27" t="str">
        <v>Se enviaron contraseñas incorrectas con usuario y correo para compañía y Comandancia. En los cuatro escenarios se mostró el mensaje de error, no se inició sesión y el dashboard siguió protegido. El caso está incluido en la ejecución completa de 210 pruebas.</v>
      </c>
      <c r="G13" s="27" t="s">
        <v>757</v>
      </c>
      <c r="H13" s="27" t="s">
        <v>764</v>
      </c>
    </row>
    <row r="14" ht="85.5" customHeight="1">
      <c r="A14" s="32" t="s">
        <v>750</v>
      </c>
      <c r="B14" s="32" t="s">
        <v>68</v>
      </c>
      <c r="C14" s="33" t="s">
        <v>90</v>
      </c>
      <c r="D14" s="33" t="s">
        <v>765</v>
      </c>
      <c r="E14" s="34" t="s">
        <v>754</v>
      </c>
      <c r="F14" s="33" t="s">
        <v>756</v>
      </c>
      <c r="G14" s="33" t="s">
        <v>766</v>
      </c>
      <c r="H14" s="33" t="s">
        <v>758</v>
      </c>
    </row>
    <row r="15" ht="85.5" customHeight="1">
      <c r="A15" s="25" t="s">
        <v>750</v>
      </c>
      <c r="B15" s="25" t="s">
        <v>68</v>
      </c>
      <c r="C15" s="27" t="s">
        <v>90</v>
      </c>
      <c r="D15" s="27" t="s">
        <v>767</v>
      </c>
      <c r="E15" s="36" t="s">
        <v>768</v>
      </c>
      <c r="F15" s="27" t="s">
        <v>769</v>
      </c>
      <c r="G15" s="27" t="s">
        <v>770</v>
      </c>
      <c r="H15" s="27" t="s">
        <v>772</v>
      </c>
    </row>
    <row r="16" ht="85.5" customHeight="1">
      <c r="A16" s="32" t="s">
        <v>750</v>
      </c>
      <c r="B16" s="32" t="s">
        <v>118</v>
      </c>
      <c r="C16" s="33" t="s">
        <v>134</v>
      </c>
      <c r="D16" s="33" t="s">
        <v>774</v>
      </c>
      <c r="E16" s="34" t="s">
        <v>754</v>
      </c>
      <c r="F16" s="33" t="s">
        <v>756</v>
      </c>
      <c r="G16" s="33" t="s">
        <v>775</v>
      </c>
      <c r="H16" s="33" t="s">
        <v>776</v>
      </c>
    </row>
    <row r="17" ht="85.5" customHeight="1">
      <c r="A17" s="25" t="s">
        <v>750</v>
      </c>
      <c r="B17" s="25" t="s">
        <v>118</v>
      </c>
      <c r="C17" s="27" t="s">
        <v>134</v>
      </c>
      <c r="D17" s="27" t="s">
        <v>778</v>
      </c>
      <c r="E17" s="31" t="s">
        <v>754</v>
      </c>
      <c r="F17" s="27" t="s">
        <v>756</v>
      </c>
      <c r="G17" s="27" t="s">
        <v>775</v>
      </c>
      <c r="H17" s="27" t="s">
        <v>776</v>
      </c>
    </row>
    <row r="18" ht="85.5" customHeight="1">
      <c r="A18" s="32" t="s">
        <v>750</v>
      </c>
      <c r="B18" s="32" t="s">
        <v>118</v>
      </c>
      <c r="C18" s="33" t="s">
        <v>134</v>
      </c>
      <c r="D18" s="33" t="s">
        <v>779</v>
      </c>
      <c r="E18" s="34" t="s">
        <v>754</v>
      </c>
      <c r="F18" s="33" t="s">
        <v>756</v>
      </c>
      <c r="G18" s="33" t="s">
        <v>781</v>
      </c>
      <c r="H18" s="33" t="s">
        <v>776</v>
      </c>
    </row>
    <row r="19" ht="85.5" customHeight="1">
      <c r="A19" s="25" t="s">
        <v>750</v>
      </c>
      <c r="B19" s="25" t="s">
        <v>118</v>
      </c>
      <c r="C19" s="27" t="s">
        <v>134</v>
      </c>
      <c r="D19" s="27" t="s">
        <v>783</v>
      </c>
      <c r="E19" s="31" t="s">
        <v>754</v>
      </c>
      <c r="F19" s="27" t="s">
        <v>756</v>
      </c>
      <c r="G19" s="27" t="s">
        <v>784</v>
      </c>
      <c r="H19" s="27" t="s">
        <v>785</v>
      </c>
    </row>
    <row r="20" ht="85.5" customHeight="1">
      <c r="A20" s="32" t="s">
        <v>750</v>
      </c>
      <c r="B20" s="32" t="s">
        <v>118</v>
      </c>
      <c r="C20" s="33" t="s">
        <v>134</v>
      </c>
      <c r="D20" s="33" t="s">
        <v>786</v>
      </c>
      <c r="E20" s="34" t="s">
        <v>754</v>
      </c>
      <c r="F20" s="33" t="s">
        <v>756</v>
      </c>
      <c r="G20" s="33" t="s">
        <v>787</v>
      </c>
      <c r="H20" s="33" t="s">
        <v>776</v>
      </c>
    </row>
    <row r="21" ht="85.5" customHeight="1">
      <c r="A21" s="25" t="s">
        <v>750</v>
      </c>
      <c r="B21" s="25" t="s">
        <v>118</v>
      </c>
      <c r="C21" s="27" t="s">
        <v>134</v>
      </c>
      <c r="D21" s="27" t="s">
        <v>788</v>
      </c>
      <c r="E21" s="31" t="s">
        <v>754</v>
      </c>
      <c r="F21" s="27" t="s">
        <v>756</v>
      </c>
      <c r="G21" s="27" t="s">
        <v>775</v>
      </c>
      <c r="H21" s="27" t="s">
        <v>776</v>
      </c>
    </row>
    <row r="22" ht="85.5" customHeight="1">
      <c r="A22" s="32" t="s">
        <v>750</v>
      </c>
      <c r="B22" s="32" t="s">
        <v>118</v>
      </c>
      <c r="C22" s="33" t="s">
        <v>134</v>
      </c>
      <c r="D22" s="33" t="s">
        <v>790</v>
      </c>
      <c r="E22" s="34" t="s">
        <v>754</v>
      </c>
      <c r="F22" s="33" t="s">
        <v>756</v>
      </c>
      <c r="G22" s="33" t="s">
        <v>775</v>
      </c>
      <c r="H22" s="33" t="s">
        <v>785</v>
      </c>
    </row>
    <row r="23" ht="85.5" customHeight="1">
      <c r="A23" s="25" t="s">
        <v>750</v>
      </c>
      <c r="B23" s="25" t="s">
        <v>155</v>
      </c>
      <c r="C23" s="27" t="s">
        <v>167</v>
      </c>
      <c r="D23" s="27" t="s">
        <v>791</v>
      </c>
      <c r="E23" s="31" t="s">
        <v>754</v>
      </c>
      <c r="F23" s="27" t="s">
        <v>756</v>
      </c>
      <c r="G23" s="27" t="s">
        <v>793</v>
      </c>
      <c r="H23" s="27" t="s">
        <v>795</v>
      </c>
    </row>
    <row r="24" ht="85.5" customHeight="1">
      <c r="A24" s="32" t="s">
        <v>750</v>
      </c>
      <c r="B24" s="32" t="s">
        <v>155</v>
      </c>
      <c r="C24" s="33" t="s">
        <v>167</v>
      </c>
      <c r="D24" s="33" t="s">
        <v>796</v>
      </c>
      <c r="E24" s="34" t="s">
        <v>754</v>
      </c>
      <c r="F24" s="33" t="s">
        <v>756</v>
      </c>
      <c r="G24" s="33" t="s">
        <v>798</v>
      </c>
      <c r="H24" s="33" t="s">
        <v>799</v>
      </c>
    </row>
    <row r="25" ht="85.5" customHeight="1">
      <c r="A25" s="25" t="s">
        <v>750</v>
      </c>
      <c r="B25" s="25" t="s">
        <v>155</v>
      </c>
      <c r="C25" s="27" t="s">
        <v>167</v>
      </c>
      <c r="D25" s="27" t="s">
        <v>800</v>
      </c>
      <c r="E25" s="31" t="s">
        <v>754</v>
      </c>
      <c r="F25" s="27" t="s">
        <v>756</v>
      </c>
      <c r="G25" s="27" t="s">
        <v>802</v>
      </c>
      <c r="H25" s="27" t="s">
        <v>799</v>
      </c>
    </row>
    <row r="26" ht="85.5" customHeight="1">
      <c r="A26" s="32" t="s">
        <v>750</v>
      </c>
      <c r="B26" s="32" t="s">
        <v>155</v>
      </c>
      <c r="C26" s="33" t="s">
        <v>167</v>
      </c>
      <c r="D26" s="33" t="s">
        <v>803</v>
      </c>
      <c r="E26" s="34" t="s">
        <v>754</v>
      </c>
      <c r="F26" s="33" t="s">
        <v>756</v>
      </c>
      <c r="G26" s="33" t="s">
        <v>805</v>
      </c>
      <c r="H26" s="33" t="s">
        <v>806</v>
      </c>
    </row>
    <row r="27" ht="85.5" customHeight="1">
      <c r="A27" s="25" t="s">
        <v>750</v>
      </c>
      <c r="B27" s="25" t="s">
        <v>155</v>
      </c>
      <c r="C27" s="27" t="s">
        <v>167</v>
      </c>
      <c r="D27" s="27" t="s">
        <v>808</v>
      </c>
      <c r="E27" s="31" t="s">
        <v>754</v>
      </c>
      <c r="F27" s="27" t="s">
        <v>756</v>
      </c>
      <c r="G27" s="27" t="s">
        <v>810</v>
      </c>
      <c r="H27" s="27" t="s">
        <v>799</v>
      </c>
    </row>
    <row r="28" ht="85.5" customHeight="1">
      <c r="A28" s="32" t="s">
        <v>750</v>
      </c>
      <c r="B28" s="32" t="s">
        <v>155</v>
      </c>
      <c r="C28" s="33" t="s">
        <v>167</v>
      </c>
      <c r="D28" s="33" t="s">
        <v>812</v>
      </c>
      <c r="E28" s="34" t="s">
        <v>754</v>
      </c>
      <c r="F28" s="33" t="s">
        <v>756</v>
      </c>
      <c r="G28" s="33" t="s">
        <v>793</v>
      </c>
      <c r="H28" s="33" t="s">
        <v>795</v>
      </c>
    </row>
    <row r="29" ht="85.5" customHeight="1">
      <c r="A29" s="25" t="s">
        <v>750</v>
      </c>
      <c r="B29" s="25" t="s">
        <v>155</v>
      </c>
      <c r="C29" s="27" t="s">
        <v>167</v>
      </c>
      <c r="D29" s="27" t="s">
        <v>814</v>
      </c>
      <c r="E29" s="31" t="s">
        <v>754</v>
      </c>
      <c r="F29" s="27" t="s">
        <v>756</v>
      </c>
      <c r="G29" s="27" t="s">
        <v>816</v>
      </c>
      <c r="H29" s="27" t="s">
        <v>795</v>
      </c>
    </row>
    <row r="30" ht="85.5" customHeight="1">
      <c r="A30" s="32" t="s">
        <v>750</v>
      </c>
      <c r="B30" s="32" t="s">
        <v>194</v>
      </c>
      <c r="C30" s="33" t="s">
        <v>206</v>
      </c>
      <c r="D30" s="33" t="s">
        <v>818</v>
      </c>
      <c r="E30" s="34" t="s">
        <v>754</v>
      </c>
      <c r="F30" s="33" t="s">
        <v>756</v>
      </c>
      <c r="G30" s="33" t="s">
        <v>820</v>
      </c>
      <c r="H30" s="33" t="s">
        <v>821</v>
      </c>
    </row>
    <row r="31" ht="85.5" customHeight="1">
      <c r="A31" s="25" t="s">
        <v>750</v>
      </c>
      <c r="B31" s="25" t="s">
        <v>194</v>
      </c>
      <c r="C31" s="27" t="s">
        <v>206</v>
      </c>
      <c r="D31" s="27" t="s">
        <v>822</v>
      </c>
      <c r="E31" s="31" t="s">
        <v>754</v>
      </c>
      <c r="F31" s="27" t="s">
        <v>756</v>
      </c>
      <c r="G31" s="27" t="s">
        <v>806</v>
      </c>
      <c r="H31" s="27" t="s">
        <v>821</v>
      </c>
    </row>
    <row r="32" ht="85.5" customHeight="1">
      <c r="A32" s="32" t="s">
        <v>750</v>
      </c>
      <c r="B32" s="32" t="s">
        <v>194</v>
      </c>
      <c r="C32" s="33" t="s">
        <v>206</v>
      </c>
      <c r="D32" s="33" t="s">
        <v>823</v>
      </c>
      <c r="E32" s="34" t="s">
        <v>754</v>
      </c>
      <c r="F32" s="33" t="s">
        <v>756</v>
      </c>
      <c r="G32" s="33" t="s">
        <v>820</v>
      </c>
      <c r="H32" s="33" t="s">
        <v>825</v>
      </c>
    </row>
    <row r="33" ht="85.5" customHeight="1">
      <c r="A33" s="25" t="s">
        <v>750</v>
      </c>
      <c r="B33" s="25" t="s">
        <v>194</v>
      </c>
      <c r="C33" s="27" t="s">
        <v>206</v>
      </c>
      <c r="D33" s="27" t="s">
        <v>827</v>
      </c>
      <c r="E33" s="31" t="s">
        <v>754</v>
      </c>
      <c r="F33" s="27" t="s">
        <v>756</v>
      </c>
      <c r="G33" s="27" t="s">
        <v>828</v>
      </c>
      <c r="H33" s="27" t="s">
        <v>825</v>
      </c>
    </row>
    <row r="34" ht="85.5" customHeight="1">
      <c r="A34" s="32" t="s">
        <v>750</v>
      </c>
      <c r="B34" s="32" t="s">
        <v>194</v>
      </c>
      <c r="C34" s="33" t="s">
        <v>206</v>
      </c>
      <c r="D34" s="33" t="s">
        <v>829</v>
      </c>
      <c r="E34" s="34" t="s">
        <v>754</v>
      </c>
      <c r="F34" s="33" t="s">
        <v>756</v>
      </c>
      <c r="G34" s="33" t="s">
        <v>828</v>
      </c>
      <c r="H34" s="33" t="s">
        <v>825</v>
      </c>
    </row>
    <row r="35" ht="85.5" customHeight="1">
      <c r="A35" s="25" t="s">
        <v>750</v>
      </c>
      <c r="B35" s="25" t="s">
        <v>194</v>
      </c>
      <c r="C35" s="27" t="s">
        <v>206</v>
      </c>
      <c r="D35" s="27" t="s">
        <v>830</v>
      </c>
      <c r="E35" s="31" t="s">
        <v>754</v>
      </c>
      <c r="F35" s="27" t="s">
        <v>756</v>
      </c>
      <c r="G35" s="27" t="s">
        <v>828</v>
      </c>
      <c r="H35" s="27" t="s">
        <v>825</v>
      </c>
    </row>
    <row r="36" ht="85.5" customHeight="1">
      <c r="A36" s="32" t="s">
        <v>750</v>
      </c>
      <c r="B36" s="32" t="s">
        <v>194</v>
      </c>
      <c r="C36" s="33" t="s">
        <v>206</v>
      </c>
      <c r="D36" s="33" t="s">
        <v>831</v>
      </c>
      <c r="E36" s="34" t="s">
        <v>754</v>
      </c>
      <c r="F36" s="33" t="s">
        <v>756</v>
      </c>
      <c r="G36" s="33" t="s">
        <v>832</v>
      </c>
      <c r="H36" s="33" t="s">
        <v>825</v>
      </c>
    </row>
    <row r="37" ht="85.5" customHeight="1">
      <c r="A37" s="25" t="s">
        <v>750</v>
      </c>
      <c r="B37" s="25" t="s">
        <v>228</v>
      </c>
      <c r="C37" s="27" t="s">
        <v>237</v>
      </c>
      <c r="D37" s="27" t="s">
        <v>834</v>
      </c>
      <c r="E37" s="31" t="s">
        <v>754</v>
      </c>
      <c r="F37" s="27" t="s">
        <v>756</v>
      </c>
      <c r="G37" s="27" t="s">
        <v>832</v>
      </c>
      <c r="H37" s="27" t="s">
        <v>835</v>
      </c>
    </row>
    <row r="38" ht="85.5" customHeight="1">
      <c r="A38" s="32" t="s">
        <v>750</v>
      </c>
      <c r="B38" s="32" t="s">
        <v>228</v>
      </c>
      <c r="C38" s="33" t="s">
        <v>237</v>
      </c>
      <c r="D38" s="33" t="s">
        <v>836</v>
      </c>
      <c r="E38" s="34" t="s">
        <v>754</v>
      </c>
      <c r="F38" s="33" t="s">
        <v>756</v>
      </c>
      <c r="G38" s="33" t="s">
        <v>837</v>
      </c>
      <c r="H38" s="33" t="s">
        <v>838</v>
      </c>
    </row>
    <row r="39" ht="85.5" customHeight="1">
      <c r="A39" s="25" t="s">
        <v>750</v>
      </c>
      <c r="B39" s="25" t="s">
        <v>228</v>
      </c>
      <c r="C39" s="27" t="s">
        <v>237</v>
      </c>
      <c r="D39" s="27" t="s">
        <v>839</v>
      </c>
      <c r="E39" s="31" t="s">
        <v>754</v>
      </c>
      <c r="F39" s="27" t="s">
        <v>756</v>
      </c>
      <c r="G39" s="27" t="s">
        <v>832</v>
      </c>
      <c r="H39" s="27" t="s">
        <v>835</v>
      </c>
    </row>
    <row r="40" ht="85.5" customHeight="1">
      <c r="A40" s="32" t="s">
        <v>750</v>
      </c>
      <c r="B40" s="32" t="s">
        <v>228</v>
      </c>
      <c r="C40" s="33" t="s">
        <v>237</v>
      </c>
      <c r="D40" s="33" t="s">
        <v>840</v>
      </c>
      <c r="E40" s="41" t="s">
        <v>754</v>
      </c>
      <c r="F40" s="33" t="s">
        <v>842</v>
      </c>
      <c r="G40" s="33" t="s">
        <v>843</v>
      </c>
      <c r="H40" s="33" t="s">
        <v>835</v>
      </c>
    </row>
    <row r="41" ht="85.5" customHeight="1">
      <c r="A41" s="25" t="s">
        <v>750</v>
      </c>
      <c r="B41" s="25" t="s">
        <v>228</v>
      </c>
      <c r="C41" s="27" t="s">
        <v>237</v>
      </c>
      <c r="D41" s="27" t="s">
        <v>844</v>
      </c>
      <c r="E41" s="31" t="s">
        <v>754</v>
      </c>
      <c r="F41" s="27" t="s">
        <v>756</v>
      </c>
      <c r="G41" s="27" t="s">
        <v>832</v>
      </c>
      <c r="H41" s="27" t="s">
        <v>835</v>
      </c>
    </row>
    <row r="42" ht="85.5" customHeight="1">
      <c r="A42" s="32" t="s">
        <v>750</v>
      </c>
      <c r="B42" s="32" t="s">
        <v>228</v>
      </c>
      <c r="C42" s="33" t="s">
        <v>237</v>
      </c>
      <c r="D42" s="33" t="s">
        <v>846</v>
      </c>
      <c r="E42" s="34" t="s">
        <v>754</v>
      </c>
      <c r="F42" s="33" t="s">
        <v>756</v>
      </c>
      <c r="G42" s="33" t="s">
        <v>832</v>
      </c>
      <c r="H42" s="33" t="s">
        <v>835</v>
      </c>
    </row>
    <row r="43" ht="85.5" customHeight="1">
      <c r="A43" s="25" t="s">
        <v>750</v>
      </c>
      <c r="B43" s="25" t="s">
        <v>259</v>
      </c>
      <c r="C43" s="27" t="s">
        <v>274</v>
      </c>
      <c r="D43" s="27" t="s">
        <v>847</v>
      </c>
      <c r="E43" s="31" t="s">
        <v>754</v>
      </c>
      <c r="F43" s="27" t="s">
        <v>756</v>
      </c>
      <c r="G43" s="27" t="s">
        <v>832</v>
      </c>
      <c r="H43" s="27" t="s">
        <v>825</v>
      </c>
    </row>
    <row r="44" ht="85.5" customHeight="1">
      <c r="A44" s="32" t="s">
        <v>750</v>
      </c>
      <c r="B44" s="32" t="s">
        <v>259</v>
      </c>
      <c r="C44" s="33" t="s">
        <v>274</v>
      </c>
      <c r="D44" s="33" t="s">
        <v>849</v>
      </c>
      <c r="E44" s="34" t="s">
        <v>754</v>
      </c>
      <c r="F44" s="33" t="s">
        <v>756</v>
      </c>
      <c r="G44" s="33" t="s">
        <v>832</v>
      </c>
      <c r="H44" s="33" t="s">
        <v>825</v>
      </c>
    </row>
    <row r="45" ht="85.5" customHeight="1">
      <c r="A45" s="25" t="s">
        <v>750</v>
      </c>
      <c r="B45" s="25" t="s">
        <v>259</v>
      </c>
      <c r="C45" s="27" t="s">
        <v>274</v>
      </c>
      <c r="D45" s="27" t="s">
        <v>850</v>
      </c>
      <c r="E45" s="31" t="s">
        <v>754</v>
      </c>
      <c r="F45" s="27" t="s">
        <v>756</v>
      </c>
      <c r="G45" s="27" t="s">
        <v>832</v>
      </c>
      <c r="H45" s="27" t="s">
        <v>825</v>
      </c>
    </row>
    <row r="46" ht="85.5" customHeight="1">
      <c r="A46" s="32" t="s">
        <v>750</v>
      </c>
      <c r="B46" s="32" t="s">
        <v>259</v>
      </c>
      <c r="C46" s="33" t="s">
        <v>274</v>
      </c>
      <c r="D46" s="33" t="s">
        <v>851</v>
      </c>
      <c r="E46" s="34" t="s">
        <v>754</v>
      </c>
      <c r="F46" s="33" t="s">
        <v>756</v>
      </c>
      <c r="G46" s="33" t="s">
        <v>832</v>
      </c>
      <c r="H46" s="33" t="s">
        <v>825</v>
      </c>
    </row>
    <row r="47" ht="85.5" customHeight="1">
      <c r="A47" s="25" t="s">
        <v>750</v>
      </c>
      <c r="B47" s="25" t="s">
        <v>259</v>
      </c>
      <c r="C47" s="27" t="s">
        <v>274</v>
      </c>
      <c r="D47" s="27" t="s">
        <v>853</v>
      </c>
      <c r="E47" s="36" t="s">
        <v>754</v>
      </c>
      <c r="F47" s="27" t="s">
        <v>842</v>
      </c>
      <c r="G47" s="27" t="s">
        <v>843</v>
      </c>
      <c r="H47" s="27" t="s">
        <v>825</v>
      </c>
    </row>
    <row r="48" ht="85.5" customHeight="1">
      <c r="A48" s="32" t="s">
        <v>750</v>
      </c>
      <c r="B48" s="32" t="s">
        <v>298</v>
      </c>
      <c r="C48" s="33" t="s">
        <v>315</v>
      </c>
      <c r="D48" s="33" t="s">
        <v>854</v>
      </c>
      <c r="E48" s="34" t="s">
        <v>754</v>
      </c>
      <c r="F48" s="33" t="s">
        <v>756</v>
      </c>
      <c r="G48" s="33" t="s">
        <v>855</v>
      </c>
      <c r="H48" s="33" t="s">
        <v>856</v>
      </c>
    </row>
    <row r="49" ht="85.5" customHeight="1">
      <c r="A49" s="25" t="s">
        <v>750</v>
      </c>
      <c r="B49" s="25" t="s">
        <v>298</v>
      </c>
      <c r="C49" s="27" t="s">
        <v>315</v>
      </c>
      <c r="D49" s="27" t="s">
        <v>858</v>
      </c>
      <c r="E49" s="31" t="s">
        <v>754</v>
      </c>
      <c r="F49" s="27" t="s">
        <v>756</v>
      </c>
      <c r="G49" s="27" t="s">
        <v>855</v>
      </c>
      <c r="H49" s="27" t="s">
        <v>856</v>
      </c>
    </row>
    <row r="50" ht="85.5" customHeight="1">
      <c r="A50" s="32" t="s">
        <v>750</v>
      </c>
      <c r="B50" s="32" t="s">
        <v>298</v>
      </c>
      <c r="C50" s="33" t="s">
        <v>315</v>
      </c>
      <c r="D50" s="33" t="s">
        <v>859</v>
      </c>
      <c r="E50" s="34" t="s">
        <v>754</v>
      </c>
      <c r="F50" s="33" t="s">
        <v>756</v>
      </c>
      <c r="G50" s="33" t="s">
        <v>860</v>
      </c>
      <c r="H50" s="33" t="s">
        <v>861</v>
      </c>
    </row>
    <row r="51" ht="85.5" customHeight="1">
      <c r="A51" s="25" t="s">
        <v>750</v>
      </c>
      <c r="B51" s="25" t="s">
        <v>298</v>
      </c>
      <c r="C51" s="27" t="s">
        <v>315</v>
      </c>
      <c r="D51" s="27" t="s">
        <v>862</v>
      </c>
      <c r="E51" s="31" t="s">
        <v>754</v>
      </c>
      <c r="F51" s="27" t="s">
        <v>756</v>
      </c>
      <c r="G51" s="27" t="s">
        <v>864</v>
      </c>
      <c r="H51" s="27" t="s">
        <v>856</v>
      </c>
    </row>
    <row r="52" ht="85.5" customHeight="1">
      <c r="A52" s="32" t="s">
        <v>750</v>
      </c>
      <c r="B52" s="32" t="s">
        <v>298</v>
      </c>
      <c r="C52" s="33" t="s">
        <v>315</v>
      </c>
      <c r="D52" s="33" t="s">
        <v>865</v>
      </c>
      <c r="E52" s="34" t="s">
        <v>754</v>
      </c>
      <c r="F52" s="33" t="s">
        <v>756</v>
      </c>
      <c r="G52" s="33" t="s">
        <v>855</v>
      </c>
      <c r="H52" s="33" t="s">
        <v>856</v>
      </c>
    </row>
    <row r="53" ht="85.5" customHeight="1">
      <c r="A53" s="25" t="s">
        <v>750</v>
      </c>
      <c r="B53" s="25" t="s">
        <v>298</v>
      </c>
      <c r="C53" s="27" t="s">
        <v>315</v>
      </c>
      <c r="D53" s="27" t="s">
        <v>866</v>
      </c>
      <c r="E53" s="31" t="s">
        <v>754</v>
      </c>
      <c r="F53" s="27" t="s">
        <v>756</v>
      </c>
      <c r="G53" s="27" t="s">
        <v>860</v>
      </c>
      <c r="H53" s="27" t="s">
        <v>861</v>
      </c>
    </row>
    <row r="54" ht="85.5" customHeight="1">
      <c r="A54" s="32" t="s">
        <v>750</v>
      </c>
      <c r="B54" s="32" t="s">
        <v>298</v>
      </c>
      <c r="C54" s="33" t="s">
        <v>315</v>
      </c>
      <c r="D54" s="33" t="s">
        <v>868</v>
      </c>
      <c r="E54" s="34" t="s">
        <v>754</v>
      </c>
      <c r="F54" s="33" t="s">
        <v>756</v>
      </c>
      <c r="G54" s="33" t="s">
        <v>869</v>
      </c>
      <c r="H54" s="33" t="s">
        <v>825</v>
      </c>
    </row>
    <row r="55" ht="85.5" customHeight="1">
      <c r="A55" s="25" t="s">
        <v>750</v>
      </c>
      <c r="B55" s="25" t="s">
        <v>729</v>
      </c>
      <c r="C55" s="27" t="s">
        <v>206</v>
      </c>
      <c r="D55" s="27" t="s">
        <v>870</v>
      </c>
      <c r="E55" s="36" t="s">
        <v>754</v>
      </c>
      <c r="F55" s="27" t="s">
        <v>871</v>
      </c>
      <c r="G55" s="27" t="s">
        <v>872</v>
      </c>
      <c r="H55" s="27" t="s">
        <v>758</v>
      </c>
    </row>
    <row r="56" ht="85.5" customHeight="1">
      <c r="A56" s="32" t="s">
        <v>750</v>
      </c>
      <c r="B56" s="32" t="s">
        <v>729</v>
      </c>
      <c r="C56" s="33" t="s">
        <v>206</v>
      </c>
      <c r="D56" s="33" t="s">
        <v>873</v>
      </c>
      <c r="E56" s="34" t="s">
        <v>754</v>
      </c>
      <c r="F56" s="33" t="s">
        <v>756</v>
      </c>
      <c r="G56" s="33" t="s">
        <v>757</v>
      </c>
      <c r="H56" s="33" t="s">
        <v>758</v>
      </c>
    </row>
    <row r="57" ht="85.5" customHeight="1">
      <c r="A57" s="25" t="s">
        <v>750</v>
      </c>
      <c r="B57" s="25" t="s">
        <v>729</v>
      </c>
      <c r="C57" s="27" t="s">
        <v>206</v>
      </c>
      <c r="D57" s="27" t="s">
        <v>875</v>
      </c>
      <c r="E57" s="31" t="s">
        <v>754</v>
      </c>
      <c r="F57" s="27" t="s">
        <v>756</v>
      </c>
      <c r="G57" s="27" t="s">
        <v>757</v>
      </c>
      <c r="H57" s="27" t="s">
        <v>758</v>
      </c>
    </row>
    <row r="58" ht="85.5" customHeight="1">
      <c r="A58" s="32" t="s">
        <v>750</v>
      </c>
      <c r="B58" s="32" t="s">
        <v>729</v>
      </c>
      <c r="C58" s="33" t="s">
        <v>206</v>
      </c>
      <c r="D58" s="33" t="s">
        <v>876</v>
      </c>
      <c r="E58" s="34" t="s">
        <v>754</v>
      </c>
      <c r="F58" s="33" t="str">
        <v>Se enviaron contraseñas incorrectas con usuario y correo para compañía y Comandancia. En los cuatro escenarios se mostró el mensaje de error, no se inició sesión y el dashboard siguió protegido. El caso está incluido en la ejecución completa de 210 pruebas.</v>
      </c>
      <c r="G58" s="33" t="s">
        <v>757</v>
      </c>
      <c r="H58" s="33" t="s">
        <v>764</v>
      </c>
    </row>
    <row r="59" ht="85.5" customHeight="1">
      <c r="A59" s="25" t="s">
        <v>750</v>
      </c>
      <c r="B59" s="25" t="s">
        <v>729</v>
      </c>
      <c r="C59" s="27" t="s">
        <v>206</v>
      </c>
      <c r="D59" s="27" t="s">
        <v>877</v>
      </c>
      <c r="E59" s="36" t="s">
        <v>768</v>
      </c>
      <c r="F59" s="27" t="s">
        <v>769</v>
      </c>
      <c r="G59" s="27" t="s">
        <v>770</v>
      </c>
      <c r="H59" s="27" t="s">
        <v>772</v>
      </c>
    </row>
    <row r="60" ht="85.5" customHeight="1">
      <c r="A60" s="32" t="s">
        <v>878</v>
      </c>
      <c r="B60" s="32" t="s">
        <v>335</v>
      </c>
      <c r="C60" s="33" t="s">
        <v>348</v>
      </c>
      <c r="D60" s="33" t="s">
        <v>879</v>
      </c>
      <c r="E60" s="34" t="s">
        <v>754</v>
      </c>
      <c r="F60" s="33" t="s">
        <v>756</v>
      </c>
      <c r="G60" s="33" t="s">
        <v>837</v>
      </c>
      <c r="H60" s="33" t="s">
        <v>835</v>
      </c>
    </row>
    <row r="61" ht="85.5" customHeight="1">
      <c r="A61" s="25" t="s">
        <v>878</v>
      </c>
      <c r="B61" s="25" t="s">
        <v>335</v>
      </c>
      <c r="C61" s="27" t="s">
        <v>348</v>
      </c>
      <c r="D61" s="27" t="s">
        <v>880</v>
      </c>
      <c r="E61" s="31" t="s">
        <v>754</v>
      </c>
      <c r="F61" s="27" t="s">
        <v>756</v>
      </c>
      <c r="G61" s="27" t="s">
        <v>837</v>
      </c>
      <c r="H61" s="27" t="s">
        <v>835</v>
      </c>
    </row>
    <row r="62" ht="85.5" customHeight="1">
      <c r="A62" s="32" t="s">
        <v>878</v>
      </c>
      <c r="B62" s="32" t="s">
        <v>335</v>
      </c>
      <c r="C62" s="33" t="s">
        <v>348</v>
      </c>
      <c r="D62" s="33" t="s">
        <v>881</v>
      </c>
      <c r="E62" s="41" t="s">
        <v>754</v>
      </c>
      <c r="F62" s="33" t="s">
        <v>882</v>
      </c>
      <c r="G62" s="33" t="s">
        <v>883</v>
      </c>
      <c r="H62" s="33" t="s">
        <v>835</v>
      </c>
    </row>
    <row r="63" ht="85.5" customHeight="1">
      <c r="A63" s="25" t="s">
        <v>878</v>
      </c>
      <c r="B63" s="25" t="s">
        <v>335</v>
      </c>
      <c r="C63" s="27" t="s">
        <v>348</v>
      </c>
      <c r="D63" s="27" t="s">
        <v>884</v>
      </c>
      <c r="E63" s="31" t="s">
        <v>754</v>
      </c>
      <c r="F63" s="27" t="s">
        <v>756</v>
      </c>
      <c r="G63" s="27" t="s">
        <v>837</v>
      </c>
      <c r="H63" s="27" t="s">
        <v>835</v>
      </c>
    </row>
    <row r="64" ht="85.5" customHeight="1">
      <c r="A64" s="32" t="s">
        <v>878</v>
      </c>
      <c r="B64" s="32" t="s">
        <v>335</v>
      </c>
      <c r="C64" s="33" t="s">
        <v>348</v>
      </c>
      <c r="D64" s="33" t="s">
        <v>885</v>
      </c>
      <c r="E64" s="34" t="s">
        <v>754</v>
      </c>
      <c r="F64" s="33" t="s">
        <v>756</v>
      </c>
      <c r="G64" s="33" t="s">
        <v>837</v>
      </c>
      <c r="H64" s="33" t="s">
        <v>835</v>
      </c>
    </row>
    <row r="65" ht="85.5" customHeight="1">
      <c r="A65" s="25" t="s">
        <v>878</v>
      </c>
      <c r="B65" s="25" t="s">
        <v>335</v>
      </c>
      <c r="C65" s="27" t="s">
        <v>348</v>
      </c>
      <c r="D65" s="27" t="s">
        <v>886</v>
      </c>
      <c r="E65" s="31" t="s">
        <v>754</v>
      </c>
      <c r="F65" s="27" t="s">
        <v>756</v>
      </c>
      <c r="G65" s="27" t="s">
        <v>837</v>
      </c>
      <c r="H65" s="27" t="s">
        <v>835</v>
      </c>
    </row>
    <row r="66" ht="85.5" customHeight="1">
      <c r="A66" s="32" t="s">
        <v>878</v>
      </c>
      <c r="B66" s="32" t="s">
        <v>335</v>
      </c>
      <c r="C66" s="33" t="s">
        <v>348</v>
      </c>
      <c r="D66" s="33" t="s">
        <v>887</v>
      </c>
      <c r="E66" s="34" t="s">
        <v>754</v>
      </c>
      <c r="F66" s="33" t="s">
        <v>756</v>
      </c>
      <c r="G66" s="33" t="s">
        <v>888</v>
      </c>
      <c r="H66" s="33" t="s">
        <v>889</v>
      </c>
    </row>
    <row r="67" ht="85.5" customHeight="1">
      <c r="A67" s="25" t="s">
        <v>878</v>
      </c>
      <c r="B67" s="25" t="s">
        <v>335</v>
      </c>
      <c r="C67" s="27" t="s">
        <v>348</v>
      </c>
      <c r="D67" s="27" t="s">
        <v>890</v>
      </c>
      <c r="E67" s="31" t="s">
        <v>754</v>
      </c>
      <c r="F67" s="27" t="s">
        <v>756</v>
      </c>
      <c r="G67" s="27" t="s">
        <v>891</v>
      </c>
      <c r="H67" s="27" t="s">
        <v>892</v>
      </c>
    </row>
    <row r="68" ht="85.5" customHeight="1">
      <c r="A68" s="32" t="s">
        <v>878</v>
      </c>
      <c r="B68" s="32" t="s">
        <v>371</v>
      </c>
      <c r="C68" s="33" t="s">
        <v>381</v>
      </c>
      <c r="D68" s="33" t="s">
        <v>893</v>
      </c>
      <c r="E68" s="34" t="s">
        <v>754</v>
      </c>
      <c r="F68" s="33" t="s">
        <v>756</v>
      </c>
      <c r="G68" s="33" t="s">
        <v>894</v>
      </c>
      <c r="H68" s="33" t="s">
        <v>895</v>
      </c>
    </row>
    <row r="69" ht="85.5" customHeight="1">
      <c r="A69" s="25" t="s">
        <v>878</v>
      </c>
      <c r="B69" s="25" t="s">
        <v>371</v>
      </c>
      <c r="C69" s="27" t="s">
        <v>381</v>
      </c>
      <c r="D69" s="27" t="s">
        <v>896</v>
      </c>
      <c r="E69" s="31" t="s">
        <v>754</v>
      </c>
      <c r="F69" s="27" t="s">
        <v>756</v>
      </c>
      <c r="G69" s="27" t="s">
        <v>894</v>
      </c>
      <c r="H69" s="27" t="s">
        <v>895</v>
      </c>
    </row>
    <row r="70" ht="85.5" customHeight="1">
      <c r="A70" s="32" t="s">
        <v>878</v>
      </c>
      <c r="B70" s="32" t="s">
        <v>371</v>
      </c>
      <c r="C70" s="33" t="s">
        <v>381</v>
      </c>
      <c r="D70" s="33" t="s">
        <v>897</v>
      </c>
      <c r="E70" s="34" t="s">
        <v>754</v>
      </c>
      <c r="F70" s="33" t="s">
        <v>756</v>
      </c>
      <c r="G70" s="33" t="s">
        <v>898</v>
      </c>
      <c r="H70" s="33" t="s">
        <v>899</v>
      </c>
    </row>
    <row r="71" ht="85.5" customHeight="1">
      <c r="A71" s="25" t="s">
        <v>878</v>
      </c>
      <c r="B71" s="25" t="s">
        <v>371</v>
      </c>
      <c r="C71" s="27" t="s">
        <v>381</v>
      </c>
      <c r="D71" s="27" t="s">
        <v>900</v>
      </c>
      <c r="E71" s="31" t="s">
        <v>754</v>
      </c>
      <c r="F71" s="27" t="s">
        <v>756</v>
      </c>
      <c r="G71" s="27" t="s">
        <v>894</v>
      </c>
      <c r="H71" s="27" t="s">
        <v>895</v>
      </c>
    </row>
    <row r="72" ht="85.5" customHeight="1">
      <c r="A72" s="32" t="s">
        <v>878</v>
      </c>
      <c r="B72" s="32" t="s">
        <v>371</v>
      </c>
      <c r="C72" s="33" t="s">
        <v>381</v>
      </c>
      <c r="D72" s="33" t="s">
        <v>901</v>
      </c>
      <c r="E72" s="34" t="s">
        <v>754</v>
      </c>
      <c r="F72" s="33" t="s">
        <v>756</v>
      </c>
      <c r="G72" s="33" t="s">
        <v>894</v>
      </c>
      <c r="H72" s="33" t="s">
        <v>895</v>
      </c>
    </row>
    <row r="73" ht="85.5" customHeight="1">
      <c r="A73" s="25" t="s">
        <v>878</v>
      </c>
      <c r="B73" s="25" t="s">
        <v>371</v>
      </c>
      <c r="C73" s="27" t="s">
        <v>381</v>
      </c>
      <c r="D73" s="27" t="s">
        <v>902</v>
      </c>
      <c r="E73" s="31" t="s">
        <v>754</v>
      </c>
      <c r="F73" s="27" t="s">
        <v>756</v>
      </c>
      <c r="G73" s="27" t="s">
        <v>894</v>
      </c>
      <c r="H73" s="27" t="s">
        <v>895</v>
      </c>
    </row>
    <row r="74" ht="85.5" customHeight="1">
      <c r="A74" s="32" t="s">
        <v>878</v>
      </c>
      <c r="B74" s="32" t="s">
        <v>371</v>
      </c>
      <c r="C74" s="33" t="s">
        <v>381</v>
      </c>
      <c r="D74" s="33" t="s">
        <v>903</v>
      </c>
      <c r="E74" s="34" t="s">
        <v>754</v>
      </c>
      <c r="F74" s="33" t="s">
        <v>756</v>
      </c>
      <c r="G74" s="33" t="s">
        <v>894</v>
      </c>
      <c r="H74" s="33" t="s">
        <v>895</v>
      </c>
    </row>
    <row r="75" ht="85.5" customHeight="1">
      <c r="A75" s="25" t="s">
        <v>878</v>
      </c>
      <c r="B75" s="25" t="s">
        <v>371</v>
      </c>
      <c r="C75" s="27" t="s">
        <v>381</v>
      </c>
      <c r="D75" s="27" t="s">
        <v>904</v>
      </c>
      <c r="E75" s="31" t="s">
        <v>754</v>
      </c>
      <c r="F75" s="27" t="s">
        <v>756</v>
      </c>
      <c r="G75" s="27" t="s">
        <v>888</v>
      </c>
      <c r="H75" s="27" t="s">
        <v>905</v>
      </c>
    </row>
    <row r="76" ht="85.5" customHeight="1">
      <c r="A76" s="32" t="s">
        <v>878</v>
      </c>
      <c r="B76" s="32" t="s">
        <v>371</v>
      </c>
      <c r="C76" s="33" t="s">
        <v>381</v>
      </c>
      <c r="D76" s="33" t="s">
        <v>906</v>
      </c>
      <c r="E76" s="34" t="s">
        <v>754</v>
      </c>
      <c r="F76" s="33" t="s">
        <v>756</v>
      </c>
      <c r="G76" s="33" t="s">
        <v>907</v>
      </c>
      <c r="H76" s="33" t="s">
        <v>908</v>
      </c>
    </row>
    <row r="77" ht="85.5" customHeight="1">
      <c r="A77" s="25" t="s">
        <v>878</v>
      </c>
      <c r="B77" s="25" t="s">
        <v>399</v>
      </c>
      <c r="C77" s="27" t="s">
        <v>410</v>
      </c>
      <c r="D77" s="27" t="s">
        <v>909</v>
      </c>
      <c r="E77" s="31" t="s">
        <v>754</v>
      </c>
      <c r="F77" s="27" t="s">
        <v>756</v>
      </c>
      <c r="G77" s="27" t="s">
        <v>910</v>
      </c>
      <c r="H77" s="27" t="s">
        <v>911</v>
      </c>
    </row>
    <row r="78" ht="85.5" customHeight="1">
      <c r="A78" s="32" t="s">
        <v>878</v>
      </c>
      <c r="B78" s="32" t="s">
        <v>399</v>
      </c>
      <c r="C78" s="33" t="s">
        <v>410</v>
      </c>
      <c r="D78" s="33" t="s">
        <v>912</v>
      </c>
      <c r="E78" s="34" t="s">
        <v>754</v>
      </c>
      <c r="F78" s="33" t="s">
        <v>756</v>
      </c>
      <c r="G78" s="33" t="s">
        <v>913</v>
      </c>
      <c r="H78" s="33" t="s">
        <v>914</v>
      </c>
    </row>
    <row r="79" ht="85.5" customHeight="1">
      <c r="A79" s="25" t="s">
        <v>878</v>
      </c>
      <c r="B79" s="25" t="s">
        <v>399</v>
      </c>
      <c r="C79" s="27" t="s">
        <v>410</v>
      </c>
      <c r="D79" s="27" t="s">
        <v>915</v>
      </c>
      <c r="E79" s="31" t="s">
        <v>754</v>
      </c>
      <c r="F79" s="27" t="s">
        <v>756</v>
      </c>
      <c r="G79" s="27" t="s">
        <v>910</v>
      </c>
      <c r="H79" s="27" t="s">
        <v>911</v>
      </c>
    </row>
    <row r="80" ht="85.5" customHeight="1">
      <c r="A80" s="32" t="s">
        <v>878</v>
      </c>
      <c r="B80" s="32" t="s">
        <v>399</v>
      </c>
      <c r="C80" s="33" t="s">
        <v>410</v>
      </c>
      <c r="D80" s="33" t="s">
        <v>916</v>
      </c>
      <c r="E80" s="34" t="s">
        <v>754</v>
      </c>
      <c r="F80" s="33" t="s">
        <v>756</v>
      </c>
      <c r="G80" s="33" t="s">
        <v>910</v>
      </c>
      <c r="H80" s="33" t="s">
        <v>911</v>
      </c>
    </row>
    <row r="81" ht="85.5" customHeight="1">
      <c r="A81" s="25" t="s">
        <v>878</v>
      </c>
      <c r="B81" s="25" t="s">
        <v>399</v>
      </c>
      <c r="C81" s="27" t="s">
        <v>410</v>
      </c>
      <c r="D81" s="27" t="s">
        <v>917</v>
      </c>
      <c r="E81" s="31" t="s">
        <v>754</v>
      </c>
      <c r="F81" s="27" t="s">
        <v>756</v>
      </c>
      <c r="G81" s="27" t="s">
        <v>888</v>
      </c>
      <c r="H81" s="27" t="s">
        <v>835</v>
      </c>
    </row>
    <row r="82" ht="85.5" customHeight="1">
      <c r="A82" s="32" t="s">
        <v>878</v>
      </c>
      <c r="B82" s="32" t="s">
        <v>399</v>
      </c>
      <c r="C82" s="33" t="s">
        <v>410</v>
      </c>
      <c r="D82" s="33" t="s">
        <v>918</v>
      </c>
      <c r="E82" s="34" t="s">
        <v>754</v>
      </c>
      <c r="F82" s="33" t="s">
        <v>756</v>
      </c>
      <c r="G82" s="33" t="s">
        <v>919</v>
      </c>
      <c r="H82" s="33" t="s">
        <v>920</v>
      </c>
    </row>
    <row r="83" ht="85.5" customHeight="1">
      <c r="A83" s="25" t="s">
        <v>878</v>
      </c>
      <c r="B83" s="25" t="s">
        <v>424</v>
      </c>
      <c r="C83" s="27" t="s">
        <v>435</v>
      </c>
      <c r="D83" s="27" t="s">
        <v>921</v>
      </c>
      <c r="E83" s="31" t="s">
        <v>754</v>
      </c>
      <c r="F83" s="27" t="s">
        <v>756</v>
      </c>
      <c r="G83" s="27" t="s">
        <v>922</v>
      </c>
      <c r="H83" s="27" t="s">
        <v>923</v>
      </c>
    </row>
    <row r="84" ht="85.5" customHeight="1">
      <c r="A84" s="32" t="s">
        <v>878</v>
      </c>
      <c r="B84" s="32" t="s">
        <v>424</v>
      </c>
      <c r="C84" s="33" t="s">
        <v>435</v>
      </c>
      <c r="D84" s="33" t="s">
        <v>924</v>
      </c>
      <c r="E84" s="41" t="s">
        <v>754</v>
      </c>
      <c r="F84" s="33" t="s">
        <v>925</v>
      </c>
      <c r="G84" s="33" t="s">
        <v>926</v>
      </c>
      <c r="H84" s="33" t="s">
        <v>923</v>
      </c>
    </row>
    <row r="85" ht="85.5" customHeight="1">
      <c r="A85" s="25" t="s">
        <v>878</v>
      </c>
      <c r="B85" s="25" t="s">
        <v>424</v>
      </c>
      <c r="C85" s="27" t="s">
        <v>435</v>
      </c>
      <c r="D85" s="27" t="s">
        <v>927</v>
      </c>
      <c r="E85" s="31" t="s">
        <v>754</v>
      </c>
      <c r="F85" s="27" t="s">
        <v>756</v>
      </c>
      <c r="G85" s="27" t="s">
        <v>922</v>
      </c>
      <c r="H85" s="27" t="s">
        <v>923</v>
      </c>
    </row>
    <row r="86" ht="85.5" customHeight="1">
      <c r="A86" s="32" t="s">
        <v>878</v>
      </c>
      <c r="B86" s="32" t="s">
        <v>424</v>
      </c>
      <c r="C86" s="33" t="s">
        <v>435</v>
      </c>
      <c r="D86" s="33" t="s">
        <v>928</v>
      </c>
      <c r="E86" s="34" t="s">
        <v>754</v>
      </c>
      <c r="F86" s="33" t="s">
        <v>756</v>
      </c>
      <c r="G86" s="33" t="s">
        <v>922</v>
      </c>
      <c r="H86" s="33" t="s">
        <v>923</v>
      </c>
    </row>
    <row r="87" ht="85.5" customHeight="1">
      <c r="A87" s="25" t="s">
        <v>878</v>
      </c>
      <c r="B87" s="25" t="s">
        <v>424</v>
      </c>
      <c r="C87" s="27" t="s">
        <v>435</v>
      </c>
      <c r="D87" s="27" t="s">
        <v>929</v>
      </c>
      <c r="E87" s="31" t="s">
        <v>754</v>
      </c>
      <c r="F87" s="27" t="s">
        <v>756</v>
      </c>
      <c r="G87" s="27" t="s">
        <v>923</v>
      </c>
      <c r="H87" s="27" t="s">
        <v>930</v>
      </c>
    </row>
    <row r="88" ht="85.5" customHeight="1">
      <c r="A88" s="32" t="s">
        <v>878</v>
      </c>
      <c r="B88" s="32" t="s">
        <v>424</v>
      </c>
      <c r="C88" s="33" t="s">
        <v>435</v>
      </c>
      <c r="D88" s="33" t="s">
        <v>931</v>
      </c>
      <c r="E88" s="34" t="s">
        <v>754</v>
      </c>
      <c r="F88" s="33" t="s">
        <v>756</v>
      </c>
      <c r="G88" s="33" t="s">
        <v>891</v>
      </c>
      <c r="H88" s="33" t="s">
        <v>923</v>
      </c>
    </row>
    <row r="89" ht="85.5" customHeight="1">
      <c r="A89" s="25" t="s">
        <v>878</v>
      </c>
      <c r="B89" s="25" t="s">
        <v>453</v>
      </c>
      <c r="C89" s="27" t="s">
        <v>466</v>
      </c>
      <c r="D89" s="27" t="s">
        <v>932</v>
      </c>
      <c r="E89" s="31" t="s">
        <v>754</v>
      </c>
      <c r="F89" s="27" t="s">
        <v>756</v>
      </c>
      <c r="G89" s="27" t="s">
        <v>933</v>
      </c>
      <c r="H89" s="27" t="s">
        <v>934</v>
      </c>
    </row>
    <row r="90" ht="85.5" customHeight="1">
      <c r="A90" s="32" t="s">
        <v>878</v>
      </c>
      <c r="B90" s="32" t="s">
        <v>453</v>
      </c>
      <c r="C90" s="33" t="s">
        <v>466</v>
      </c>
      <c r="D90" s="33" t="s">
        <v>935</v>
      </c>
      <c r="E90" s="34" t="s">
        <v>754</v>
      </c>
      <c r="F90" s="33" t="s">
        <v>756</v>
      </c>
      <c r="G90" s="33" t="s">
        <v>936</v>
      </c>
      <c r="H90" s="33" t="s">
        <v>934</v>
      </c>
    </row>
    <row r="91" ht="85.5" customHeight="1">
      <c r="A91" s="25" t="s">
        <v>878</v>
      </c>
      <c r="B91" s="25" t="s">
        <v>453</v>
      </c>
      <c r="C91" s="27" t="s">
        <v>466</v>
      </c>
      <c r="D91" s="27" t="s">
        <v>937</v>
      </c>
      <c r="E91" s="36" t="s">
        <v>754</v>
      </c>
      <c r="F91" s="27" t="s">
        <v>938</v>
      </c>
      <c r="G91" s="27" t="s">
        <v>939</v>
      </c>
      <c r="H91" s="27" t="s">
        <v>934</v>
      </c>
    </row>
    <row r="92" ht="85.5" customHeight="1">
      <c r="A92" s="32" t="s">
        <v>878</v>
      </c>
      <c r="B92" s="32" t="s">
        <v>453</v>
      </c>
      <c r="C92" s="33" t="s">
        <v>466</v>
      </c>
      <c r="D92" s="33" t="s">
        <v>940</v>
      </c>
      <c r="E92" s="41" t="s">
        <v>754</v>
      </c>
      <c r="F92" s="33" t="s">
        <v>938</v>
      </c>
      <c r="G92" s="33" t="s">
        <v>939</v>
      </c>
      <c r="H92" s="33" t="s">
        <v>934</v>
      </c>
    </row>
    <row r="93" ht="85.5" customHeight="1">
      <c r="A93" s="25" t="s">
        <v>878</v>
      </c>
      <c r="B93" s="25" t="s">
        <v>453</v>
      </c>
      <c r="C93" s="27" t="s">
        <v>466</v>
      </c>
      <c r="D93" s="27" t="s">
        <v>941</v>
      </c>
      <c r="E93" s="36" t="s">
        <v>754</v>
      </c>
      <c r="F93" s="27" t="s">
        <v>938</v>
      </c>
      <c r="G93" s="27" t="s">
        <v>939</v>
      </c>
      <c r="H93" s="27" t="s">
        <v>934</v>
      </c>
    </row>
    <row r="94" ht="85.5" customHeight="1">
      <c r="A94" s="32" t="s">
        <v>878</v>
      </c>
      <c r="B94" s="32" t="s">
        <v>453</v>
      </c>
      <c r="C94" s="33" t="s">
        <v>466</v>
      </c>
      <c r="D94" s="33" t="s">
        <v>942</v>
      </c>
      <c r="E94" s="41" t="s">
        <v>754</v>
      </c>
      <c r="F94" s="33" t="s">
        <v>938</v>
      </c>
      <c r="G94" s="33" t="s">
        <v>939</v>
      </c>
      <c r="H94" s="33" t="s">
        <v>934</v>
      </c>
    </row>
    <row r="95" ht="85.5" customHeight="1">
      <c r="A95" s="25" t="s">
        <v>878</v>
      </c>
      <c r="B95" s="25" t="s">
        <v>453</v>
      </c>
      <c r="C95" s="27" t="s">
        <v>466</v>
      </c>
      <c r="D95" s="27" t="s">
        <v>943</v>
      </c>
      <c r="E95" s="31" t="s">
        <v>754</v>
      </c>
      <c r="F95" s="27" t="s">
        <v>756</v>
      </c>
      <c r="G95" s="27" t="s">
        <v>936</v>
      </c>
      <c r="H95" s="27" t="s">
        <v>934</v>
      </c>
    </row>
    <row r="96" ht="85.5" customHeight="1">
      <c r="A96" s="32" t="s">
        <v>878</v>
      </c>
      <c r="B96" s="32" t="s">
        <v>453</v>
      </c>
      <c r="C96" s="33" t="s">
        <v>466</v>
      </c>
      <c r="D96" s="33" t="s">
        <v>944</v>
      </c>
      <c r="E96" s="34" t="s">
        <v>754</v>
      </c>
      <c r="F96" s="33" t="s">
        <v>756</v>
      </c>
      <c r="G96" s="33" t="s">
        <v>936</v>
      </c>
      <c r="H96" s="33" t="s">
        <v>934</v>
      </c>
    </row>
    <row r="97" ht="85.5" customHeight="1">
      <c r="A97" s="25" t="s">
        <v>878</v>
      </c>
      <c r="B97" s="25" t="s">
        <v>453</v>
      </c>
      <c r="C97" s="27" t="s">
        <v>466</v>
      </c>
      <c r="D97" s="27" t="s">
        <v>945</v>
      </c>
      <c r="E97" s="31" t="s">
        <v>754</v>
      </c>
      <c r="F97" s="27" t="s">
        <v>756</v>
      </c>
      <c r="G97" s="27" t="s">
        <v>936</v>
      </c>
      <c r="H97" s="27" t="s">
        <v>934</v>
      </c>
    </row>
    <row r="98" ht="85.5" customHeight="1">
      <c r="A98" s="32" t="s">
        <v>878</v>
      </c>
      <c r="B98" s="32" t="s">
        <v>453</v>
      </c>
      <c r="C98" s="33" t="s">
        <v>466</v>
      </c>
      <c r="D98" s="33" t="s">
        <v>946</v>
      </c>
      <c r="E98" s="34" t="s">
        <v>754</v>
      </c>
      <c r="F98" s="33" t="s">
        <v>756</v>
      </c>
      <c r="G98" s="33" t="s">
        <v>947</v>
      </c>
      <c r="H98" s="33" t="s">
        <v>948</v>
      </c>
    </row>
    <row r="99" ht="85.5" customHeight="1">
      <c r="A99" s="25" t="s">
        <v>878</v>
      </c>
      <c r="B99" s="25" t="s">
        <v>453</v>
      </c>
      <c r="C99" s="27" t="s">
        <v>466</v>
      </c>
      <c r="D99" s="27" t="s">
        <v>949</v>
      </c>
      <c r="E99" s="36" t="s">
        <v>950</v>
      </c>
      <c r="F99" s="27" t="s">
        <v>951</v>
      </c>
      <c r="G99" s="27" t="s">
        <v>936</v>
      </c>
      <c r="H99" s="27" t="s">
        <v>934</v>
      </c>
    </row>
    <row r="100" ht="85.5" customHeight="1">
      <c r="A100" s="32" t="s">
        <v>878</v>
      </c>
      <c r="B100" s="32" t="s">
        <v>480</v>
      </c>
      <c r="C100" s="33" t="s">
        <v>490</v>
      </c>
      <c r="D100" s="33" t="s">
        <v>952</v>
      </c>
      <c r="E100" s="34" t="s">
        <v>754</v>
      </c>
      <c r="F100" s="33" t="s">
        <v>756</v>
      </c>
      <c r="G100" s="33" t="s">
        <v>953</v>
      </c>
      <c r="H100" s="33" t="s">
        <v>838</v>
      </c>
    </row>
    <row r="101" ht="85.5" customHeight="1">
      <c r="A101" s="25" t="s">
        <v>878</v>
      </c>
      <c r="B101" s="25" t="s">
        <v>480</v>
      </c>
      <c r="C101" s="27" t="s">
        <v>490</v>
      </c>
      <c r="D101" s="27" t="s">
        <v>954</v>
      </c>
      <c r="E101" s="36" t="s">
        <v>754</v>
      </c>
      <c r="F101" s="27" t="s">
        <v>955</v>
      </c>
      <c r="G101" s="27" t="s">
        <v>956</v>
      </c>
      <c r="H101" s="27" t="s">
        <v>838</v>
      </c>
    </row>
    <row r="102" ht="85.5" customHeight="1">
      <c r="A102" s="32" t="s">
        <v>878</v>
      </c>
      <c r="B102" s="32" t="s">
        <v>480</v>
      </c>
      <c r="C102" s="33" t="s">
        <v>490</v>
      </c>
      <c r="D102" s="33" t="s">
        <v>957</v>
      </c>
      <c r="E102" s="34" t="s">
        <v>754</v>
      </c>
      <c r="F102" s="33" t="s">
        <v>756</v>
      </c>
      <c r="G102" s="33" t="s">
        <v>953</v>
      </c>
      <c r="H102" s="33" t="s">
        <v>838</v>
      </c>
    </row>
    <row r="103" ht="85.5" customHeight="1">
      <c r="A103" s="25" t="s">
        <v>878</v>
      </c>
      <c r="B103" s="25" t="s">
        <v>480</v>
      </c>
      <c r="C103" s="27" t="s">
        <v>490</v>
      </c>
      <c r="D103" s="27" t="s">
        <v>958</v>
      </c>
      <c r="E103" s="31" t="s">
        <v>754</v>
      </c>
      <c r="F103" s="27" t="s">
        <v>756</v>
      </c>
      <c r="G103" s="27" t="s">
        <v>953</v>
      </c>
      <c r="H103" s="27" t="s">
        <v>838</v>
      </c>
    </row>
    <row r="104" ht="85.5" customHeight="1">
      <c r="A104" s="32" t="s">
        <v>878</v>
      </c>
      <c r="B104" s="32" t="s">
        <v>480</v>
      </c>
      <c r="C104" s="33" t="s">
        <v>490</v>
      </c>
      <c r="D104" s="33" t="s">
        <v>959</v>
      </c>
      <c r="E104" s="34" t="s">
        <v>754</v>
      </c>
      <c r="F104" s="33" t="s">
        <v>756</v>
      </c>
      <c r="G104" s="33" t="s">
        <v>953</v>
      </c>
      <c r="H104" s="33" t="s">
        <v>838</v>
      </c>
    </row>
    <row r="105" ht="85.5" customHeight="1">
      <c r="A105" s="25" t="s">
        <v>878</v>
      </c>
      <c r="B105" s="25" t="s">
        <v>480</v>
      </c>
      <c r="C105" s="27" t="s">
        <v>490</v>
      </c>
      <c r="D105" s="27" t="s">
        <v>960</v>
      </c>
      <c r="E105" s="31" t="s">
        <v>754</v>
      </c>
      <c r="F105" s="27" t="s">
        <v>756</v>
      </c>
      <c r="G105" s="27" t="s">
        <v>953</v>
      </c>
      <c r="H105" s="27" t="s">
        <v>838</v>
      </c>
    </row>
    <row r="106" ht="85.5" customHeight="1">
      <c r="A106" s="32" t="s">
        <v>878</v>
      </c>
      <c r="B106" s="32" t="s">
        <v>480</v>
      </c>
      <c r="C106" s="33" t="s">
        <v>490</v>
      </c>
      <c r="D106" s="33" t="s">
        <v>961</v>
      </c>
      <c r="E106" s="41" t="s">
        <v>754</v>
      </c>
      <c r="F106" s="33" t="s">
        <v>955</v>
      </c>
      <c r="G106" s="33" t="s">
        <v>956</v>
      </c>
      <c r="H106" s="33" t="s">
        <v>838</v>
      </c>
    </row>
    <row r="107" ht="85.5" customHeight="1">
      <c r="A107" s="25" t="s">
        <v>878</v>
      </c>
      <c r="B107" s="25" t="s">
        <v>480</v>
      </c>
      <c r="C107" s="27" t="s">
        <v>490</v>
      </c>
      <c r="D107" s="27" t="s">
        <v>962</v>
      </c>
      <c r="E107" s="31" t="s">
        <v>754</v>
      </c>
      <c r="F107" s="27" t="s">
        <v>756</v>
      </c>
      <c r="G107" s="27" t="s">
        <v>963</v>
      </c>
      <c r="H107" s="27" t="s">
        <v>964</v>
      </c>
    </row>
    <row r="108" ht="85.5" customHeight="1">
      <c r="A108" s="32" t="s">
        <v>878</v>
      </c>
      <c r="B108" s="32" t="s">
        <v>480</v>
      </c>
      <c r="C108" s="33" t="s">
        <v>490</v>
      </c>
      <c r="D108" s="33" t="s">
        <v>965</v>
      </c>
      <c r="E108" s="34" t="s">
        <v>754</v>
      </c>
      <c r="F108" s="33" t="s">
        <v>756</v>
      </c>
      <c r="G108" s="33" t="s">
        <v>966</v>
      </c>
      <c r="H108" s="33" t="s">
        <v>838</v>
      </c>
    </row>
    <row r="109" ht="85.5" customHeight="1">
      <c r="A109" s="25" t="s">
        <v>878</v>
      </c>
      <c r="B109" s="25" t="s">
        <v>480</v>
      </c>
      <c r="C109" s="27" t="s">
        <v>490</v>
      </c>
      <c r="D109" s="27" t="s">
        <v>967</v>
      </c>
      <c r="E109" s="31" t="s">
        <v>754</v>
      </c>
      <c r="F109" s="27" t="s">
        <v>756</v>
      </c>
      <c r="G109" s="27" t="s">
        <v>953</v>
      </c>
      <c r="H109" s="27" t="s">
        <v>838</v>
      </c>
    </row>
    <row r="110" ht="85.5" customHeight="1">
      <c r="A110" s="32" t="s">
        <v>878</v>
      </c>
      <c r="B110" s="32" t="s">
        <v>480</v>
      </c>
      <c r="C110" s="33" t="s">
        <v>968</v>
      </c>
      <c r="D110" s="33" t="s">
        <v>969</v>
      </c>
      <c r="E110" s="34" t="s">
        <v>754</v>
      </c>
      <c r="F110" s="33" t="s">
        <v>970</v>
      </c>
      <c r="G110" s="33" t="s">
        <v>971</v>
      </c>
      <c r="H110" s="33" t="s">
        <v>972</v>
      </c>
    </row>
    <row r="111" ht="85.5" customHeight="1">
      <c r="A111" s="25" t="s">
        <v>878</v>
      </c>
      <c r="B111" s="25" t="s">
        <v>480</v>
      </c>
      <c r="C111" s="27" t="s">
        <v>968</v>
      </c>
      <c r="D111" s="27" t="s">
        <v>973</v>
      </c>
      <c r="E111" s="31" t="s">
        <v>754</v>
      </c>
      <c r="F111" s="27" t="s">
        <v>970</v>
      </c>
      <c r="G111" s="27" t="s">
        <v>974</v>
      </c>
      <c r="H111" s="27" t="s">
        <v>975</v>
      </c>
    </row>
    <row r="112" ht="85.5" customHeight="1">
      <c r="A112" s="32" t="s">
        <v>878</v>
      </c>
      <c r="B112" s="32" t="s">
        <v>480</v>
      </c>
      <c r="C112" s="33" t="s">
        <v>968</v>
      </c>
      <c r="D112" s="33" t="s">
        <v>976</v>
      </c>
      <c r="E112" s="34" t="s">
        <v>754</v>
      </c>
      <c r="F112" s="33" t="s">
        <v>970</v>
      </c>
      <c r="G112" s="33" t="s">
        <v>977</v>
      </c>
      <c r="H112" s="33" t="s">
        <v>978</v>
      </c>
    </row>
    <row r="113" ht="85.5" customHeight="1">
      <c r="A113" s="25" t="s">
        <v>878</v>
      </c>
      <c r="B113" s="25" t="s">
        <v>480</v>
      </c>
      <c r="C113" s="27" t="s">
        <v>968</v>
      </c>
      <c r="D113" s="27" t="s">
        <v>979</v>
      </c>
      <c r="E113" s="31" t="s">
        <v>754</v>
      </c>
      <c r="F113" s="27" t="s">
        <v>970</v>
      </c>
      <c r="G113" s="27" t="s">
        <v>980</v>
      </c>
      <c r="H113" s="27" t="s">
        <v>981</v>
      </c>
    </row>
    <row r="114" ht="85.5" customHeight="1">
      <c r="A114" s="32" t="s">
        <v>878</v>
      </c>
      <c r="B114" s="32" t="s">
        <v>480</v>
      </c>
      <c r="C114" s="33" t="s">
        <v>968</v>
      </c>
      <c r="D114" s="33" t="s">
        <v>982</v>
      </c>
      <c r="E114" s="34" t="s">
        <v>754</v>
      </c>
      <c r="F114" s="33" t="s">
        <v>970</v>
      </c>
      <c r="G114" s="33" t="s">
        <v>983</v>
      </c>
      <c r="H114" s="33" t="s">
        <v>984</v>
      </c>
    </row>
    <row r="115" ht="85.5" customHeight="1">
      <c r="A115" s="25" t="s">
        <v>878</v>
      </c>
      <c r="B115" s="25" t="s">
        <v>506</v>
      </c>
      <c r="C115" s="27" t="s">
        <v>523</v>
      </c>
      <c r="D115" s="27" t="s">
        <v>985</v>
      </c>
      <c r="E115" s="31" t="s">
        <v>754</v>
      </c>
      <c r="F115" s="27" t="s">
        <v>756</v>
      </c>
      <c r="G115" s="27" t="s">
        <v>986</v>
      </c>
      <c r="H115" s="27" t="s">
        <v>987</v>
      </c>
    </row>
    <row r="116" ht="85.5" customHeight="1">
      <c r="A116" s="32" t="s">
        <v>878</v>
      </c>
      <c r="B116" s="32" t="s">
        <v>506</v>
      </c>
      <c r="C116" s="33" t="s">
        <v>523</v>
      </c>
      <c r="D116" s="33" t="s">
        <v>988</v>
      </c>
      <c r="E116" s="41" t="s">
        <v>754</v>
      </c>
      <c r="F116" s="33" t="s">
        <v>989</v>
      </c>
      <c r="G116" s="33" t="s">
        <v>990</v>
      </c>
      <c r="H116" s="33" t="s">
        <v>987</v>
      </c>
    </row>
    <row r="117" ht="85.5" customHeight="1">
      <c r="A117" s="25" t="s">
        <v>878</v>
      </c>
      <c r="B117" s="25" t="s">
        <v>506</v>
      </c>
      <c r="C117" s="27" t="s">
        <v>523</v>
      </c>
      <c r="D117" s="27" t="s">
        <v>991</v>
      </c>
      <c r="E117" s="31" t="s">
        <v>754</v>
      </c>
      <c r="F117" s="27" t="s">
        <v>756</v>
      </c>
      <c r="G117" s="27" t="s">
        <v>986</v>
      </c>
      <c r="H117" s="27" t="s">
        <v>987</v>
      </c>
    </row>
    <row r="118" ht="85.5" customHeight="1">
      <c r="A118" s="32" t="s">
        <v>878</v>
      </c>
      <c r="B118" s="32" t="s">
        <v>506</v>
      </c>
      <c r="C118" s="33" t="s">
        <v>523</v>
      </c>
      <c r="D118" s="33" t="s">
        <v>992</v>
      </c>
      <c r="E118" s="34" t="s">
        <v>754</v>
      </c>
      <c r="F118" s="33" t="s">
        <v>756</v>
      </c>
      <c r="G118" s="33" t="s">
        <v>993</v>
      </c>
      <c r="H118" s="33" t="s">
        <v>987</v>
      </c>
    </row>
    <row r="119" ht="85.5" customHeight="1">
      <c r="A119" s="25" t="s">
        <v>878</v>
      </c>
      <c r="B119" s="25" t="s">
        <v>506</v>
      </c>
      <c r="C119" s="27" t="s">
        <v>523</v>
      </c>
      <c r="D119" s="27" t="s">
        <v>994</v>
      </c>
      <c r="E119" s="36" t="s">
        <v>754</v>
      </c>
      <c r="F119" s="27" t="s">
        <v>989</v>
      </c>
      <c r="G119" s="27" t="s">
        <v>990</v>
      </c>
      <c r="H119" s="27" t="s">
        <v>987</v>
      </c>
    </row>
    <row r="120" ht="85.5" customHeight="1">
      <c r="A120" s="32" t="s">
        <v>878</v>
      </c>
      <c r="B120" s="32" t="s">
        <v>506</v>
      </c>
      <c r="C120" s="33" t="s">
        <v>523</v>
      </c>
      <c r="D120" s="33" t="s">
        <v>995</v>
      </c>
      <c r="E120" s="34" t="s">
        <v>754</v>
      </c>
      <c r="F120" s="33" t="s">
        <v>756</v>
      </c>
      <c r="G120" s="33" t="s">
        <v>907</v>
      </c>
      <c r="H120" s="33" t="s">
        <v>908</v>
      </c>
    </row>
    <row r="121" ht="85.5" customHeight="1">
      <c r="A121" s="25" t="s">
        <v>878</v>
      </c>
      <c r="B121" s="25" t="s">
        <v>544</v>
      </c>
      <c r="C121" s="27" t="s">
        <v>551</v>
      </c>
      <c r="D121" s="27" t="s">
        <v>996</v>
      </c>
      <c r="E121" s="31" t="s">
        <v>754</v>
      </c>
      <c r="F121" s="27" t="s">
        <v>756</v>
      </c>
      <c r="G121" s="27" t="s">
        <v>997</v>
      </c>
      <c r="H121" s="27" t="s">
        <v>998</v>
      </c>
    </row>
    <row r="122" ht="85.5" customHeight="1">
      <c r="A122" s="32" t="s">
        <v>878</v>
      </c>
      <c r="B122" s="32" t="s">
        <v>544</v>
      </c>
      <c r="C122" s="33" t="s">
        <v>551</v>
      </c>
      <c r="D122" s="33" t="s">
        <v>999</v>
      </c>
      <c r="E122" s="41" t="s">
        <v>754</v>
      </c>
      <c r="F122" s="33" t="s">
        <v>1000</v>
      </c>
      <c r="G122" s="33" t="s">
        <v>1001</v>
      </c>
      <c r="H122" s="33" t="s">
        <v>998</v>
      </c>
    </row>
    <row r="123" ht="85.5" customHeight="1">
      <c r="A123" s="25" t="s">
        <v>878</v>
      </c>
      <c r="B123" s="25" t="s">
        <v>544</v>
      </c>
      <c r="C123" s="27" t="s">
        <v>551</v>
      </c>
      <c r="D123" s="27" t="s">
        <v>1002</v>
      </c>
      <c r="E123" s="31" t="s">
        <v>754</v>
      </c>
      <c r="F123" s="27" t="s">
        <v>756</v>
      </c>
      <c r="G123" s="27" t="s">
        <v>892</v>
      </c>
      <c r="H123" s="27" t="s">
        <v>998</v>
      </c>
    </row>
    <row r="124" ht="85.5" customHeight="1">
      <c r="A124" s="32" t="s">
        <v>878</v>
      </c>
      <c r="B124" s="32" t="s">
        <v>544</v>
      </c>
      <c r="C124" s="33" t="s">
        <v>551</v>
      </c>
      <c r="D124" s="33" t="s">
        <v>1003</v>
      </c>
      <c r="E124" s="41" t="s">
        <v>754</v>
      </c>
      <c r="F124" s="33" t="s">
        <v>1000</v>
      </c>
      <c r="G124" s="33" t="s">
        <v>1001</v>
      </c>
      <c r="H124" s="33" t="s">
        <v>998</v>
      </c>
    </row>
    <row r="125" ht="85.5" customHeight="1">
      <c r="A125" s="25" t="s">
        <v>878</v>
      </c>
      <c r="B125" s="25" t="s">
        <v>544</v>
      </c>
      <c r="C125" s="27" t="s">
        <v>551</v>
      </c>
      <c r="D125" s="27" t="s">
        <v>1004</v>
      </c>
      <c r="E125" s="36" t="s">
        <v>754</v>
      </c>
      <c r="F125" s="27" t="s">
        <v>1000</v>
      </c>
      <c r="G125" s="27" t="s">
        <v>1001</v>
      </c>
      <c r="H125" s="27" t="s">
        <v>998</v>
      </c>
    </row>
    <row r="126" ht="85.5" customHeight="1">
      <c r="A126" s="32" t="s">
        <v>878</v>
      </c>
      <c r="B126" s="32" t="s">
        <v>544</v>
      </c>
      <c r="C126" s="33" t="s">
        <v>551</v>
      </c>
      <c r="D126" s="33" t="s">
        <v>1005</v>
      </c>
      <c r="E126" s="34" t="s">
        <v>754</v>
      </c>
      <c r="F126" s="33" t="s">
        <v>756</v>
      </c>
      <c r="G126" s="33" t="s">
        <v>997</v>
      </c>
      <c r="H126" s="33" t="s">
        <v>998</v>
      </c>
    </row>
    <row r="127" ht="85.5" customHeight="1">
      <c r="A127" s="25" t="s">
        <v>878</v>
      </c>
      <c r="B127" s="25" t="s">
        <v>544</v>
      </c>
      <c r="C127" s="27" t="s">
        <v>551</v>
      </c>
      <c r="D127" s="27" t="s">
        <v>1006</v>
      </c>
      <c r="E127" s="31" t="s">
        <v>754</v>
      </c>
      <c r="F127" s="27" t="s">
        <v>756</v>
      </c>
      <c r="G127" s="27" t="s">
        <v>997</v>
      </c>
      <c r="H127" s="27" t="s">
        <v>998</v>
      </c>
    </row>
    <row r="128" ht="85.5" customHeight="1">
      <c r="A128" s="32" t="s">
        <v>878</v>
      </c>
      <c r="B128" s="32" t="s">
        <v>544</v>
      </c>
      <c r="C128" s="33" t="s">
        <v>551</v>
      </c>
      <c r="D128" s="33" t="s">
        <v>1007</v>
      </c>
      <c r="E128" s="34" t="s">
        <v>754</v>
      </c>
      <c r="F128" s="33" t="s">
        <v>756</v>
      </c>
      <c r="G128" s="33" t="s">
        <v>997</v>
      </c>
      <c r="H128" s="33" t="s">
        <v>998</v>
      </c>
    </row>
    <row r="129" ht="85.5" customHeight="1">
      <c r="A129" s="25" t="s">
        <v>878</v>
      </c>
      <c r="B129" s="25" t="s">
        <v>544</v>
      </c>
      <c r="C129" s="27" t="s">
        <v>551</v>
      </c>
      <c r="D129" s="27" t="s">
        <v>1008</v>
      </c>
      <c r="E129" s="31" t="s">
        <v>754</v>
      </c>
      <c r="F129" s="27" t="s">
        <v>756</v>
      </c>
      <c r="G129" s="27" t="s">
        <v>1009</v>
      </c>
      <c r="H129" s="27" t="s">
        <v>998</v>
      </c>
    </row>
    <row r="130" ht="85.5" customHeight="1">
      <c r="A130" s="32" t="s">
        <v>878</v>
      </c>
      <c r="B130" s="32" t="s">
        <v>544</v>
      </c>
      <c r="C130" s="33" t="s">
        <v>551</v>
      </c>
      <c r="D130" s="33" t="s">
        <v>1010</v>
      </c>
      <c r="E130" s="34" t="s">
        <v>754</v>
      </c>
      <c r="F130" s="33" t="s">
        <v>756</v>
      </c>
      <c r="G130" s="33" t="s">
        <v>1011</v>
      </c>
      <c r="H130" s="33" t="s">
        <v>891</v>
      </c>
    </row>
    <row r="131" ht="85.5" customHeight="1">
      <c r="A131" s="25" t="s">
        <v>878</v>
      </c>
      <c r="B131" s="25" t="s">
        <v>559</v>
      </c>
      <c r="C131" s="27" t="s">
        <v>566</v>
      </c>
      <c r="D131" s="27" t="s">
        <v>1012</v>
      </c>
      <c r="E131" s="31" t="s">
        <v>754</v>
      </c>
      <c r="F131" s="27" t="s">
        <v>756</v>
      </c>
      <c r="G131" s="27" t="s">
        <v>1013</v>
      </c>
      <c r="H131" s="27" t="s">
        <v>1014</v>
      </c>
    </row>
    <row r="132" ht="85.5" customHeight="1">
      <c r="A132" s="32" t="s">
        <v>878</v>
      </c>
      <c r="B132" s="32" t="s">
        <v>559</v>
      </c>
      <c r="C132" s="33" t="s">
        <v>566</v>
      </c>
      <c r="D132" s="33" t="s">
        <v>1015</v>
      </c>
      <c r="E132" s="34" t="s">
        <v>754</v>
      </c>
      <c r="F132" s="33" t="s">
        <v>756</v>
      </c>
      <c r="G132" s="33" t="s">
        <v>1013</v>
      </c>
      <c r="H132" s="33" t="s">
        <v>1014</v>
      </c>
    </row>
    <row r="133" ht="85.5" customHeight="1">
      <c r="A133" s="25" t="s">
        <v>878</v>
      </c>
      <c r="B133" s="25" t="s">
        <v>559</v>
      </c>
      <c r="C133" s="27" t="s">
        <v>566</v>
      </c>
      <c r="D133" s="27" t="s">
        <v>1016</v>
      </c>
      <c r="E133" s="31" t="s">
        <v>754</v>
      </c>
      <c r="F133" s="27" t="s">
        <v>756</v>
      </c>
      <c r="G133" s="27" t="s">
        <v>1013</v>
      </c>
      <c r="H133" s="27" t="s">
        <v>1014</v>
      </c>
    </row>
    <row r="134" ht="85.5" customHeight="1">
      <c r="A134" s="32" t="s">
        <v>878</v>
      </c>
      <c r="B134" s="32" t="s">
        <v>559</v>
      </c>
      <c r="C134" s="33" t="s">
        <v>566</v>
      </c>
      <c r="D134" s="33" t="s">
        <v>1017</v>
      </c>
      <c r="E134" s="41" t="s">
        <v>754</v>
      </c>
      <c r="F134" s="33" t="s">
        <v>1018</v>
      </c>
      <c r="G134" s="33" t="s">
        <v>1019</v>
      </c>
      <c r="H134" s="33" t="s">
        <v>1014</v>
      </c>
    </row>
    <row r="135" ht="85.5" customHeight="1">
      <c r="A135" s="25" t="s">
        <v>878</v>
      </c>
      <c r="B135" s="25" t="s">
        <v>559</v>
      </c>
      <c r="C135" s="27" t="s">
        <v>566</v>
      </c>
      <c r="D135" s="27" t="s">
        <v>942</v>
      </c>
      <c r="E135" s="36" t="s">
        <v>754</v>
      </c>
      <c r="F135" s="27" t="s">
        <v>1018</v>
      </c>
      <c r="G135" s="27" t="s">
        <v>1019</v>
      </c>
      <c r="H135" s="27" t="s">
        <v>1014</v>
      </c>
    </row>
    <row r="136" ht="85.5" customHeight="1">
      <c r="A136" s="32" t="s">
        <v>878</v>
      </c>
      <c r="B136" s="32" t="s">
        <v>559</v>
      </c>
      <c r="C136" s="33" t="s">
        <v>566</v>
      </c>
      <c r="D136" s="33" t="s">
        <v>1020</v>
      </c>
      <c r="E136" s="34" t="s">
        <v>754</v>
      </c>
      <c r="F136" s="33" t="s">
        <v>756</v>
      </c>
      <c r="G136" s="33" t="s">
        <v>1013</v>
      </c>
      <c r="H136" s="33" t="s">
        <v>1014</v>
      </c>
    </row>
    <row r="137" ht="85.5" customHeight="1">
      <c r="A137" s="25" t="s">
        <v>878</v>
      </c>
      <c r="B137" s="25" t="s">
        <v>559</v>
      </c>
      <c r="C137" s="27" t="s">
        <v>566</v>
      </c>
      <c r="D137" s="27" t="s">
        <v>1021</v>
      </c>
      <c r="E137" s="31" t="s">
        <v>754</v>
      </c>
      <c r="F137" s="27" t="s">
        <v>756</v>
      </c>
      <c r="G137" s="27" t="s">
        <v>1013</v>
      </c>
      <c r="H137" s="27" t="s">
        <v>1022</v>
      </c>
    </row>
    <row r="138" ht="85.5" customHeight="1">
      <c r="A138" s="32" t="s">
        <v>878</v>
      </c>
      <c r="B138" s="32" t="s">
        <v>559</v>
      </c>
      <c r="C138" s="33" t="s">
        <v>566</v>
      </c>
      <c r="D138" s="33" t="s">
        <v>1023</v>
      </c>
      <c r="E138" s="34" t="s">
        <v>754</v>
      </c>
      <c r="F138" s="33" t="s">
        <v>756</v>
      </c>
      <c r="G138" s="33" t="s">
        <v>1013</v>
      </c>
      <c r="H138" s="33" t="s">
        <v>1014</v>
      </c>
    </row>
    <row r="139" ht="85.5" customHeight="1">
      <c r="A139" s="25" t="s">
        <v>878</v>
      </c>
      <c r="B139" s="25" t="s">
        <v>559</v>
      </c>
      <c r="C139" s="27" t="s">
        <v>566</v>
      </c>
      <c r="D139" s="27" t="s">
        <v>1024</v>
      </c>
      <c r="E139" s="31" t="s">
        <v>754</v>
      </c>
      <c r="F139" s="27" t="s">
        <v>756</v>
      </c>
      <c r="G139" s="27" t="s">
        <v>1013</v>
      </c>
      <c r="H139" s="27" t="s">
        <v>1014</v>
      </c>
    </row>
    <row r="140" ht="85.5" customHeight="1">
      <c r="A140" s="32" t="s">
        <v>878</v>
      </c>
      <c r="B140" s="32" t="s">
        <v>559</v>
      </c>
      <c r="C140" s="33" t="s">
        <v>566</v>
      </c>
      <c r="D140" s="33" t="s">
        <v>1025</v>
      </c>
      <c r="E140" s="34" t="s">
        <v>754</v>
      </c>
      <c r="F140" s="33" t="s">
        <v>756</v>
      </c>
      <c r="G140" s="33" t="s">
        <v>1013</v>
      </c>
      <c r="H140" s="33" t="s">
        <v>1014</v>
      </c>
    </row>
    <row r="141" ht="85.5" customHeight="1">
      <c r="A141" s="25" t="s">
        <v>878</v>
      </c>
      <c r="B141" s="25" t="s">
        <v>579</v>
      </c>
      <c r="C141" s="27" t="s">
        <v>586</v>
      </c>
      <c r="D141" s="27" t="s">
        <v>1026</v>
      </c>
      <c r="E141" s="31" t="s">
        <v>754</v>
      </c>
      <c r="F141" s="27" t="s">
        <v>756</v>
      </c>
      <c r="G141" s="27" t="s">
        <v>1027</v>
      </c>
      <c r="H141" s="27" t="s">
        <v>1028</v>
      </c>
    </row>
    <row r="142" ht="85.5" customHeight="1">
      <c r="A142" s="32" t="s">
        <v>878</v>
      </c>
      <c r="B142" s="32" t="s">
        <v>579</v>
      </c>
      <c r="C142" s="33" t="s">
        <v>586</v>
      </c>
      <c r="D142" s="33" t="s">
        <v>1029</v>
      </c>
      <c r="E142" s="41" t="s">
        <v>754</v>
      </c>
      <c r="F142" s="33" t="s">
        <v>1018</v>
      </c>
      <c r="G142" s="33" t="s">
        <v>1019</v>
      </c>
      <c r="H142" s="33" t="s">
        <v>1028</v>
      </c>
    </row>
    <row r="143" ht="85.5" customHeight="1">
      <c r="A143" s="25" t="s">
        <v>878</v>
      </c>
      <c r="B143" s="25" t="s">
        <v>579</v>
      </c>
      <c r="C143" s="27" t="s">
        <v>586</v>
      </c>
      <c r="D143" s="27" t="s">
        <v>1030</v>
      </c>
      <c r="E143" s="31" t="s">
        <v>754</v>
      </c>
      <c r="F143" s="27" t="s">
        <v>756</v>
      </c>
      <c r="G143" s="27" t="s">
        <v>1027</v>
      </c>
      <c r="H143" s="27" t="s">
        <v>1028</v>
      </c>
    </row>
    <row r="144" ht="85.5" customHeight="1">
      <c r="A144" s="32" t="s">
        <v>878</v>
      </c>
      <c r="B144" s="32" t="s">
        <v>579</v>
      </c>
      <c r="C144" s="33" t="s">
        <v>586</v>
      </c>
      <c r="D144" s="33" t="s">
        <v>1031</v>
      </c>
      <c r="E144" s="34" t="s">
        <v>754</v>
      </c>
      <c r="F144" s="33" t="s">
        <v>756</v>
      </c>
      <c r="G144" s="33" t="s">
        <v>1027</v>
      </c>
      <c r="H144" s="33" t="s">
        <v>1028</v>
      </c>
    </row>
    <row r="145" ht="85.5" customHeight="1">
      <c r="A145" s="25" t="s">
        <v>878</v>
      </c>
      <c r="B145" s="25" t="s">
        <v>579</v>
      </c>
      <c r="C145" s="27" t="s">
        <v>586</v>
      </c>
      <c r="D145" s="27" t="s">
        <v>1032</v>
      </c>
      <c r="E145" s="31" t="s">
        <v>754</v>
      </c>
      <c r="F145" s="27" t="s">
        <v>756</v>
      </c>
      <c r="G145" s="27" t="s">
        <v>1033</v>
      </c>
      <c r="H145" s="27" t="s">
        <v>1028</v>
      </c>
    </row>
    <row r="146" ht="85.5" customHeight="1">
      <c r="A146" s="32" t="s">
        <v>878</v>
      </c>
      <c r="B146" s="32" t="s">
        <v>579</v>
      </c>
      <c r="C146" s="33" t="s">
        <v>586</v>
      </c>
      <c r="D146" s="33" t="s">
        <v>1034</v>
      </c>
      <c r="E146" s="34" t="s">
        <v>754</v>
      </c>
      <c r="F146" s="33" t="s">
        <v>756</v>
      </c>
      <c r="G146" s="33" t="s">
        <v>1027</v>
      </c>
      <c r="H146" s="33" t="s">
        <v>1028</v>
      </c>
    </row>
    <row r="147" ht="85.5" customHeight="1">
      <c r="A147" s="25" t="s">
        <v>878</v>
      </c>
      <c r="B147" s="25" t="s">
        <v>579</v>
      </c>
      <c r="C147" s="27" t="s">
        <v>586</v>
      </c>
      <c r="D147" s="27" t="s">
        <v>1035</v>
      </c>
      <c r="E147" s="31" t="s">
        <v>754</v>
      </c>
      <c r="F147" s="27" t="s">
        <v>756</v>
      </c>
      <c r="G147" s="27" t="s">
        <v>1027</v>
      </c>
      <c r="H147" s="27" t="s">
        <v>1028</v>
      </c>
    </row>
    <row r="148" ht="85.5" customHeight="1">
      <c r="A148" s="32" t="s">
        <v>878</v>
      </c>
      <c r="B148" s="32" t="s">
        <v>579</v>
      </c>
      <c r="C148" s="33" t="s">
        <v>586</v>
      </c>
      <c r="D148" s="33" t="s">
        <v>1036</v>
      </c>
      <c r="E148" s="34" t="s">
        <v>754</v>
      </c>
      <c r="F148" s="33" t="s">
        <v>756</v>
      </c>
      <c r="G148" s="33" t="s">
        <v>1027</v>
      </c>
      <c r="H148" s="33" t="s">
        <v>1028</v>
      </c>
    </row>
    <row r="149" ht="85.5" customHeight="1">
      <c r="A149" s="25" t="s">
        <v>878</v>
      </c>
      <c r="B149" s="25" t="s">
        <v>579</v>
      </c>
      <c r="C149" s="27" t="s">
        <v>586</v>
      </c>
      <c r="D149" s="27" t="s">
        <v>1037</v>
      </c>
      <c r="E149" s="31" t="s">
        <v>754</v>
      </c>
      <c r="F149" s="27" t="s">
        <v>756</v>
      </c>
      <c r="G149" s="27" t="s">
        <v>1027</v>
      </c>
      <c r="H149" s="27" t="s">
        <v>1028</v>
      </c>
    </row>
    <row r="150" ht="85.5" customHeight="1">
      <c r="A150" s="32" t="s">
        <v>878</v>
      </c>
      <c r="B150" s="32" t="s">
        <v>579</v>
      </c>
      <c r="C150" s="33" t="s">
        <v>586</v>
      </c>
      <c r="D150" s="33" t="s">
        <v>1038</v>
      </c>
      <c r="E150" s="34" t="s">
        <v>754</v>
      </c>
      <c r="F150" s="33" t="s">
        <v>756</v>
      </c>
      <c r="G150" s="33" t="s">
        <v>1027</v>
      </c>
      <c r="H150" s="33" t="s">
        <v>1028</v>
      </c>
    </row>
    <row r="151" ht="85.5" customHeight="1">
      <c r="A151" s="25" t="s">
        <v>878</v>
      </c>
      <c r="B151" s="25" t="s">
        <v>579</v>
      </c>
      <c r="C151" s="27" t="s">
        <v>586</v>
      </c>
      <c r="D151" s="27" t="s">
        <v>1039</v>
      </c>
      <c r="E151" s="31" t="s">
        <v>754</v>
      </c>
      <c r="F151" s="27" t="s">
        <v>756</v>
      </c>
      <c r="G151" s="27" t="s">
        <v>1027</v>
      </c>
      <c r="H151" s="27" t="s">
        <v>1028</v>
      </c>
    </row>
    <row r="152" ht="85.5" customHeight="1">
      <c r="A152" s="32" t="s">
        <v>878</v>
      </c>
      <c r="B152" s="32" t="s">
        <v>597</v>
      </c>
      <c r="C152" s="33" t="s">
        <v>602</v>
      </c>
      <c r="D152" s="33" t="s">
        <v>1040</v>
      </c>
      <c r="E152" s="34" t="s">
        <v>754</v>
      </c>
      <c r="F152" s="33" t="s">
        <v>756</v>
      </c>
      <c r="G152" s="33" t="s">
        <v>1041</v>
      </c>
      <c r="H152" s="33" t="s">
        <v>1042</v>
      </c>
    </row>
    <row r="153" ht="85.5" customHeight="1">
      <c r="A153" s="25" t="s">
        <v>878</v>
      </c>
      <c r="B153" s="25" t="s">
        <v>597</v>
      </c>
      <c r="C153" s="27" t="s">
        <v>602</v>
      </c>
      <c r="D153" s="27" t="s">
        <v>1043</v>
      </c>
      <c r="E153" s="31" t="s">
        <v>754</v>
      </c>
      <c r="F153" s="27" t="s">
        <v>756</v>
      </c>
      <c r="G153" s="27" t="s">
        <v>1044</v>
      </c>
      <c r="H153" s="27" t="s">
        <v>1042</v>
      </c>
    </row>
    <row r="154" ht="85.5" customHeight="1">
      <c r="A154" s="32" t="s">
        <v>878</v>
      </c>
      <c r="B154" s="32" t="s">
        <v>597</v>
      </c>
      <c r="C154" s="33" t="s">
        <v>602</v>
      </c>
      <c r="D154" s="33" t="s">
        <v>1045</v>
      </c>
      <c r="E154" s="41" t="s">
        <v>754</v>
      </c>
      <c r="F154" s="33" t="s">
        <v>1018</v>
      </c>
      <c r="G154" s="33" t="s">
        <v>1019</v>
      </c>
      <c r="H154" s="33" t="s">
        <v>1042</v>
      </c>
    </row>
    <row r="155" ht="85.5" customHeight="1">
      <c r="A155" s="25" t="s">
        <v>878</v>
      </c>
      <c r="B155" s="25" t="s">
        <v>597</v>
      </c>
      <c r="C155" s="27" t="s">
        <v>602</v>
      </c>
      <c r="D155" s="27" t="s">
        <v>1046</v>
      </c>
      <c r="E155" s="36" t="s">
        <v>754</v>
      </c>
      <c r="F155" s="27" t="s">
        <v>1018</v>
      </c>
      <c r="G155" s="27" t="s">
        <v>1019</v>
      </c>
      <c r="H155" s="27" t="s">
        <v>1042</v>
      </c>
    </row>
    <row r="156" ht="85.5" customHeight="1">
      <c r="A156" s="32" t="s">
        <v>878</v>
      </c>
      <c r="B156" s="32" t="s">
        <v>597</v>
      </c>
      <c r="C156" s="33" t="s">
        <v>602</v>
      </c>
      <c r="D156" s="33" t="s">
        <v>1047</v>
      </c>
      <c r="E156" s="34" t="s">
        <v>754</v>
      </c>
      <c r="F156" s="33" t="s">
        <v>756</v>
      </c>
      <c r="G156" s="33" t="s">
        <v>1041</v>
      </c>
      <c r="H156" s="33" t="s">
        <v>1042</v>
      </c>
    </row>
    <row r="157" ht="85.5" customHeight="1">
      <c r="A157" s="25" t="s">
        <v>878</v>
      </c>
      <c r="B157" s="25" t="s">
        <v>597</v>
      </c>
      <c r="C157" s="27" t="s">
        <v>602</v>
      </c>
      <c r="D157" s="27" t="s">
        <v>1048</v>
      </c>
      <c r="E157" s="31" t="s">
        <v>754</v>
      </c>
      <c r="F157" s="27" t="s">
        <v>756</v>
      </c>
      <c r="G157" s="27" t="s">
        <v>1041</v>
      </c>
      <c r="H157" s="27" t="s">
        <v>1042</v>
      </c>
    </row>
    <row r="158" ht="85.5" customHeight="1">
      <c r="A158" s="32" t="s">
        <v>878</v>
      </c>
      <c r="B158" s="32" t="s">
        <v>597</v>
      </c>
      <c r="C158" s="33" t="s">
        <v>602</v>
      </c>
      <c r="D158" s="33" t="s">
        <v>1049</v>
      </c>
      <c r="E158" s="34" t="s">
        <v>754</v>
      </c>
      <c r="F158" s="33" t="s">
        <v>756</v>
      </c>
      <c r="G158" s="33" t="s">
        <v>1050</v>
      </c>
      <c r="H158" s="33" t="s">
        <v>1042</v>
      </c>
    </row>
    <row r="159" ht="85.5" customHeight="1">
      <c r="A159" s="25" t="s">
        <v>878</v>
      </c>
      <c r="B159" s="25" t="s">
        <v>597</v>
      </c>
      <c r="C159" s="27" t="s">
        <v>602</v>
      </c>
      <c r="D159" s="27" t="s">
        <v>1051</v>
      </c>
      <c r="E159" s="31" t="s">
        <v>754</v>
      </c>
      <c r="F159" s="27" t="s">
        <v>756</v>
      </c>
      <c r="G159" s="27" t="s">
        <v>1041</v>
      </c>
      <c r="H159" s="27" t="s">
        <v>1042</v>
      </c>
    </row>
    <row r="160" ht="85.5" customHeight="1">
      <c r="A160" s="32" t="s">
        <v>878</v>
      </c>
      <c r="B160" s="32" t="s">
        <v>611</v>
      </c>
      <c r="C160" s="33" t="s">
        <v>620</v>
      </c>
      <c r="D160" s="33" t="s">
        <v>1052</v>
      </c>
      <c r="E160" s="34" t="s">
        <v>754</v>
      </c>
      <c r="F160" s="33" t="s">
        <v>756</v>
      </c>
      <c r="G160" s="33" t="s">
        <v>1053</v>
      </c>
      <c r="H160" s="33" t="s">
        <v>1054</v>
      </c>
    </row>
    <row r="161" ht="85.5" customHeight="1">
      <c r="A161" s="25" t="s">
        <v>878</v>
      </c>
      <c r="B161" s="25" t="s">
        <v>611</v>
      </c>
      <c r="C161" s="27" t="s">
        <v>620</v>
      </c>
      <c r="D161" s="27" t="s">
        <v>1055</v>
      </c>
      <c r="E161" s="31" t="s">
        <v>754</v>
      </c>
      <c r="F161" s="27" t="s">
        <v>756</v>
      </c>
      <c r="G161" s="27" t="s">
        <v>1053</v>
      </c>
      <c r="H161" s="27" t="s">
        <v>1054</v>
      </c>
    </row>
    <row r="162" ht="85.5" customHeight="1">
      <c r="A162" s="32" t="s">
        <v>878</v>
      </c>
      <c r="B162" s="32" t="s">
        <v>611</v>
      </c>
      <c r="C162" s="33" t="s">
        <v>620</v>
      </c>
      <c r="D162" s="33" t="s">
        <v>1056</v>
      </c>
      <c r="E162" s="34" t="s">
        <v>754</v>
      </c>
      <c r="F162" s="33" t="s">
        <v>756</v>
      </c>
      <c r="G162" s="33" t="s">
        <v>1050</v>
      </c>
      <c r="H162" s="33" t="s">
        <v>1054</v>
      </c>
    </row>
    <row r="163" ht="85.5" customHeight="1">
      <c r="A163" s="25" t="s">
        <v>878</v>
      </c>
      <c r="B163" s="25" t="s">
        <v>611</v>
      </c>
      <c r="C163" s="27" t="s">
        <v>620</v>
      </c>
      <c r="D163" s="27" t="s">
        <v>1016</v>
      </c>
      <c r="E163" s="36" t="s">
        <v>754</v>
      </c>
      <c r="F163" s="27" t="s">
        <v>1057</v>
      </c>
      <c r="G163" s="27" t="s">
        <v>1058</v>
      </c>
      <c r="H163" s="27" t="s">
        <v>1054</v>
      </c>
    </row>
    <row r="164" ht="85.5" customHeight="1">
      <c r="A164" s="32" t="s">
        <v>878</v>
      </c>
      <c r="B164" s="32" t="s">
        <v>611</v>
      </c>
      <c r="C164" s="33" t="s">
        <v>620</v>
      </c>
      <c r="D164" s="33" t="s">
        <v>1059</v>
      </c>
      <c r="E164" s="41" t="s">
        <v>754</v>
      </c>
      <c r="F164" s="33" t="s">
        <v>1057</v>
      </c>
      <c r="G164" s="33" t="s">
        <v>1058</v>
      </c>
      <c r="H164" s="33" t="s">
        <v>1054</v>
      </c>
    </row>
    <row r="165" ht="85.5" customHeight="1">
      <c r="A165" s="25" t="s">
        <v>878</v>
      </c>
      <c r="B165" s="25" t="s">
        <v>611</v>
      </c>
      <c r="C165" s="27" t="s">
        <v>620</v>
      </c>
      <c r="D165" s="27" t="s">
        <v>1060</v>
      </c>
      <c r="E165" s="31" t="s">
        <v>754</v>
      </c>
      <c r="F165" s="27" t="s">
        <v>756</v>
      </c>
      <c r="G165" s="27" t="s">
        <v>1053</v>
      </c>
      <c r="H165" s="27" t="s">
        <v>1054</v>
      </c>
    </row>
    <row r="166" ht="85.5" customHeight="1">
      <c r="A166" s="32" t="s">
        <v>878</v>
      </c>
      <c r="B166" s="32" t="s">
        <v>611</v>
      </c>
      <c r="C166" s="33" t="s">
        <v>620</v>
      </c>
      <c r="D166" s="33" t="s">
        <v>1061</v>
      </c>
      <c r="E166" s="34" t="s">
        <v>754</v>
      </c>
      <c r="F166" s="33" t="s">
        <v>756</v>
      </c>
      <c r="G166" s="33" t="s">
        <v>1053</v>
      </c>
      <c r="H166" s="33" t="s">
        <v>1054</v>
      </c>
    </row>
    <row r="167" ht="85.5" customHeight="1">
      <c r="A167" s="25" t="s">
        <v>878</v>
      </c>
      <c r="B167" s="25" t="s">
        <v>611</v>
      </c>
      <c r="C167" s="27" t="s">
        <v>620</v>
      </c>
      <c r="D167" s="27" t="s">
        <v>1062</v>
      </c>
      <c r="E167" s="31" t="s">
        <v>754</v>
      </c>
      <c r="F167" s="27" t="s">
        <v>756</v>
      </c>
      <c r="G167" s="27" t="s">
        <v>1053</v>
      </c>
      <c r="H167" s="27" t="s">
        <v>1054</v>
      </c>
    </row>
    <row r="168" ht="85.5" customHeight="1">
      <c r="A168" s="32" t="s">
        <v>878</v>
      </c>
      <c r="B168" s="32" t="s">
        <v>611</v>
      </c>
      <c r="C168" s="33" t="s">
        <v>620</v>
      </c>
      <c r="D168" s="33" t="s">
        <v>1063</v>
      </c>
      <c r="E168" s="34" t="s">
        <v>754</v>
      </c>
      <c r="F168" s="33" t="s">
        <v>756</v>
      </c>
      <c r="G168" s="33" t="s">
        <v>1053</v>
      </c>
      <c r="H168" s="33" t="s">
        <v>1054</v>
      </c>
    </row>
    <row r="169" ht="85.5" customHeight="1">
      <c r="A169" s="25" t="s">
        <v>878</v>
      </c>
      <c r="B169" s="25" t="s">
        <v>623</v>
      </c>
      <c r="C169" s="27" t="s">
        <v>625</v>
      </c>
      <c r="D169" s="27" t="s">
        <v>1064</v>
      </c>
      <c r="E169" s="31" t="s">
        <v>754</v>
      </c>
      <c r="F169" s="27" t="s">
        <v>756</v>
      </c>
      <c r="G169" s="27" t="s">
        <v>1065</v>
      </c>
      <c r="H169" s="27" t="s">
        <v>1028</v>
      </c>
    </row>
    <row r="170" ht="85.5" customHeight="1">
      <c r="A170" s="32" t="s">
        <v>878</v>
      </c>
      <c r="B170" s="32" t="s">
        <v>623</v>
      </c>
      <c r="C170" s="33" t="s">
        <v>625</v>
      </c>
      <c r="D170" s="33" t="s">
        <v>1029</v>
      </c>
      <c r="E170" s="41" t="s">
        <v>754</v>
      </c>
      <c r="F170" s="33" t="s">
        <v>1057</v>
      </c>
      <c r="G170" s="33" t="s">
        <v>1058</v>
      </c>
      <c r="H170" s="33" t="s">
        <v>1028</v>
      </c>
    </row>
    <row r="171" ht="85.5" customHeight="1">
      <c r="A171" s="25" t="s">
        <v>878</v>
      </c>
      <c r="B171" s="25" t="s">
        <v>623</v>
      </c>
      <c r="C171" s="27" t="s">
        <v>625</v>
      </c>
      <c r="D171" s="27" t="s">
        <v>1066</v>
      </c>
      <c r="E171" s="31" t="s">
        <v>754</v>
      </c>
      <c r="F171" s="27" t="s">
        <v>756</v>
      </c>
      <c r="G171" s="27" t="s">
        <v>1067</v>
      </c>
      <c r="H171" s="27" t="s">
        <v>1028</v>
      </c>
    </row>
    <row r="172" ht="85.5" customHeight="1">
      <c r="A172" s="32" t="s">
        <v>878</v>
      </c>
      <c r="B172" s="32" t="s">
        <v>623</v>
      </c>
      <c r="C172" s="33" t="s">
        <v>625</v>
      </c>
      <c r="D172" s="33" t="s">
        <v>1068</v>
      </c>
      <c r="E172" s="34" t="s">
        <v>754</v>
      </c>
      <c r="F172" s="33" t="s">
        <v>756</v>
      </c>
      <c r="G172" s="33" t="s">
        <v>1065</v>
      </c>
      <c r="H172" s="33" t="s">
        <v>1028</v>
      </c>
    </row>
    <row r="173" ht="85.5" customHeight="1">
      <c r="A173" s="25" t="s">
        <v>878</v>
      </c>
      <c r="B173" s="25" t="s">
        <v>623</v>
      </c>
      <c r="C173" s="27" t="s">
        <v>625</v>
      </c>
      <c r="D173" s="27" t="s">
        <v>942</v>
      </c>
      <c r="E173" s="36" t="s">
        <v>754</v>
      </c>
      <c r="F173" s="27" t="s">
        <v>1057</v>
      </c>
      <c r="G173" s="27" t="s">
        <v>1058</v>
      </c>
      <c r="H173" s="27" t="s">
        <v>1028</v>
      </c>
    </row>
    <row r="174" ht="85.5" customHeight="1">
      <c r="A174" s="32" t="s">
        <v>878</v>
      </c>
      <c r="B174" s="32" t="s">
        <v>623</v>
      </c>
      <c r="C174" s="33" t="s">
        <v>625</v>
      </c>
      <c r="D174" s="33" t="s">
        <v>1069</v>
      </c>
      <c r="E174" s="34" t="s">
        <v>754</v>
      </c>
      <c r="F174" s="33" t="s">
        <v>756</v>
      </c>
      <c r="G174" s="33" t="s">
        <v>1065</v>
      </c>
      <c r="H174" s="33" t="s">
        <v>1028</v>
      </c>
    </row>
    <row r="175" ht="85.5" customHeight="1">
      <c r="A175" s="25" t="s">
        <v>878</v>
      </c>
      <c r="B175" s="25" t="s">
        <v>623</v>
      </c>
      <c r="C175" s="27" t="s">
        <v>625</v>
      </c>
      <c r="D175" s="27" t="s">
        <v>1070</v>
      </c>
      <c r="E175" s="31" t="s">
        <v>754</v>
      </c>
      <c r="F175" s="27" t="s">
        <v>756</v>
      </c>
      <c r="G175" s="27" t="s">
        <v>1065</v>
      </c>
      <c r="H175" s="27" t="s">
        <v>1028</v>
      </c>
    </row>
    <row r="176" ht="85.5" customHeight="1">
      <c r="A176" s="32" t="s">
        <v>878</v>
      </c>
      <c r="B176" s="32" t="s">
        <v>623</v>
      </c>
      <c r="C176" s="33" t="s">
        <v>625</v>
      </c>
      <c r="D176" s="33" t="s">
        <v>1071</v>
      </c>
      <c r="E176" s="34" t="s">
        <v>754</v>
      </c>
      <c r="F176" s="33" t="s">
        <v>756</v>
      </c>
      <c r="G176" s="33" t="s">
        <v>1065</v>
      </c>
      <c r="H176" s="33" t="s">
        <v>1028</v>
      </c>
    </row>
    <row r="177" ht="85.5" customHeight="1">
      <c r="A177" s="25" t="s">
        <v>878</v>
      </c>
      <c r="B177" s="25" t="s">
        <v>623</v>
      </c>
      <c r="C177" s="27" t="s">
        <v>625</v>
      </c>
      <c r="D177" s="27" t="s">
        <v>1072</v>
      </c>
      <c r="E177" s="31" t="s">
        <v>754</v>
      </c>
      <c r="F177" s="27" t="s">
        <v>756</v>
      </c>
      <c r="G177" s="27" t="s">
        <v>1065</v>
      </c>
      <c r="H177" s="27" t="s">
        <v>1028</v>
      </c>
    </row>
    <row r="178" ht="85.5" customHeight="1">
      <c r="A178" s="32" t="s">
        <v>878</v>
      </c>
      <c r="B178" s="32" t="s">
        <v>623</v>
      </c>
      <c r="C178" s="33" t="s">
        <v>625</v>
      </c>
      <c r="D178" s="33" t="s">
        <v>1073</v>
      </c>
      <c r="E178" s="34" t="s">
        <v>754</v>
      </c>
      <c r="F178" s="33" t="s">
        <v>756</v>
      </c>
      <c r="G178" s="33" t="s">
        <v>1065</v>
      </c>
      <c r="H178" s="33" t="s">
        <v>1028</v>
      </c>
    </row>
    <row r="179" ht="85.5" customHeight="1">
      <c r="A179" s="25" t="s">
        <v>878</v>
      </c>
      <c r="B179" s="25" t="s">
        <v>623</v>
      </c>
      <c r="C179" s="27" t="s">
        <v>625</v>
      </c>
      <c r="D179" s="27" t="s">
        <v>1074</v>
      </c>
      <c r="E179" s="31" t="s">
        <v>754</v>
      </c>
      <c r="F179" s="27" t="s">
        <v>756</v>
      </c>
      <c r="G179" s="27" t="s">
        <v>1065</v>
      </c>
      <c r="H179" s="27" t="s">
        <v>1028</v>
      </c>
    </row>
    <row r="180" ht="85.5" customHeight="1">
      <c r="A180" s="32" t="s">
        <v>878</v>
      </c>
      <c r="B180" s="32" t="s">
        <v>623</v>
      </c>
      <c r="C180" s="33" t="s">
        <v>625</v>
      </c>
      <c r="D180" s="33" t="s">
        <v>1075</v>
      </c>
      <c r="E180" s="34" t="s">
        <v>754</v>
      </c>
      <c r="F180" s="33" t="s">
        <v>756</v>
      </c>
      <c r="G180" s="33" t="s">
        <v>1065</v>
      </c>
      <c r="H180" s="33" t="s">
        <v>1028</v>
      </c>
    </row>
    <row r="181" ht="85.5" customHeight="1">
      <c r="A181" s="25" t="s">
        <v>878</v>
      </c>
      <c r="B181" s="25" t="s">
        <v>628</v>
      </c>
      <c r="C181" s="27" t="s">
        <v>630</v>
      </c>
      <c r="D181" s="27" t="s">
        <v>1076</v>
      </c>
      <c r="E181" s="31" t="s">
        <v>754</v>
      </c>
      <c r="F181" s="27" t="s">
        <v>756</v>
      </c>
      <c r="G181" s="27" t="s">
        <v>1077</v>
      </c>
      <c r="H181" s="27" t="s">
        <v>1078</v>
      </c>
    </row>
    <row r="182" ht="85.5" customHeight="1">
      <c r="A182" s="32" t="s">
        <v>878</v>
      </c>
      <c r="B182" s="32" t="s">
        <v>628</v>
      </c>
      <c r="C182" s="33" t="s">
        <v>630</v>
      </c>
      <c r="D182" s="33" t="s">
        <v>1079</v>
      </c>
      <c r="E182" s="34" t="s">
        <v>754</v>
      </c>
      <c r="F182" s="33" t="s">
        <v>756</v>
      </c>
      <c r="G182" s="33" t="s">
        <v>1077</v>
      </c>
      <c r="H182" s="33" t="s">
        <v>1078</v>
      </c>
    </row>
    <row r="183" ht="85.5" customHeight="1">
      <c r="A183" s="25" t="s">
        <v>878</v>
      </c>
      <c r="B183" s="25" t="s">
        <v>628</v>
      </c>
      <c r="C183" s="27" t="s">
        <v>630</v>
      </c>
      <c r="D183" s="27" t="s">
        <v>1080</v>
      </c>
      <c r="E183" s="31" t="s">
        <v>754</v>
      </c>
      <c r="F183" s="27" t="s">
        <v>756</v>
      </c>
      <c r="G183" s="27" t="s">
        <v>1081</v>
      </c>
      <c r="H183" s="27" t="s">
        <v>1042</v>
      </c>
    </row>
    <row r="184" ht="85.5" customHeight="1">
      <c r="A184" s="32" t="s">
        <v>878</v>
      </c>
      <c r="B184" s="32" t="s">
        <v>628</v>
      </c>
      <c r="C184" s="33" t="s">
        <v>630</v>
      </c>
      <c r="D184" s="33" t="s">
        <v>1082</v>
      </c>
      <c r="E184" s="34" t="s">
        <v>754</v>
      </c>
      <c r="F184" s="33" t="s">
        <v>756</v>
      </c>
      <c r="G184" s="33" t="s">
        <v>1081</v>
      </c>
      <c r="H184" s="33" t="s">
        <v>1042</v>
      </c>
    </row>
    <row r="185" ht="85.5" customHeight="1">
      <c r="A185" s="25" t="s">
        <v>878</v>
      </c>
      <c r="B185" s="25" t="s">
        <v>628</v>
      </c>
      <c r="C185" s="27" t="s">
        <v>630</v>
      </c>
      <c r="D185" s="27" t="s">
        <v>1045</v>
      </c>
      <c r="E185" s="36" t="s">
        <v>754</v>
      </c>
      <c r="F185" s="27" t="s">
        <v>1057</v>
      </c>
      <c r="G185" s="27" t="s">
        <v>1058</v>
      </c>
      <c r="H185" s="27" t="s">
        <v>1042</v>
      </c>
    </row>
    <row r="186" ht="85.5" customHeight="1">
      <c r="A186" s="32" t="s">
        <v>878</v>
      </c>
      <c r="B186" s="32" t="s">
        <v>628</v>
      </c>
      <c r="C186" s="33" t="s">
        <v>630</v>
      </c>
      <c r="D186" s="33" t="s">
        <v>1083</v>
      </c>
      <c r="E186" s="41" t="s">
        <v>754</v>
      </c>
      <c r="F186" s="33" t="s">
        <v>1057</v>
      </c>
      <c r="G186" s="33" t="s">
        <v>1058</v>
      </c>
      <c r="H186" s="33" t="s">
        <v>1042</v>
      </c>
    </row>
    <row r="187" ht="85.5" customHeight="1">
      <c r="A187" s="25" t="s">
        <v>878</v>
      </c>
      <c r="B187" s="25" t="s">
        <v>628</v>
      </c>
      <c r="C187" s="27" t="s">
        <v>630</v>
      </c>
      <c r="D187" s="27" t="s">
        <v>1084</v>
      </c>
      <c r="E187" s="31" t="s">
        <v>754</v>
      </c>
      <c r="F187" s="27" t="s">
        <v>756</v>
      </c>
      <c r="G187" s="27" t="s">
        <v>1081</v>
      </c>
      <c r="H187" s="27" t="s">
        <v>1042</v>
      </c>
    </row>
    <row r="188" ht="85.5" customHeight="1">
      <c r="A188" s="32" t="s">
        <v>878</v>
      </c>
      <c r="B188" s="32" t="s">
        <v>628</v>
      </c>
      <c r="C188" s="33" t="s">
        <v>630</v>
      </c>
      <c r="D188" s="33" t="s">
        <v>1085</v>
      </c>
      <c r="E188" s="41" t="s">
        <v>754</v>
      </c>
      <c r="F188" s="33" t="s">
        <v>1057</v>
      </c>
      <c r="G188" s="33" t="s">
        <v>1058</v>
      </c>
      <c r="H188" s="33" t="s">
        <v>1042</v>
      </c>
    </row>
    <row r="189" ht="85.5" customHeight="1">
      <c r="A189" s="25" t="s">
        <v>878</v>
      </c>
      <c r="B189" s="25" t="s">
        <v>628</v>
      </c>
      <c r="C189" s="27" t="s">
        <v>630</v>
      </c>
      <c r="D189" s="27" t="s">
        <v>1086</v>
      </c>
      <c r="E189" s="31" t="s">
        <v>754</v>
      </c>
      <c r="F189" s="27" t="s">
        <v>756</v>
      </c>
      <c r="G189" s="27" t="s">
        <v>1081</v>
      </c>
      <c r="H189" s="27" t="s">
        <v>1042</v>
      </c>
    </row>
    <row r="190" ht="85.5" customHeight="1">
      <c r="A190" s="32" t="s">
        <v>878</v>
      </c>
      <c r="B190" s="32" t="s">
        <v>628</v>
      </c>
      <c r="C190" s="33" t="s">
        <v>630</v>
      </c>
      <c r="D190" s="33" t="s">
        <v>1087</v>
      </c>
      <c r="E190" s="34" t="s">
        <v>754</v>
      </c>
      <c r="F190" s="33" t="s">
        <v>756</v>
      </c>
      <c r="G190" s="33" t="s">
        <v>1081</v>
      </c>
      <c r="H190" s="33" t="s">
        <v>1042</v>
      </c>
    </row>
    <row r="191" ht="85.5" customHeight="1">
      <c r="A191" s="25" t="s">
        <v>878</v>
      </c>
      <c r="B191" s="25" t="s">
        <v>726</v>
      </c>
      <c r="C191" s="27" t="s">
        <v>727</v>
      </c>
      <c r="D191" s="27" t="s">
        <v>1088</v>
      </c>
      <c r="E191" s="31" t="s">
        <v>754</v>
      </c>
      <c r="F191" s="27" t="s">
        <v>756</v>
      </c>
      <c r="G191" s="27" t="s">
        <v>907</v>
      </c>
      <c r="H191" s="27" t="s">
        <v>908</v>
      </c>
    </row>
    <row r="192" ht="85.5" customHeight="1">
      <c r="A192" s="32" t="s">
        <v>878</v>
      </c>
      <c r="B192" s="32" t="s">
        <v>726</v>
      </c>
      <c r="C192" s="33" t="s">
        <v>727</v>
      </c>
      <c r="D192" s="33" t="s">
        <v>1089</v>
      </c>
      <c r="E192" s="34" t="s">
        <v>754</v>
      </c>
      <c r="F192" s="33" t="s">
        <v>756</v>
      </c>
      <c r="G192" s="33" t="s">
        <v>907</v>
      </c>
      <c r="H192" s="33" t="s">
        <v>1090</v>
      </c>
    </row>
    <row r="193" ht="85.5" customHeight="1">
      <c r="A193" s="25" t="s">
        <v>878</v>
      </c>
      <c r="B193" s="25" t="s">
        <v>726</v>
      </c>
      <c r="C193" s="27" t="s">
        <v>727</v>
      </c>
      <c r="D193" s="27" t="s">
        <v>1091</v>
      </c>
      <c r="E193" s="31" t="s">
        <v>754</v>
      </c>
      <c r="F193" s="27" t="s">
        <v>756</v>
      </c>
      <c r="G193" s="27" t="s">
        <v>1092</v>
      </c>
      <c r="H193" s="27" t="s">
        <v>1093</v>
      </c>
    </row>
    <row r="194" ht="85.5" customHeight="1">
      <c r="A194" s="32" t="s">
        <v>878</v>
      </c>
      <c r="B194" s="32" t="s">
        <v>726</v>
      </c>
      <c r="C194" s="33" t="s">
        <v>727</v>
      </c>
      <c r="D194" s="33" t="s">
        <v>1094</v>
      </c>
      <c r="E194" s="34" t="s">
        <v>754</v>
      </c>
      <c r="F194" s="33" t="s">
        <v>756</v>
      </c>
      <c r="G194" s="33" t="s">
        <v>1093</v>
      </c>
      <c r="H194" s="33" t="s">
        <v>1095</v>
      </c>
    </row>
    <row r="195" ht="85.5" customHeight="1">
      <c r="A195" s="25" t="s">
        <v>878</v>
      </c>
      <c r="B195" s="25" t="s">
        <v>726</v>
      </c>
      <c r="C195" s="27" t="s">
        <v>727</v>
      </c>
      <c r="D195" s="27" t="s">
        <v>1096</v>
      </c>
      <c r="E195" s="31" t="s">
        <v>754</v>
      </c>
      <c r="F195" s="27" t="s">
        <v>756</v>
      </c>
      <c r="G195" s="27" t="s">
        <v>907</v>
      </c>
      <c r="H195" s="27" t="s">
        <v>908</v>
      </c>
    </row>
    <row r="196" ht="85.5" customHeight="1">
      <c r="A196" s="32" t="s">
        <v>878</v>
      </c>
      <c r="B196" s="32" t="s">
        <v>726</v>
      </c>
      <c r="C196" s="33" t="s">
        <v>727</v>
      </c>
      <c r="D196" s="33" t="s">
        <v>1097</v>
      </c>
      <c r="E196" s="34" t="s">
        <v>754</v>
      </c>
      <c r="F196" s="33" t="s">
        <v>756</v>
      </c>
      <c r="G196" s="33" t="s">
        <v>907</v>
      </c>
      <c r="H196" s="33" t="s">
        <v>908</v>
      </c>
    </row>
    <row r="197" ht="85.5" customHeight="1">
      <c r="A197" s="25" t="s">
        <v>878</v>
      </c>
      <c r="B197" s="25" t="s">
        <v>726</v>
      </c>
      <c r="C197" s="27" t="s">
        <v>727</v>
      </c>
      <c r="D197" s="27" t="s">
        <v>1098</v>
      </c>
      <c r="E197" s="31" t="s">
        <v>754</v>
      </c>
      <c r="F197" s="27" t="s">
        <v>756</v>
      </c>
      <c r="G197" s="27" t="s">
        <v>1099</v>
      </c>
      <c r="H197" s="27" t="s">
        <v>1100</v>
      </c>
    </row>
    <row r="198" ht="85.5" customHeight="1">
      <c r="A198" s="32" t="s">
        <v>878</v>
      </c>
      <c r="B198" s="32" t="s">
        <v>726</v>
      </c>
      <c r="C198" s="33" t="s">
        <v>727</v>
      </c>
      <c r="D198" s="33" t="s">
        <v>1101</v>
      </c>
      <c r="E198" s="41" t="s">
        <v>950</v>
      </c>
      <c r="F198" s="33" t="s">
        <v>1102</v>
      </c>
      <c r="G198" s="33" t="s">
        <v>907</v>
      </c>
      <c r="H198" s="33" t="s">
        <v>908</v>
      </c>
    </row>
    <row r="199" ht="15.75" customHeight="1">
      <c r="A199" s="42"/>
      <c r="B199" s="42"/>
      <c r="E199" s="42"/>
    </row>
    <row r="200" ht="15.75" customHeight="1">
      <c r="A200" s="42"/>
      <c r="B200" s="42"/>
      <c r="E200" s="42"/>
    </row>
    <row r="201" ht="15.75" customHeight="1">
      <c r="A201" s="42"/>
      <c r="B201" s="42"/>
      <c r="E201" s="42"/>
    </row>
    <row r="202" ht="15.75" customHeight="1">
      <c r="A202" s="42"/>
      <c r="B202" s="42"/>
      <c r="E202" s="42"/>
    </row>
    <row r="203" ht="15.75" customHeight="1">
      <c r="A203" s="42"/>
      <c r="B203" s="42"/>
      <c r="E203" s="42"/>
    </row>
    <row r="204" ht="15.75" customHeight="1">
      <c r="A204" s="42"/>
      <c r="B204" s="42"/>
      <c r="E204" s="42"/>
    </row>
    <row r="205" ht="15.75" customHeight="1">
      <c r="A205" s="42"/>
      <c r="B205" s="42"/>
      <c r="E205" s="42"/>
    </row>
    <row r="206" ht="15.75" customHeight="1">
      <c r="A206" s="42"/>
      <c r="B206" s="42"/>
      <c r="E206" s="42"/>
    </row>
    <row r="207" ht="15.75" customHeight="1">
      <c r="A207" s="42"/>
      <c r="B207" s="42"/>
      <c r="E207" s="42"/>
    </row>
    <row r="208" ht="15.75" customHeight="1">
      <c r="A208" s="42"/>
      <c r="B208" s="42"/>
      <c r="E208" s="42"/>
    </row>
    <row r="209" ht="15.75" customHeight="1">
      <c r="A209" s="42"/>
      <c r="B209" s="42"/>
      <c r="E209" s="42"/>
    </row>
    <row r="210" ht="15.75" customHeight="1">
      <c r="A210" s="42"/>
      <c r="B210" s="42"/>
      <c r="E210" s="42"/>
    </row>
    <row r="211" ht="15.75" customHeight="1">
      <c r="A211" s="42"/>
      <c r="B211" s="42"/>
      <c r="E211" s="42"/>
    </row>
    <row r="212" ht="15.75" customHeight="1">
      <c r="A212" s="42"/>
      <c r="B212" s="42"/>
      <c r="E212" s="42"/>
    </row>
    <row r="213" ht="15.75" customHeight="1">
      <c r="A213" s="42"/>
      <c r="B213" s="42"/>
      <c r="E213" s="42"/>
    </row>
    <row r="214" ht="15.75" customHeight="1">
      <c r="A214" s="42"/>
      <c r="B214" s="42"/>
      <c r="E214" s="42"/>
    </row>
    <row r="215" ht="15.75" customHeight="1">
      <c r="A215" s="42"/>
      <c r="B215" s="42"/>
      <c r="E215" s="42"/>
    </row>
    <row r="216" ht="15.75" customHeight="1">
      <c r="A216" s="42"/>
      <c r="B216" s="42"/>
      <c r="E216" s="42"/>
    </row>
    <row r="217" ht="15.75" customHeight="1">
      <c r="A217" s="42"/>
      <c r="B217" s="42"/>
      <c r="E217" s="42"/>
    </row>
    <row r="218" ht="15.75" customHeight="1">
      <c r="A218" s="42"/>
      <c r="B218" s="42"/>
      <c r="E218" s="42"/>
    </row>
    <row r="219" ht="15.75" customHeight="1">
      <c r="A219" s="42"/>
      <c r="B219" s="42"/>
      <c r="E219" s="42"/>
    </row>
    <row r="220" ht="15.75" customHeight="1">
      <c r="A220" s="42"/>
      <c r="B220" s="42"/>
      <c r="E220" s="42"/>
    </row>
    <row r="221" ht="15.75" customHeight="1">
      <c r="A221" s="42"/>
      <c r="B221" s="42"/>
      <c r="E221" s="42"/>
    </row>
    <row r="222" ht="15.75" customHeight="1">
      <c r="A222" s="42"/>
      <c r="B222" s="42"/>
      <c r="E222" s="42"/>
    </row>
    <row r="223" ht="15.75" customHeight="1">
      <c r="A223" s="42"/>
      <c r="B223" s="42"/>
      <c r="E223" s="42"/>
    </row>
    <row r="224" ht="15.75" customHeight="1">
      <c r="A224" s="42"/>
      <c r="B224" s="42"/>
      <c r="E224" s="42"/>
    </row>
    <row r="225" ht="15.75" customHeight="1">
      <c r="A225" s="42"/>
      <c r="B225" s="42"/>
      <c r="E225" s="42"/>
    </row>
    <row r="226" ht="15.75" customHeight="1">
      <c r="A226" s="42"/>
      <c r="B226" s="42"/>
      <c r="E226" s="42"/>
    </row>
    <row r="227" ht="15.75" customHeight="1">
      <c r="A227" s="42"/>
      <c r="B227" s="42"/>
      <c r="E227" s="42"/>
    </row>
    <row r="228" ht="15.75" customHeight="1">
      <c r="A228" s="42"/>
      <c r="B228" s="42"/>
      <c r="E228" s="42"/>
    </row>
    <row r="229" ht="15.75" customHeight="1">
      <c r="A229" s="42"/>
      <c r="B229" s="42"/>
      <c r="E229" s="42"/>
    </row>
    <row r="230" ht="15.75" customHeight="1">
      <c r="A230" s="42"/>
      <c r="B230" s="42"/>
      <c r="E230" s="42"/>
    </row>
    <row r="231" ht="15.75" customHeight="1">
      <c r="A231" s="42"/>
      <c r="B231" s="42"/>
      <c r="E231" s="42"/>
    </row>
    <row r="232" ht="15.75" customHeight="1">
      <c r="A232" s="42"/>
      <c r="B232" s="42"/>
      <c r="E232" s="42"/>
    </row>
    <row r="233" ht="15.75" customHeight="1">
      <c r="A233" s="42"/>
      <c r="B233" s="42"/>
      <c r="E233" s="42"/>
    </row>
    <row r="234" ht="15.75" customHeight="1">
      <c r="A234" s="42"/>
      <c r="B234" s="42"/>
      <c r="E234" s="42"/>
    </row>
    <row r="235" ht="15.75" customHeight="1">
      <c r="A235" s="42"/>
      <c r="B235" s="42"/>
      <c r="E235" s="42"/>
    </row>
    <row r="236" ht="15.75" customHeight="1">
      <c r="A236" s="42"/>
      <c r="B236" s="42"/>
      <c r="E236" s="42"/>
    </row>
    <row r="237" ht="15.75" customHeight="1">
      <c r="A237" s="42"/>
      <c r="B237" s="42"/>
      <c r="E237" s="42"/>
    </row>
    <row r="238" ht="15.75" customHeight="1">
      <c r="A238" s="42"/>
      <c r="B238" s="42"/>
      <c r="E238" s="42"/>
    </row>
    <row r="239" ht="15.75" customHeight="1">
      <c r="A239" s="42"/>
      <c r="B239" s="42"/>
      <c r="E239" s="42"/>
    </row>
    <row r="240" ht="15.75" customHeight="1">
      <c r="A240" s="42"/>
      <c r="B240" s="42"/>
      <c r="E240" s="42"/>
    </row>
    <row r="241" ht="15.75" customHeight="1">
      <c r="A241" s="42"/>
      <c r="B241" s="42"/>
      <c r="E241" s="42"/>
    </row>
    <row r="242" ht="15.75" customHeight="1">
      <c r="A242" s="42"/>
      <c r="B242" s="42"/>
      <c r="E242" s="42"/>
    </row>
    <row r="243" ht="15.75" customHeight="1">
      <c r="A243" s="42"/>
      <c r="B243" s="42"/>
      <c r="E243" s="42"/>
    </row>
    <row r="244" ht="15.75" customHeight="1">
      <c r="A244" s="42"/>
      <c r="B244" s="42"/>
      <c r="E244" s="42"/>
    </row>
    <row r="245" ht="15.75" customHeight="1">
      <c r="A245" s="42"/>
      <c r="B245" s="42"/>
      <c r="E245" s="42"/>
    </row>
    <row r="246" ht="15.75" customHeight="1">
      <c r="A246" s="42"/>
      <c r="B246" s="42"/>
      <c r="E246" s="42"/>
    </row>
    <row r="247" ht="15.75" customHeight="1">
      <c r="A247" s="42"/>
      <c r="B247" s="42"/>
      <c r="E247" s="42"/>
    </row>
    <row r="248" ht="15.75" customHeight="1">
      <c r="A248" s="42"/>
      <c r="B248" s="42"/>
      <c r="E248" s="42"/>
    </row>
    <row r="249" ht="15.75" customHeight="1">
      <c r="A249" s="42"/>
      <c r="B249" s="42"/>
      <c r="E249" s="42"/>
    </row>
    <row r="250" ht="15.75" customHeight="1">
      <c r="A250" s="42"/>
      <c r="B250" s="42"/>
      <c r="E250" s="42"/>
    </row>
    <row r="251" ht="15.75" customHeight="1">
      <c r="A251" s="42"/>
      <c r="B251" s="42"/>
      <c r="E251" s="42"/>
    </row>
    <row r="252" ht="15.75" customHeight="1">
      <c r="A252" s="42"/>
      <c r="B252" s="42"/>
      <c r="E252" s="42"/>
    </row>
    <row r="253" ht="15.75" customHeight="1">
      <c r="A253" s="42"/>
      <c r="B253" s="42"/>
      <c r="E253" s="42"/>
    </row>
    <row r="254" ht="15.75" customHeight="1">
      <c r="A254" s="42"/>
      <c r="B254" s="42"/>
      <c r="E254" s="42"/>
    </row>
    <row r="255" ht="15.75" customHeight="1">
      <c r="A255" s="42"/>
      <c r="B255" s="42"/>
      <c r="E255" s="42"/>
    </row>
    <row r="256" ht="15.75" customHeight="1">
      <c r="A256" s="42"/>
      <c r="B256" s="42"/>
      <c r="E256" s="42"/>
    </row>
    <row r="257" ht="15.75" customHeight="1">
      <c r="A257" s="42"/>
      <c r="B257" s="42"/>
      <c r="E257" s="42"/>
    </row>
    <row r="258" ht="15.75" customHeight="1">
      <c r="A258" s="42"/>
      <c r="B258" s="42"/>
      <c r="E258" s="42"/>
    </row>
    <row r="259" ht="15.75" customHeight="1">
      <c r="A259" s="42"/>
      <c r="B259" s="42"/>
      <c r="E259" s="42"/>
    </row>
    <row r="260" ht="15.75" customHeight="1">
      <c r="A260" s="42"/>
      <c r="B260" s="42"/>
      <c r="E260" s="42"/>
    </row>
    <row r="261" ht="15.75" customHeight="1">
      <c r="A261" s="42"/>
      <c r="B261" s="42"/>
      <c r="E261" s="42"/>
    </row>
    <row r="262" ht="15.75" customHeight="1">
      <c r="A262" s="42"/>
      <c r="B262" s="42"/>
      <c r="E262" s="42"/>
    </row>
    <row r="263" ht="15.75" customHeight="1">
      <c r="A263" s="42"/>
      <c r="B263" s="42"/>
      <c r="E263" s="42"/>
    </row>
    <row r="264" ht="15.75" customHeight="1">
      <c r="A264" s="42"/>
      <c r="B264" s="42"/>
      <c r="E264" s="42"/>
    </row>
    <row r="265" ht="15.75" customHeight="1">
      <c r="A265" s="42"/>
      <c r="B265" s="42"/>
      <c r="E265" s="42"/>
    </row>
    <row r="266" ht="15.75" customHeight="1">
      <c r="A266" s="42"/>
      <c r="B266" s="42"/>
      <c r="E266" s="42"/>
    </row>
    <row r="267" ht="15.75" customHeight="1">
      <c r="A267" s="42"/>
      <c r="B267" s="42"/>
      <c r="E267" s="42"/>
    </row>
    <row r="268" ht="15.75" customHeight="1">
      <c r="A268" s="42"/>
      <c r="B268" s="42"/>
      <c r="E268" s="42"/>
    </row>
    <row r="269" ht="15.75" customHeight="1">
      <c r="A269" s="42"/>
      <c r="B269" s="42"/>
      <c r="E269" s="42"/>
    </row>
    <row r="270" ht="15.75" customHeight="1">
      <c r="A270" s="42"/>
      <c r="B270" s="42"/>
      <c r="E270" s="42"/>
    </row>
    <row r="271" ht="15.75" customHeight="1">
      <c r="A271" s="42"/>
      <c r="B271" s="42"/>
      <c r="E271" s="42"/>
    </row>
    <row r="272" ht="15.75" customHeight="1">
      <c r="A272" s="42"/>
      <c r="B272" s="42"/>
      <c r="E272" s="42"/>
    </row>
    <row r="273" ht="15.75" customHeight="1">
      <c r="A273" s="42"/>
      <c r="B273" s="42"/>
      <c r="E273" s="42"/>
    </row>
    <row r="274" ht="15.75" customHeight="1">
      <c r="A274" s="42"/>
      <c r="B274" s="42"/>
      <c r="E274" s="42"/>
    </row>
    <row r="275" ht="15.75" customHeight="1">
      <c r="A275" s="42"/>
      <c r="B275" s="42"/>
      <c r="E275" s="42"/>
    </row>
    <row r="276" ht="15.75" customHeight="1">
      <c r="A276" s="42"/>
      <c r="B276" s="42"/>
      <c r="E276" s="42"/>
    </row>
    <row r="277" ht="15.75" customHeight="1">
      <c r="A277" s="42"/>
      <c r="B277" s="42"/>
      <c r="E277" s="42"/>
    </row>
    <row r="278" ht="15.75" customHeight="1">
      <c r="A278" s="42"/>
      <c r="B278" s="42"/>
      <c r="E278" s="42"/>
    </row>
    <row r="279" ht="15.75" customHeight="1">
      <c r="A279" s="42"/>
      <c r="B279" s="42"/>
      <c r="E279" s="42"/>
    </row>
    <row r="280" ht="15.75" customHeight="1">
      <c r="A280" s="42"/>
      <c r="B280" s="42"/>
      <c r="E280" s="42"/>
    </row>
    <row r="281" ht="15.75" customHeight="1">
      <c r="A281" s="42"/>
      <c r="B281" s="42"/>
      <c r="E281" s="42"/>
    </row>
    <row r="282" ht="15.75" customHeight="1">
      <c r="A282" s="42"/>
      <c r="B282" s="42"/>
      <c r="E282" s="42"/>
    </row>
    <row r="283" ht="15.75" customHeight="1">
      <c r="A283" s="42"/>
      <c r="B283" s="42"/>
      <c r="E283" s="42"/>
    </row>
    <row r="284" ht="15.75" customHeight="1">
      <c r="A284" s="42"/>
      <c r="B284" s="42"/>
      <c r="E284" s="42"/>
    </row>
    <row r="285" ht="15.75" customHeight="1">
      <c r="A285" s="42"/>
      <c r="B285" s="42"/>
      <c r="E285" s="42"/>
    </row>
    <row r="286" ht="15.75" customHeight="1">
      <c r="A286" s="42"/>
      <c r="B286" s="42"/>
      <c r="E286" s="42"/>
    </row>
    <row r="287" ht="15.75" customHeight="1">
      <c r="A287" s="42"/>
      <c r="B287" s="42"/>
      <c r="E287" s="42"/>
    </row>
    <row r="288" ht="15.75" customHeight="1">
      <c r="A288" s="42"/>
      <c r="B288" s="42"/>
      <c r="E288" s="42"/>
    </row>
    <row r="289" ht="15.75" customHeight="1">
      <c r="A289" s="42"/>
      <c r="B289" s="42"/>
      <c r="E289" s="42"/>
    </row>
    <row r="290" ht="15.75" customHeight="1">
      <c r="A290" s="42"/>
      <c r="B290" s="42"/>
      <c r="E290" s="42"/>
    </row>
    <row r="291" ht="15.75" customHeight="1">
      <c r="A291" s="42"/>
      <c r="B291" s="42"/>
      <c r="E291" s="42"/>
    </row>
    <row r="292" ht="15.75" customHeight="1">
      <c r="A292" s="42"/>
      <c r="B292" s="42"/>
      <c r="E292" s="42"/>
    </row>
    <row r="293" ht="15.75" customHeight="1">
      <c r="A293" s="42"/>
      <c r="B293" s="42"/>
      <c r="E293" s="42"/>
    </row>
    <row r="294" ht="15.75" customHeight="1">
      <c r="A294" s="42"/>
      <c r="B294" s="42"/>
      <c r="E294" s="42"/>
    </row>
    <row r="295" ht="15.75" customHeight="1">
      <c r="A295" s="42"/>
      <c r="B295" s="42"/>
      <c r="E295" s="42"/>
    </row>
    <row r="296" ht="15.75" customHeight="1">
      <c r="A296" s="42"/>
      <c r="B296" s="42"/>
      <c r="E296" s="42"/>
    </row>
    <row r="297" ht="15.75" customHeight="1">
      <c r="A297" s="42"/>
      <c r="B297" s="42"/>
      <c r="E297" s="42"/>
    </row>
    <row r="298" ht="15.75" customHeight="1">
      <c r="A298" s="42"/>
      <c r="B298" s="42"/>
      <c r="E298" s="42"/>
    </row>
    <row r="299" ht="15.75" customHeight="1">
      <c r="A299" s="42"/>
      <c r="B299" s="42"/>
      <c r="E299" s="42"/>
    </row>
    <row r="300" ht="15.75" customHeight="1">
      <c r="A300" s="42"/>
      <c r="B300" s="42"/>
      <c r="E300" s="42"/>
    </row>
    <row r="301" ht="15.75" customHeight="1">
      <c r="A301" s="42"/>
      <c r="B301" s="42"/>
      <c r="E301" s="42"/>
    </row>
    <row r="302" ht="15.75" customHeight="1">
      <c r="A302" s="42"/>
      <c r="B302" s="42"/>
      <c r="E302" s="42"/>
    </row>
    <row r="303" ht="15.75" customHeight="1">
      <c r="A303" s="42"/>
      <c r="B303" s="42"/>
      <c r="E303" s="42"/>
    </row>
    <row r="304" ht="15.75" customHeight="1">
      <c r="A304" s="42"/>
      <c r="B304" s="42"/>
      <c r="E304" s="42"/>
    </row>
    <row r="305" ht="15.75" customHeight="1">
      <c r="A305" s="42"/>
      <c r="B305" s="42"/>
      <c r="E305" s="42"/>
    </row>
    <row r="306" ht="15.75" customHeight="1">
      <c r="A306" s="42"/>
      <c r="B306" s="42"/>
      <c r="E306" s="42"/>
    </row>
    <row r="307" ht="15.75" customHeight="1">
      <c r="A307" s="42"/>
      <c r="B307" s="42"/>
      <c r="E307" s="42"/>
    </row>
    <row r="308" ht="15.75" customHeight="1">
      <c r="A308" s="42"/>
      <c r="B308" s="42"/>
      <c r="E308" s="42"/>
    </row>
    <row r="309" ht="15.75" customHeight="1">
      <c r="A309" s="42"/>
      <c r="B309" s="42"/>
      <c r="E309" s="42"/>
    </row>
    <row r="310" ht="15.75" customHeight="1">
      <c r="A310" s="42"/>
      <c r="B310" s="42"/>
      <c r="E310" s="42"/>
    </row>
    <row r="311" ht="15.75" customHeight="1">
      <c r="A311" s="42"/>
      <c r="B311" s="42"/>
      <c r="E311" s="42"/>
    </row>
    <row r="312" ht="15.75" customHeight="1">
      <c r="A312" s="42"/>
      <c r="B312" s="42"/>
      <c r="E312" s="42"/>
    </row>
    <row r="313" ht="15.75" customHeight="1">
      <c r="A313" s="42"/>
      <c r="B313" s="42"/>
      <c r="E313" s="42"/>
    </row>
    <row r="314" ht="15.75" customHeight="1">
      <c r="A314" s="42"/>
      <c r="B314" s="42"/>
      <c r="E314" s="42"/>
    </row>
    <row r="315" ht="15.75" customHeight="1">
      <c r="A315" s="42"/>
      <c r="B315" s="42"/>
      <c r="E315" s="42"/>
    </row>
    <row r="316" ht="15.75" customHeight="1">
      <c r="A316" s="42"/>
      <c r="B316" s="42"/>
      <c r="E316" s="42"/>
    </row>
    <row r="317" ht="15.75" customHeight="1">
      <c r="A317" s="42"/>
      <c r="B317" s="42"/>
      <c r="E317" s="42"/>
    </row>
    <row r="318" ht="15.75" customHeight="1">
      <c r="A318" s="42"/>
      <c r="B318" s="42"/>
      <c r="E318" s="42"/>
    </row>
    <row r="319" ht="15.75" customHeight="1">
      <c r="A319" s="42"/>
      <c r="B319" s="42"/>
      <c r="E319" s="42"/>
    </row>
    <row r="320" ht="15.75" customHeight="1">
      <c r="A320" s="42"/>
      <c r="B320" s="42"/>
      <c r="E320" s="42"/>
    </row>
    <row r="321" ht="15.75" customHeight="1">
      <c r="A321" s="42"/>
      <c r="B321" s="42"/>
      <c r="E321" s="42"/>
    </row>
    <row r="322" ht="15.75" customHeight="1">
      <c r="A322" s="42"/>
      <c r="B322" s="42"/>
      <c r="E322" s="42"/>
    </row>
    <row r="323" ht="15.75" customHeight="1">
      <c r="A323" s="42"/>
      <c r="B323" s="42"/>
      <c r="E323" s="42"/>
    </row>
    <row r="324" ht="15.75" customHeight="1">
      <c r="A324" s="42"/>
      <c r="B324" s="42"/>
      <c r="E324" s="42"/>
    </row>
    <row r="325" ht="15.75" customHeight="1">
      <c r="A325" s="42"/>
      <c r="B325" s="42"/>
      <c r="E325" s="42"/>
    </row>
    <row r="326" ht="15.75" customHeight="1">
      <c r="A326" s="42"/>
      <c r="B326" s="42"/>
      <c r="E326" s="42"/>
    </row>
    <row r="327" ht="15.75" customHeight="1">
      <c r="A327" s="42"/>
      <c r="B327" s="42"/>
      <c r="E327" s="42"/>
    </row>
    <row r="328" ht="15.75" customHeight="1">
      <c r="A328" s="42"/>
      <c r="B328" s="42"/>
      <c r="E328" s="42"/>
    </row>
    <row r="329" ht="15.75" customHeight="1">
      <c r="A329" s="42"/>
      <c r="B329" s="42"/>
      <c r="E329" s="42"/>
    </row>
    <row r="330" ht="15.75" customHeight="1">
      <c r="A330" s="42"/>
      <c r="B330" s="42"/>
      <c r="E330" s="42"/>
    </row>
    <row r="331" ht="15.75" customHeight="1">
      <c r="A331" s="42"/>
      <c r="B331" s="42"/>
      <c r="E331" s="42"/>
    </row>
    <row r="332" ht="15.75" customHeight="1">
      <c r="A332" s="42"/>
      <c r="B332" s="42"/>
      <c r="E332" s="42"/>
    </row>
    <row r="333" ht="15.75" customHeight="1">
      <c r="A333" s="42"/>
      <c r="B333" s="42"/>
      <c r="E333" s="42"/>
    </row>
    <row r="334" ht="15.75" customHeight="1">
      <c r="A334" s="42"/>
      <c r="B334" s="42"/>
      <c r="E334" s="42"/>
    </row>
    <row r="335" ht="15.75" customHeight="1">
      <c r="A335" s="42"/>
      <c r="B335" s="42"/>
      <c r="E335" s="42"/>
    </row>
    <row r="336" ht="15.75" customHeight="1">
      <c r="A336" s="42"/>
      <c r="B336" s="42"/>
      <c r="E336" s="42"/>
    </row>
    <row r="337" ht="15.75" customHeight="1">
      <c r="A337" s="42"/>
      <c r="B337" s="42"/>
      <c r="E337" s="42"/>
    </row>
    <row r="338" ht="15.75" customHeight="1">
      <c r="A338" s="42"/>
      <c r="B338" s="42"/>
      <c r="E338" s="42"/>
    </row>
    <row r="339" ht="15.75" customHeight="1">
      <c r="A339" s="42"/>
      <c r="B339" s="42"/>
      <c r="E339" s="42"/>
    </row>
    <row r="340" ht="15.75" customHeight="1">
      <c r="A340" s="42"/>
      <c r="B340" s="42"/>
      <c r="E340" s="42"/>
    </row>
    <row r="341" ht="15.75" customHeight="1">
      <c r="A341" s="42"/>
      <c r="B341" s="42"/>
      <c r="E341" s="42"/>
    </row>
    <row r="342" ht="15.75" customHeight="1">
      <c r="A342" s="42"/>
      <c r="B342" s="42"/>
      <c r="E342" s="42"/>
    </row>
    <row r="343" ht="15.75" customHeight="1">
      <c r="A343" s="42"/>
      <c r="B343" s="42"/>
      <c r="E343" s="42"/>
    </row>
    <row r="344" ht="15.75" customHeight="1">
      <c r="A344" s="42"/>
      <c r="B344" s="42"/>
      <c r="E344" s="42"/>
    </row>
    <row r="345" ht="15.75" customHeight="1">
      <c r="A345" s="42"/>
      <c r="B345" s="42"/>
      <c r="E345" s="42"/>
    </row>
    <row r="346" ht="15.75" customHeight="1">
      <c r="A346" s="42"/>
      <c r="B346" s="42"/>
      <c r="E346" s="42"/>
    </row>
    <row r="347" ht="15.75" customHeight="1">
      <c r="A347" s="42"/>
      <c r="B347" s="42"/>
      <c r="E347" s="42"/>
    </row>
    <row r="348" ht="15.75" customHeight="1">
      <c r="A348" s="42"/>
      <c r="B348" s="42"/>
      <c r="E348" s="42"/>
    </row>
    <row r="349" ht="15.75" customHeight="1">
      <c r="A349" s="42"/>
      <c r="B349" s="42"/>
      <c r="E349" s="42"/>
    </row>
    <row r="350" ht="15.75" customHeight="1">
      <c r="A350" s="42"/>
      <c r="B350" s="42"/>
      <c r="E350" s="42"/>
    </row>
    <row r="351" ht="15.75" customHeight="1">
      <c r="A351" s="42"/>
      <c r="B351" s="42"/>
      <c r="E351" s="42"/>
    </row>
    <row r="352" ht="15.75" customHeight="1">
      <c r="A352" s="42"/>
      <c r="B352" s="42"/>
      <c r="E352" s="42"/>
    </row>
    <row r="353" ht="15.75" customHeight="1">
      <c r="A353" s="42"/>
      <c r="B353" s="42"/>
      <c r="E353" s="42"/>
    </row>
    <row r="354" ht="15.75" customHeight="1">
      <c r="A354" s="42"/>
      <c r="B354" s="42"/>
      <c r="E354" s="42"/>
    </row>
    <row r="355" ht="15.75" customHeight="1">
      <c r="A355" s="42"/>
      <c r="B355" s="42"/>
      <c r="E355" s="42"/>
    </row>
    <row r="356" ht="15.75" customHeight="1">
      <c r="A356" s="42"/>
      <c r="B356" s="42"/>
      <c r="E356" s="42"/>
    </row>
    <row r="357" ht="15.75" customHeight="1">
      <c r="A357" s="42"/>
      <c r="B357" s="42"/>
      <c r="E357" s="42"/>
    </row>
    <row r="358" ht="15.75" customHeight="1">
      <c r="A358" s="42"/>
      <c r="B358" s="42"/>
      <c r="E358" s="42"/>
    </row>
    <row r="359" ht="15.75" customHeight="1">
      <c r="A359" s="42"/>
      <c r="B359" s="42"/>
      <c r="E359" s="42"/>
    </row>
    <row r="360" ht="15.75" customHeight="1">
      <c r="A360" s="42"/>
      <c r="B360" s="42"/>
      <c r="E360" s="42"/>
    </row>
    <row r="361" ht="15.75" customHeight="1">
      <c r="A361" s="42"/>
      <c r="B361" s="42"/>
      <c r="E361" s="42"/>
    </row>
    <row r="362" ht="15.75" customHeight="1">
      <c r="A362" s="42"/>
      <c r="B362" s="42"/>
      <c r="E362" s="42"/>
    </row>
    <row r="363" ht="15.75" customHeight="1">
      <c r="A363" s="42"/>
      <c r="B363" s="42"/>
      <c r="E363" s="42"/>
    </row>
    <row r="364" ht="15.75" customHeight="1">
      <c r="A364" s="42"/>
      <c r="B364" s="42"/>
      <c r="E364" s="42"/>
    </row>
    <row r="365" ht="15.75" customHeight="1">
      <c r="A365" s="42"/>
      <c r="B365" s="42"/>
      <c r="E365" s="42"/>
    </row>
    <row r="366" ht="15.75" customHeight="1">
      <c r="A366" s="42"/>
      <c r="B366" s="42"/>
      <c r="E366" s="42"/>
    </row>
    <row r="367" ht="15.75" customHeight="1">
      <c r="A367" s="42"/>
      <c r="B367" s="42"/>
      <c r="E367" s="42"/>
    </row>
    <row r="368" ht="15.75" customHeight="1">
      <c r="A368" s="42"/>
      <c r="B368" s="42"/>
      <c r="E368" s="42"/>
    </row>
    <row r="369" ht="15.75" customHeight="1">
      <c r="A369" s="42"/>
      <c r="B369" s="42"/>
      <c r="E369" s="42"/>
    </row>
    <row r="370" ht="15.75" customHeight="1">
      <c r="A370" s="42"/>
      <c r="B370" s="42"/>
      <c r="E370" s="42"/>
    </row>
    <row r="371" ht="15.75" customHeight="1">
      <c r="A371" s="42"/>
      <c r="B371" s="42"/>
      <c r="E371" s="42"/>
    </row>
    <row r="372" ht="15.75" customHeight="1">
      <c r="A372" s="42"/>
      <c r="B372" s="42"/>
      <c r="E372" s="42"/>
    </row>
    <row r="373" ht="15.75" customHeight="1">
      <c r="A373" s="42"/>
      <c r="B373" s="42"/>
      <c r="E373" s="42"/>
    </row>
    <row r="374" ht="15.75" customHeight="1">
      <c r="A374" s="42"/>
      <c r="B374" s="42"/>
      <c r="E374" s="42"/>
    </row>
    <row r="375" ht="15.75" customHeight="1">
      <c r="A375" s="42"/>
      <c r="B375" s="42"/>
      <c r="E375" s="42"/>
    </row>
    <row r="376" ht="15.75" customHeight="1">
      <c r="A376" s="42"/>
      <c r="B376" s="42"/>
      <c r="E376" s="42"/>
    </row>
    <row r="377" ht="15.75" customHeight="1">
      <c r="A377" s="42"/>
      <c r="B377" s="42"/>
      <c r="E377" s="42"/>
    </row>
    <row r="378" ht="15.75" customHeight="1">
      <c r="A378" s="42"/>
      <c r="B378" s="42"/>
      <c r="E378" s="42"/>
    </row>
    <row r="379" ht="15.75" customHeight="1">
      <c r="A379" s="42"/>
      <c r="B379" s="42"/>
      <c r="E379" s="42"/>
    </row>
    <row r="380" ht="15.75" customHeight="1">
      <c r="A380" s="42"/>
      <c r="B380" s="42"/>
      <c r="E380" s="42"/>
    </row>
    <row r="381" ht="15.75" customHeight="1">
      <c r="A381" s="42"/>
      <c r="B381" s="42"/>
      <c r="E381" s="42"/>
    </row>
    <row r="382" ht="15.75" customHeight="1">
      <c r="A382" s="42"/>
      <c r="B382" s="42"/>
      <c r="E382" s="42"/>
    </row>
    <row r="383" ht="15.75" customHeight="1">
      <c r="A383" s="42"/>
      <c r="B383" s="42"/>
      <c r="E383" s="42"/>
    </row>
    <row r="384" ht="15.75" customHeight="1">
      <c r="A384" s="42"/>
      <c r="B384" s="42"/>
      <c r="E384" s="42"/>
    </row>
    <row r="385" ht="15.75" customHeight="1">
      <c r="A385" s="42"/>
      <c r="B385" s="42"/>
      <c r="E385" s="42"/>
    </row>
    <row r="386" ht="15.75" customHeight="1">
      <c r="A386" s="42"/>
      <c r="B386" s="42"/>
      <c r="E386" s="42"/>
    </row>
    <row r="387" ht="15.75" customHeight="1">
      <c r="A387" s="42"/>
      <c r="B387" s="42"/>
      <c r="E387" s="42"/>
    </row>
    <row r="388" ht="15.75" customHeight="1">
      <c r="A388" s="42"/>
      <c r="B388" s="42"/>
      <c r="E388" s="42"/>
    </row>
    <row r="389" ht="15.75" customHeight="1">
      <c r="A389" s="42"/>
      <c r="B389" s="42"/>
      <c r="E389" s="42"/>
    </row>
    <row r="390" ht="15.75" customHeight="1">
      <c r="A390" s="42"/>
      <c r="B390" s="42"/>
      <c r="E390" s="42"/>
    </row>
    <row r="391" ht="15.75" customHeight="1">
      <c r="A391" s="42"/>
      <c r="B391" s="42"/>
      <c r="E391" s="42"/>
    </row>
    <row r="392" ht="15.75" customHeight="1">
      <c r="A392" s="42"/>
      <c r="B392" s="42"/>
      <c r="E392" s="42"/>
    </row>
    <row r="393" ht="15.75" customHeight="1">
      <c r="A393" s="42"/>
      <c r="B393" s="42"/>
      <c r="E393" s="42"/>
    </row>
    <row r="394" ht="15.75" customHeight="1">
      <c r="A394" s="42"/>
      <c r="B394" s="42"/>
      <c r="E394" s="42"/>
    </row>
    <row r="395" ht="15.75" customHeight="1">
      <c r="A395" s="42"/>
      <c r="B395" s="42"/>
      <c r="E395" s="42"/>
    </row>
    <row r="396" ht="15.75" customHeight="1">
      <c r="A396" s="42"/>
      <c r="B396" s="42"/>
      <c r="E396" s="42"/>
    </row>
    <row r="397" ht="15.75" customHeight="1">
      <c r="A397" s="42"/>
      <c r="B397" s="42"/>
      <c r="E397" s="42"/>
    </row>
    <row r="398" ht="15.75" customHeight="1">
      <c r="A398" s="42"/>
      <c r="B398" s="42"/>
      <c r="E398" s="42"/>
    </row>
    <row r="399" ht="15.75" customHeight="1">
      <c r="A399" s="42"/>
      <c r="B399" s="42"/>
      <c r="E399" s="42"/>
    </row>
    <row r="400" ht="15.75" customHeight="1">
      <c r="A400" s="42"/>
      <c r="B400" s="42"/>
      <c r="E400" s="42"/>
    </row>
    <row r="401" ht="15.75" customHeight="1">
      <c r="A401" s="42"/>
      <c r="B401" s="42"/>
      <c r="E401" s="42"/>
    </row>
    <row r="402" ht="15.75" customHeight="1">
      <c r="A402" s="42"/>
      <c r="B402" s="42"/>
      <c r="E402" s="42"/>
    </row>
    <row r="403" ht="15.75" customHeight="1">
      <c r="A403" s="42"/>
      <c r="B403" s="42"/>
      <c r="E403" s="42"/>
    </row>
    <row r="404" ht="15.75" customHeight="1">
      <c r="A404" s="42"/>
      <c r="B404" s="42"/>
      <c r="E404" s="42"/>
    </row>
    <row r="405" ht="15.75" customHeight="1">
      <c r="A405" s="42"/>
      <c r="B405" s="42"/>
      <c r="E405" s="42"/>
    </row>
    <row r="406" ht="15.75" customHeight="1">
      <c r="A406" s="42"/>
      <c r="B406" s="42"/>
      <c r="E406" s="42"/>
    </row>
    <row r="407" ht="15.75" customHeight="1">
      <c r="A407" s="42"/>
      <c r="B407" s="42"/>
      <c r="E407" s="42"/>
    </row>
    <row r="408" ht="15.75" customHeight="1">
      <c r="A408" s="42"/>
      <c r="B408" s="42"/>
      <c r="E408" s="42"/>
    </row>
    <row r="409" ht="15.75" customHeight="1">
      <c r="A409" s="42"/>
      <c r="B409" s="42"/>
      <c r="E409" s="42"/>
    </row>
    <row r="410" ht="15.75" customHeight="1">
      <c r="A410" s="42"/>
      <c r="B410" s="42"/>
      <c r="E410" s="42"/>
    </row>
    <row r="411" ht="15.75" customHeight="1">
      <c r="A411" s="42"/>
      <c r="B411" s="42"/>
      <c r="E411" s="42"/>
    </row>
    <row r="412" ht="15.75" customHeight="1">
      <c r="A412" s="42"/>
      <c r="B412" s="42"/>
      <c r="E412" s="42"/>
    </row>
    <row r="413" ht="15.75" customHeight="1">
      <c r="A413" s="42"/>
      <c r="B413" s="42"/>
      <c r="E413" s="42"/>
    </row>
    <row r="414" ht="15.75" customHeight="1">
      <c r="A414" s="42"/>
      <c r="B414" s="42"/>
      <c r="E414" s="42"/>
    </row>
    <row r="415" ht="15.75" customHeight="1">
      <c r="A415" s="42"/>
      <c r="B415" s="42"/>
      <c r="E415" s="42"/>
    </row>
    <row r="416" ht="15.75" customHeight="1">
      <c r="A416" s="42"/>
      <c r="B416" s="42"/>
      <c r="E416" s="42"/>
    </row>
    <row r="417" ht="15.75" customHeight="1">
      <c r="A417" s="42"/>
      <c r="B417" s="42"/>
      <c r="E417" s="42"/>
    </row>
    <row r="418" ht="15.75" customHeight="1">
      <c r="A418" s="42"/>
      <c r="B418" s="42"/>
      <c r="E418" s="42"/>
    </row>
    <row r="419" ht="15.75" customHeight="1">
      <c r="A419" s="42"/>
      <c r="B419" s="42"/>
      <c r="E419" s="42"/>
    </row>
    <row r="420" ht="15.75" customHeight="1">
      <c r="A420" s="42"/>
      <c r="B420" s="42"/>
      <c r="E420" s="42"/>
    </row>
    <row r="421" ht="15.75" customHeight="1">
      <c r="A421" s="42"/>
      <c r="B421" s="42"/>
      <c r="E421" s="42"/>
    </row>
    <row r="422" ht="15.75" customHeight="1">
      <c r="A422" s="42"/>
      <c r="B422" s="42"/>
      <c r="E422" s="42"/>
    </row>
    <row r="423" ht="15.75" customHeight="1">
      <c r="A423" s="42"/>
      <c r="B423" s="42"/>
      <c r="E423" s="42"/>
    </row>
    <row r="424" ht="15.75" customHeight="1">
      <c r="A424" s="42"/>
      <c r="B424" s="42"/>
      <c r="E424" s="42"/>
    </row>
    <row r="425" ht="15.75" customHeight="1">
      <c r="A425" s="42"/>
      <c r="B425" s="42"/>
      <c r="E425" s="42"/>
    </row>
    <row r="426" ht="15.75" customHeight="1">
      <c r="A426" s="42"/>
      <c r="B426" s="42"/>
      <c r="E426" s="42"/>
    </row>
    <row r="427" ht="15.75" customHeight="1">
      <c r="A427" s="42"/>
      <c r="B427" s="42"/>
      <c r="E427" s="42"/>
    </row>
    <row r="428" ht="15.75" customHeight="1">
      <c r="A428" s="42"/>
      <c r="B428" s="42"/>
      <c r="E428" s="42"/>
    </row>
    <row r="429" ht="15.75" customHeight="1">
      <c r="A429" s="42"/>
      <c r="B429" s="42"/>
      <c r="E429" s="42"/>
    </row>
    <row r="430" ht="15.75" customHeight="1">
      <c r="A430" s="42"/>
      <c r="B430" s="42"/>
      <c r="E430" s="42"/>
    </row>
    <row r="431" ht="15.75" customHeight="1">
      <c r="A431" s="42"/>
      <c r="B431" s="42"/>
      <c r="E431" s="42"/>
    </row>
    <row r="432" ht="15.75" customHeight="1">
      <c r="A432" s="42"/>
      <c r="B432" s="42"/>
      <c r="E432" s="42"/>
    </row>
    <row r="433" ht="15.75" customHeight="1">
      <c r="A433" s="42"/>
      <c r="B433" s="42"/>
      <c r="E433" s="42"/>
    </row>
    <row r="434" ht="15.75" customHeight="1">
      <c r="A434" s="42"/>
      <c r="B434" s="42"/>
      <c r="E434" s="42"/>
    </row>
    <row r="435" ht="15.75" customHeight="1">
      <c r="A435" s="42"/>
      <c r="B435" s="42"/>
      <c r="E435" s="42"/>
    </row>
    <row r="436" ht="15.75" customHeight="1">
      <c r="A436" s="42"/>
      <c r="B436" s="42"/>
      <c r="E436" s="42"/>
    </row>
    <row r="437" ht="15.75" customHeight="1">
      <c r="A437" s="42"/>
      <c r="B437" s="42"/>
      <c r="E437" s="42"/>
    </row>
    <row r="438" ht="15.75" customHeight="1">
      <c r="A438" s="42"/>
      <c r="B438" s="42"/>
      <c r="E438" s="42"/>
    </row>
    <row r="439" ht="15.75" customHeight="1">
      <c r="A439" s="42"/>
      <c r="B439" s="42"/>
      <c r="E439" s="42"/>
    </row>
    <row r="440" ht="15.75" customHeight="1">
      <c r="A440" s="42"/>
      <c r="B440" s="42"/>
      <c r="E440" s="42"/>
    </row>
    <row r="441" ht="15.75" customHeight="1">
      <c r="A441" s="42"/>
      <c r="B441" s="42"/>
      <c r="E441" s="42"/>
    </row>
    <row r="442" ht="15.75" customHeight="1">
      <c r="A442" s="42"/>
      <c r="B442" s="42"/>
      <c r="E442" s="42"/>
    </row>
    <row r="443" ht="15.75" customHeight="1">
      <c r="A443" s="42"/>
      <c r="B443" s="42"/>
      <c r="E443" s="42"/>
    </row>
    <row r="444" ht="15.75" customHeight="1">
      <c r="A444" s="42"/>
      <c r="B444" s="42"/>
      <c r="E444" s="42"/>
    </row>
    <row r="445" ht="15.75" customHeight="1">
      <c r="A445" s="42"/>
      <c r="B445" s="42"/>
      <c r="E445" s="42"/>
    </row>
    <row r="446" ht="15.75" customHeight="1">
      <c r="A446" s="42"/>
      <c r="B446" s="42"/>
      <c r="E446" s="42"/>
    </row>
    <row r="447" ht="15.75" customHeight="1">
      <c r="A447" s="42"/>
      <c r="B447" s="42"/>
      <c r="E447" s="42"/>
    </row>
    <row r="448" ht="15.75" customHeight="1">
      <c r="A448" s="42"/>
      <c r="B448" s="42"/>
      <c r="E448" s="42"/>
    </row>
    <row r="449" ht="15.75" customHeight="1">
      <c r="A449" s="42"/>
      <c r="B449" s="42"/>
      <c r="E449" s="42"/>
    </row>
    <row r="450" ht="15.75" customHeight="1">
      <c r="A450" s="42"/>
      <c r="B450" s="42"/>
      <c r="E450" s="42"/>
    </row>
    <row r="451" ht="15.75" customHeight="1">
      <c r="A451" s="42"/>
      <c r="B451" s="42"/>
      <c r="E451" s="42"/>
    </row>
    <row r="452" ht="15.75" customHeight="1">
      <c r="A452" s="42"/>
      <c r="B452" s="42"/>
      <c r="E452" s="42"/>
    </row>
    <row r="453" ht="15.75" customHeight="1">
      <c r="A453" s="42"/>
      <c r="B453" s="42"/>
      <c r="E453" s="42"/>
    </row>
    <row r="454" ht="15.75" customHeight="1">
      <c r="A454" s="42"/>
      <c r="B454" s="42"/>
      <c r="E454" s="42"/>
    </row>
    <row r="455" ht="15.75" customHeight="1">
      <c r="A455" s="42"/>
      <c r="B455" s="42"/>
      <c r="E455" s="42"/>
    </row>
    <row r="456" ht="15.75" customHeight="1">
      <c r="A456" s="42"/>
      <c r="B456" s="42"/>
      <c r="E456" s="42"/>
    </row>
    <row r="457" ht="15.75" customHeight="1">
      <c r="A457" s="42"/>
      <c r="B457" s="42"/>
      <c r="E457" s="42"/>
    </row>
    <row r="458" ht="15.75" customHeight="1">
      <c r="A458" s="42"/>
      <c r="B458" s="42"/>
      <c r="E458" s="42"/>
    </row>
    <row r="459" ht="15.75" customHeight="1">
      <c r="A459" s="42"/>
      <c r="B459" s="42"/>
      <c r="E459" s="42"/>
    </row>
    <row r="460" ht="15.75" customHeight="1">
      <c r="A460" s="42"/>
      <c r="B460" s="42"/>
      <c r="E460" s="42"/>
    </row>
    <row r="461" ht="15.75" customHeight="1">
      <c r="A461" s="42"/>
      <c r="B461" s="42"/>
      <c r="E461" s="42"/>
    </row>
    <row r="462" ht="15.75" customHeight="1">
      <c r="A462" s="42"/>
      <c r="B462" s="42"/>
      <c r="E462" s="42"/>
    </row>
    <row r="463" ht="15.75" customHeight="1">
      <c r="A463" s="42"/>
      <c r="B463" s="42"/>
      <c r="E463" s="42"/>
    </row>
    <row r="464" ht="15.75" customHeight="1">
      <c r="A464" s="42"/>
      <c r="B464" s="42"/>
      <c r="E464" s="42"/>
    </row>
    <row r="465" ht="15.75" customHeight="1">
      <c r="A465" s="42"/>
      <c r="B465" s="42"/>
      <c r="E465" s="42"/>
    </row>
    <row r="466" ht="15.75" customHeight="1">
      <c r="A466" s="42"/>
      <c r="B466" s="42"/>
      <c r="E466" s="42"/>
    </row>
    <row r="467" ht="15.75" customHeight="1">
      <c r="A467" s="42"/>
      <c r="B467" s="42"/>
      <c r="E467" s="42"/>
    </row>
    <row r="468" ht="15.75" customHeight="1">
      <c r="A468" s="42"/>
      <c r="B468" s="42"/>
      <c r="E468" s="42"/>
    </row>
    <row r="469" ht="15.75" customHeight="1">
      <c r="A469" s="42"/>
      <c r="B469" s="42"/>
      <c r="E469" s="42"/>
    </row>
    <row r="470" ht="15.75" customHeight="1">
      <c r="A470" s="42"/>
      <c r="B470" s="42"/>
      <c r="E470" s="42"/>
    </row>
    <row r="471" ht="15.75" customHeight="1">
      <c r="A471" s="42"/>
      <c r="B471" s="42"/>
      <c r="E471" s="42"/>
    </row>
    <row r="472" ht="15.75" customHeight="1">
      <c r="A472" s="42"/>
      <c r="B472" s="42"/>
      <c r="E472" s="42"/>
    </row>
    <row r="473" ht="15.75" customHeight="1">
      <c r="A473" s="42"/>
      <c r="B473" s="42"/>
      <c r="E473" s="42"/>
    </row>
    <row r="474" ht="15.75" customHeight="1">
      <c r="A474" s="42"/>
      <c r="B474" s="42"/>
      <c r="E474" s="42"/>
    </row>
    <row r="475" ht="15.75" customHeight="1">
      <c r="A475" s="42"/>
      <c r="B475" s="42"/>
      <c r="E475" s="42"/>
    </row>
    <row r="476" ht="15.75" customHeight="1">
      <c r="A476" s="42"/>
      <c r="B476" s="42"/>
      <c r="E476" s="42"/>
    </row>
    <row r="477" ht="15.75" customHeight="1">
      <c r="A477" s="42"/>
      <c r="B477" s="42"/>
      <c r="E477" s="42"/>
    </row>
    <row r="478" ht="15.75" customHeight="1">
      <c r="A478" s="42"/>
      <c r="B478" s="42"/>
      <c r="E478" s="42"/>
    </row>
    <row r="479" ht="15.75" customHeight="1">
      <c r="A479" s="42"/>
      <c r="B479" s="42"/>
      <c r="E479" s="42"/>
    </row>
    <row r="480" ht="15.75" customHeight="1">
      <c r="A480" s="42"/>
      <c r="B480" s="42"/>
      <c r="E480" s="42"/>
    </row>
    <row r="481" ht="15.75" customHeight="1">
      <c r="A481" s="42"/>
      <c r="B481" s="42"/>
      <c r="E481" s="42"/>
    </row>
    <row r="482" ht="15.75" customHeight="1">
      <c r="A482" s="42"/>
      <c r="B482" s="42"/>
      <c r="E482" s="42"/>
    </row>
    <row r="483" ht="15.75" customHeight="1">
      <c r="A483" s="42"/>
      <c r="B483" s="42"/>
      <c r="E483" s="42"/>
    </row>
    <row r="484" ht="15.75" customHeight="1">
      <c r="A484" s="42"/>
      <c r="B484" s="42"/>
      <c r="E484" s="42"/>
    </row>
    <row r="485" ht="15.75" customHeight="1">
      <c r="A485" s="42"/>
      <c r="B485" s="42"/>
      <c r="E485" s="42"/>
    </row>
    <row r="486" ht="15.75" customHeight="1">
      <c r="A486" s="42"/>
      <c r="B486" s="42"/>
      <c r="E486" s="42"/>
    </row>
    <row r="487" ht="15.75" customHeight="1">
      <c r="A487" s="42"/>
      <c r="B487" s="42"/>
      <c r="E487" s="42"/>
    </row>
    <row r="488" ht="15.75" customHeight="1">
      <c r="A488" s="42"/>
      <c r="B488" s="42"/>
      <c r="E488" s="42"/>
    </row>
    <row r="489" ht="15.75" customHeight="1">
      <c r="A489" s="42"/>
      <c r="B489" s="42"/>
      <c r="E489" s="42"/>
    </row>
    <row r="490" ht="15.75" customHeight="1">
      <c r="A490" s="42"/>
      <c r="B490" s="42"/>
      <c r="E490" s="42"/>
    </row>
    <row r="491" ht="15.75" customHeight="1">
      <c r="A491" s="42"/>
      <c r="B491" s="42"/>
      <c r="E491" s="42"/>
    </row>
    <row r="492" ht="15.75" customHeight="1">
      <c r="A492" s="42"/>
      <c r="B492" s="42"/>
      <c r="E492" s="42"/>
    </row>
    <row r="493" ht="15.75" customHeight="1">
      <c r="A493" s="42"/>
      <c r="B493" s="42"/>
      <c r="E493" s="42"/>
    </row>
    <row r="494" ht="15.75" customHeight="1">
      <c r="A494" s="42"/>
      <c r="B494" s="42"/>
      <c r="E494" s="42"/>
    </row>
    <row r="495" ht="15.75" customHeight="1">
      <c r="A495" s="42"/>
      <c r="B495" s="42"/>
      <c r="E495" s="42"/>
    </row>
    <row r="496" ht="15.75" customHeight="1">
      <c r="A496" s="42"/>
      <c r="B496" s="42"/>
      <c r="E496" s="42"/>
    </row>
    <row r="497" ht="15.75" customHeight="1">
      <c r="A497" s="42"/>
      <c r="B497" s="42"/>
      <c r="E497" s="42"/>
    </row>
    <row r="498" ht="15.75" customHeight="1">
      <c r="A498" s="42"/>
      <c r="B498" s="42"/>
      <c r="E498" s="42"/>
    </row>
    <row r="499" ht="15.75" customHeight="1">
      <c r="A499" s="42"/>
      <c r="B499" s="42"/>
      <c r="E499" s="42"/>
    </row>
    <row r="500" ht="15.75" customHeight="1">
      <c r="A500" s="42"/>
      <c r="B500" s="42"/>
      <c r="E500" s="42"/>
    </row>
    <row r="501" ht="15.75" customHeight="1">
      <c r="A501" s="42"/>
      <c r="B501" s="42"/>
      <c r="E501" s="42"/>
    </row>
    <row r="502" ht="15.75" customHeight="1">
      <c r="A502" s="42"/>
      <c r="B502" s="42"/>
      <c r="E502" s="42"/>
    </row>
    <row r="503" ht="15.75" customHeight="1">
      <c r="A503" s="42"/>
      <c r="B503" s="42"/>
      <c r="E503" s="42"/>
    </row>
    <row r="504" ht="15.75" customHeight="1">
      <c r="A504" s="42"/>
      <c r="B504" s="42"/>
      <c r="E504" s="42"/>
    </row>
    <row r="505" ht="15.75" customHeight="1">
      <c r="A505" s="42"/>
      <c r="B505" s="42"/>
      <c r="E505" s="42"/>
    </row>
    <row r="506" ht="15.75" customHeight="1">
      <c r="A506" s="42"/>
      <c r="B506" s="42"/>
      <c r="E506" s="42"/>
    </row>
    <row r="507" ht="15.75" customHeight="1">
      <c r="A507" s="42"/>
      <c r="B507" s="42"/>
      <c r="E507" s="42"/>
    </row>
    <row r="508" ht="15.75" customHeight="1">
      <c r="A508" s="42"/>
      <c r="B508" s="42"/>
      <c r="E508" s="42"/>
    </row>
    <row r="509" ht="15.75" customHeight="1">
      <c r="A509" s="42"/>
      <c r="B509" s="42"/>
      <c r="E509" s="42"/>
    </row>
    <row r="510" ht="15.75" customHeight="1">
      <c r="A510" s="42"/>
      <c r="B510" s="42"/>
      <c r="E510" s="42"/>
    </row>
    <row r="511" ht="15.75" customHeight="1">
      <c r="A511" s="42"/>
      <c r="B511" s="42"/>
      <c r="E511" s="42"/>
    </row>
    <row r="512" ht="15.75" customHeight="1">
      <c r="A512" s="42"/>
      <c r="B512" s="42"/>
      <c r="E512" s="42"/>
    </row>
    <row r="513" ht="15.75" customHeight="1">
      <c r="A513" s="42"/>
      <c r="B513" s="42"/>
      <c r="E513" s="42"/>
    </row>
    <row r="514" ht="15.75" customHeight="1">
      <c r="A514" s="42"/>
      <c r="B514" s="42"/>
      <c r="E514" s="42"/>
    </row>
    <row r="515" ht="15.75" customHeight="1">
      <c r="A515" s="42"/>
      <c r="B515" s="42"/>
      <c r="E515" s="42"/>
    </row>
    <row r="516" ht="15.75" customHeight="1">
      <c r="A516" s="42"/>
      <c r="B516" s="42"/>
      <c r="E516" s="42"/>
    </row>
    <row r="517" ht="15.75" customHeight="1">
      <c r="A517" s="42"/>
      <c r="B517" s="42"/>
      <c r="E517" s="42"/>
    </row>
    <row r="518" ht="15.75" customHeight="1">
      <c r="A518" s="42"/>
      <c r="B518" s="42"/>
      <c r="E518" s="42"/>
    </row>
    <row r="519" ht="15.75" customHeight="1">
      <c r="A519" s="42"/>
      <c r="B519" s="42"/>
      <c r="E519" s="42"/>
    </row>
    <row r="520" ht="15.75" customHeight="1">
      <c r="A520" s="42"/>
      <c r="B520" s="42"/>
      <c r="E520" s="42"/>
    </row>
    <row r="521" ht="15.75" customHeight="1">
      <c r="A521" s="42"/>
      <c r="B521" s="42"/>
      <c r="E521" s="42"/>
    </row>
    <row r="522" ht="15.75" customHeight="1">
      <c r="A522" s="42"/>
      <c r="B522" s="42"/>
      <c r="E522" s="42"/>
    </row>
    <row r="523" ht="15.75" customHeight="1">
      <c r="A523" s="42"/>
      <c r="B523" s="42"/>
      <c r="E523" s="42"/>
    </row>
    <row r="524" ht="15.75" customHeight="1">
      <c r="A524" s="42"/>
      <c r="B524" s="42"/>
      <c r="E524" s="42"/>
    </row>
    <row r="525" ht="15.75" customHeight="1">
      <c r="A525" s="42"/>
      <c r="B525" s="42"/>
      <c r="E525" s="42"/>
    </row>
    <row r="526" ht="15.75" customHeight="1">
      <c r="A526" s="42"/>
      <c r="B526" s="42"/>
      <c r="E526" s="42"/>
    </row>
    <row r="527" ht="15.75" customHeight="1">
      <c r="A527" s="42"/>
      <c r="B527" s="42"/>
      <c r="E527" s="42"/>
    </row>
    <row r="528" ht="15.75" customHeight="1">
      <c r="A528" s="42"/>
      <c r="B528" s="42"/>
      <c r="E528" s="42"/>
    </row>
    <row r="529" ht="15.75" customHeight="1">
      <c r="A529" s="42"/>
      <c r="B529" s="42"/>
      <c r="E529" s="42"/>
    </row>
    <row r="530" ht="15.75" customHeight="1">
      <c r="A530" s="42"/>
      <c r="B530" s="42"/>
      <c r="E530" s="42"/>
    </row>
    <row r="531" ht="15.75" customHeight="1">
      <c r="A531" s="42"/>
      <c r="B531" s="42"/>
      <c r="E531" s="42"/>
    </row>
    <row r="532" ht="15.75" customHeight="1">
      <c r="A532" s="42"/>
      <c r="B532" s="42"/>
      <c r="E532" s="42"/>
    </row>
    <row r="533" ht="15.75" customHeight="1">
      <c r="A533" s="42"/>
      <c r="B533" s="42"/>
      <c r="E533" s="42"/>
    </row>
    <row r="534" ht="15.75" customHeight="1">
      <c r="A534" s="42"/>
      <c r="B534" s="42"/>
      <c r="E534" s="42"/>
    </row>
    <row r="535" ht="15.75" customHeight="1">
      <c r="A535" s="42"/>
      <c r="B535" s="42"/>
      <c r="E535" s="42"/>
    </row>
    <row r="536" ht="15.75" customHeight="1">
      <c r="A536" s="42"/>
      <c r="B536" s="42"/>
      <c r="E536" s="42"/>
    </row>
    <row r="537" ht="15.75" customHeight="1">
      <c r="A537" s="42"/>
      <c r="B537" s="42"/>
      <c r="E537" s="42"/>
    </row>
    <row r="538" ht="15.75" customHeight="1">
      <c r="A538" s="42"/>
      <c r="B538" s="42"/>
      <c r="E538" s="42"/>
    </row>
    <row r="539" ht="15.75" customHeight="1">
      <c r="A539" s="42"/>
      <c r="B539" s="42"/>
      <c r="E539" s="42"/>
    </row>
    <row r="540" ht="15.75" customHeight="1">
      <c r="A540" s="42"/>
      <c r="B540" s="42"/>
      <c r="E540" s="42"/>
    </row>
    <row r="541" ht="15.75" customHeight="1">
      <c r="A541" s="42"/>
      <c r="B541" s="42"/>
      <c r="E541" s="42"/>
    </row>
    <row r="542" ht="15.75" customHeight="1">
      <c r="A542" s="42"/>
      <c r="B542" s="42"/>
      <c r="E542" s="42"/>
    </row>
    <row r="543" ht="15.75" customHeight="1">
      <c r="A543" s="42"/>
      <c r="B543" s="42"/>
      <c r="E543" s="42"/>
    </row>
    <row r="544" ht="15.75" customHeight="1">
      <c r="A544" s="42"/>
      <c r="B544" s="42"/>
      <c r="E544" s="42"/>
    </row>
    <row r="545" ht="15.75" customHeight="1">
      <c r="A545" s="42"/>
      <c r="B545" s="42"/>
      <c r="E545" s="42"/>
    </row>
    <row r="546" ht="15.75" customHeight="1">
      <c r="A546" s="42"/>
      <c r="B546" s="42"/>
      <c r="E546" s="42"/>
    </row>
    <row r="547" ht="15.75" customHeight="1">
      <c r="A547" s="42"/>
      <c r="B547" s="42"/>
      <c r="E547" s="42"/>
    </row>
    <row r="548" ht="15.75" customHeight="1">
      <c r="A548" s="42"/>
      <c r="B548" s="42"/>
      <c r="E548" s="42"/>
    </row>
    <row r="549" ht="15.75" customHeight="1">
      <c r="A549" s="42"/>
      <c r="B549" s="42"/>
      <c r="E549" s="42"/>
    </row>
    <row r="550" ht="15.75" customHeight="1">
      <c r="A550" s="42"/>
      <c r="B550" s="42"/>
      <c r="E550" s="42"/>
    </row>
    <row r="551" ht="15.75" customHeight="1">
      <c r="A551" s="42"/>
      <c r="B551" s="42"/>
      <c r="E551" s="42"/>
    </row>
    <row r="552" ht="15.75" customHeight="1">
      <c r="A552" s="42"/>
      <c r="B552" s="42"/>
      <c r="E552" s="42"/>
    </row>
    <row r="553" ht="15.75" customHeight="1">
      <c r="A553" s="42"/>
      <c r="B553" s="42"/>
      <c r="E553" s="42"/>
    </row>
    <row r="554" ht="15.75" customHeight="1">
      <c r="A554" s="42"/>
      <c r="B554" s="42"/>
      <c r="E554" s="42"/>
    </row>
    <row r="555" ht="15.75" customHeight="1">
      <c r="A555" s="42"/>
      <c r="B555" s="42"/>
      <c r="E555" s="42"/>
    </row>
    <row r="556" ht="15.75" customHeight="1">
      <c r="A556" s="42"/>
      <c r="B556" s="42"/>
      <c r="E556" s="42"/>
    </row>
    <row r="557" ht="15.75" customHeight="1">
      <c r="A557" s="42"/>
      <c r="B557" s="42"/>
      <c r="E557" s="42"/>
    </row>
    <row r="558" ht="15.75" customHeight="1">
      <c r="A558" s="42"/>
      <c r="B558" s="42"/>
      <c r="E558" s="42"/>
    </row>
    <row r="559" ht="15.75" customHeight="1">
      <c r="A559" s="42"/>
      <c r="B559" s="42"/>
      <c r="E559" s="42"/>
    </row>
    <row r="560" ht="15.75" customHeight="1">
      <c r="A560" s="42"/>
      <c r="B560" s="42"/>
      <c r="E560" s="42"/>
    </row>
    <row r="561" ht="15.75" customHeight="1">
      <c r="A561" s="42"/>
      <c r="B561" s="42"/>
      <c r="E561" s="42"/>
    </row>
    <row r="562" ht="15.75" customHeight="1">
      <c r="A562" s="42"/>
      <c r="B562" s="42"/>
      <c r="E562" s="42"/>
    </row>
    <row r="563" ht="15.75" customHeight="1">
      <c r="A563" s="42"/>
      <c r="B563" s="42"/>
      <c r="E563" s="42"/>
    </row>
    <row r="564" ht="15.75" customHeight="1">
      <c r="A564" s="42"/>
      <c r="B564" s="42"/>
      <c r="E564" s="42"/>
    </row>
    <row r="565" ht="15.75" customHeight="1">
      <c r="A565" s="42"/>
      <c r="B565" s="42"/>
      <c r="E565" s="42"/>
    </row>
    <row r="566" ht="15.75" customHeight="1">
      <c r="A566" s="42"/>
      <c r="B566" s="42"/>
      <c r="E566" s="42"/>
    </row>
    <row r="567" ht="15.75" customHeight="1">
      <c r="A567" s="42"/>
      <c r="B567" s="42"/>
      <c r="E567" s="42"/>
    </row>
    <row r="568" ht="15.75" customHeight="1">
      <c r="A568" s="42"/>
      <c r="B568" s="42"/>
      <c r="E568" s="42"/>
    </row>
    <row r="569" ht="15.75" customHeight="1">
      <c r="A569" s="42"/>
      <c r="B569" s="42"/>
      <c r="E569" s="42"/>
    </row>
    <row r="570" ht="15.75" customHeight="1">
      <c r="A570" s="42"/>
      <c r="B570" s="42"/>
      <c r="E570" s="42"/>
    </row>
    <row r="571" ht="15.75" customHeight="1">
      <c r="A571" s="42"/>
      <c r="B571" s="42"/>
      <c r="E571" s="42"/>
    </row>
    <row r="572" ht="15.75" customHeight="1">
      <c r="A572" s="42"/>
      <c r="B572" s="42"/>
      <c r="E572" s="42"/>
    </row>
    <row r="573" ht="15.75" customHeight="1">
      <c r="A573" s="42"/>
      <c r="B573" s="42"/>
      <c r="E573" s="42"/>
    </row>
    <row r="574" ht="15.75" customHeight="1">
      <c r="A574" s="42"/>
      <c r="B574" s="42"/>
      <c r="E574" s="42"/>
    </row>
    <row r="575" ht="15.75" customHeight="1">
      <c r="A575" s="42"/>
      <c r="B575" s="42"/>
      <c r="E575" s="42"/>
    </row>
    <row r="576" ht="15.75" customHeight="1">
      <c r="A576" s="42"/>
      <c r="B576" s="42"/>
      <c r="E576" s="42"/>
    </row>
    <row r="577" ht="15.75" customHeight="1">
      <c r="A577" s="42"/>
      <c r="B577" s="42"/>
      <c r="E577" s="42"/>
    </row>
    <row r="578" ht="15.75" customHeight="1">
      <c r="A578" s="42"/>
      <c r="B578" s="42"/>
      <c r="E578" s="42"/>
    </row>
    <row r="579" ht="15.75" customHeight="1">
      <c r="A579" s="42"/>
      <c r="B579" s="42"/>
      <c r="E579" s="42"/>
    </row>
    <row r="580" ht="15.75" customHeight="1">
      <c r="A580" s="42"/>
      <c r="B580" s="42"/>
      <c r="E580" s="42"/>
    </row>
    <row r="581" ht="15.75" customHeight="1">
      <c r="A581" s="42"/>
      <c r="B581" s="42"/>
      <c r="E581" s="42"/>
    </row>
    <row r="582" ht="15.75" customHeight="1">
      <c r="A582" s="42"/>
      <c r="B582" s="42"/>
      <c r="E582" s="42"/>
    </row>
    <row r="583" ht="15.75" customHeight="1">
      <c r="A583" s="42"/>
      <c r="B583" s="42"/>
      <c r="E583" s="42"/>
    </row>
    <row r="584" ht="15.75" customHeight="1">
      <c r="A584" s="42"/>
      <c r="B584" s="42"/>
      <c r="E584" s="42"/>
    </row>
    <row r="585" ht="15.75" customHeight="1">
      <c r="A585" s="42"/>
      <c r="B585" s="42"/>
      <c r="E585" s="42"/>
    </row>
    <row r="586" ht="15.75" customHeight="1">
      <c r="A586" s="42"/>
      <c r="B586" s="42"/>
      <c r="E586" s="42"/>
    </row>
    <row r="587" ht="15.75" customHeight="1">
      <c r="A587" s="42"/>
      <c r="B587" s="42"/>
      <c r="E587" s="42"/>
    </row>
    <row r="588" ht="15.75" customHeight="1">
      <c r="A588" s="42"/>
      <c r="B588" s="42"/>
      <c r="E588" s="42"/>
    </row>
    <row r="589" ht="15.75" customHeight="1">
      <c r="A589" s="42"/>
      <c r="B589" s="42"/>
      <c r="E589" s="42"/>
    </row>
    <row r="590" ht="15.75" customHeight="1">
      <c r="A590" s="42"/>
      <c r="B590" s="42"/>
      <c r="E590" s="42"/>
    </row>
    <row r="591" ht="15.75" customHeight="1">
      <c r="A591" s="42"/>
      <c r="B591" s="42"/>
      <c r="E591" s="42"/>
    </row>
    <row r="592" ht="15.75" customHeight="1">
      <c r="A592" s="42"/>
      <c r="B592" s="42"/>
      <c r="E592" s="42"/>
    </row>
    <row r="593" ht="15.75" customHeight="1">
      <c r="A593" s="42"/>
      <c r="B593" s="42"/>
      <c r="E593" s="42"/>
    </row>
    <row r="594" ht="15.75" customHeight="1">
      <c r="A594" s="42"/>
      <c r="B594" s="42"/>
      <c r="E594" s="42"/>
    </row>
    <row r="595" ht="15.75" customHeight="1">
      <c r="A595" s="42"/>
      <c r="B595" s="42"/>
      <c r="E595" s="42"/>
    </row>
    <row r="596" ht="15.75" customHeight="1">
      <c r="A596" s="42"/>
      <c r="B596" s="42"/>
      <c r="E596" s="42"/>
    </row>
    <row r="597" ht="15.75" customHeight="1">
      <c r="A597" s="42"/>
      <c r="B597" s="42"/>
      <c r="E597" s="42"/>
    </row>
    <row r="598" ht="15.75" customHeight="1">
      <c r="A598" s="42"/>
      <c r="B598" s="42"/>
      <c r="E598" s="42"/>
    </row>
    <row r="599" ht="15.75" customHeight="1">
      <c r="A599" s="42"/>
      <c r="B599" s="42"/>
      <c r="E599" s="42"/>
    </row>
    <row r="600" ht="15.75" customHeight="1">
      <c r="A600" s="42"/>
      <c r="B600" s="42"/>
      <c r="E600" s="42"/>
    </row>
    <row r="601" ht="15.75" customHeight="1">
      <c r="A601" s="42"/>
      <c r="B601" s="42"/>
      <c r="E601" s="42"/>
    </row>
    <row r="602" ht="15.75" customHeight="1">
      <c r="A602" s="42"/>
      <c r="B602" s="42"/>
      <c r="E602" s="42"/>
    </row>
    <row r="603" ht="15.75" customHeight="1">
      <c r="A603" s="42"/>
      <c r="B603" s="42"/>
      <c r="E603" s="42"/>
    </row>
    <row r="604" ht="15.75" customHeight="1">
      <c r="A604" s="42"/>
      <c r="B604" s="42"/>
      <c r="E604" s="42"/>
    </row>
    <row r="605" ht="15.75" customHeight="1">
      <c r="A605" s="42"/>
      <c r="B605" s="42"/>
      <c r="E605" s="42"/>
    </row>
    <row r="606" ht="15.75" customHeight="1">
      <c r="A606" s="42"/>
      <c r="B606" s="42"/>
      <c r="E606" s="42"/>
    </row>
    <row r="607" ht="15.75" customHeight="1">
      <c r="A607" s="42"/>
      <c r="B607" s="42"/>
      <c r="E607" s="42"/>
    </row>
    <row r="608" ht="15.75" customHeight="1">
      <c r="A608" s="42"/>
      <c r="B608" s="42"/>
      <c r="E608" s="42"/>
    </row>
    <row r="609" ht="15.75" customHeight="1">
      <c r="A609" s="42"/>
      <c r="B609" s="42"/>
      <c r="E609" s="42"/>
    </row>
    <row r="610" ht="15.75" customHeight="1">
      <c r="A610" s="42"/>
      <c r="B610" s="42"/>
      <c r="E610" s="42"/>
    </row>
    <row r="611" ht="15.75" customHeight="1">
      <c r="A611" s="42"/>
      <c r="B611" s="42"/>
      <c r="E611" s="42"/>
    </row>
    <row r="612" ht="15.75" customHeight="1">
      <c r="A612" s="42"/>
      <c r="B612" s="42"/>
      <c r="E612" s="42"/>
    </row>
    <row r="613" ht="15.75" customHeight="1">
      <c r="A613" s="42"/>
      <c r="B613" s="42"/>
      <c r="E613" s="42"/>
    </row>
    <row r="614" ht="15.75" customHeight="1">
      <c r="A614" s="42"/>
      <c r="B614" s="42"/>
      <c r="E614" s="42"/>
    </row>
    <row r="615" ht="15.75" customHeight="1">
      <c r="A615" s="42"/>
      <c r="B615" s="42"/>
      <c r="E615" s="42"/>
    </row>
    <row r="616" ht="15.75" customHeight="1">
      <c r="A616" s="42"/>
      <c r="B616" s="42"/>
      <c r="E616" s="42"/>
    </row>
    <row r="617" ht="15.75" customHeight="1">
      <c r="A617" s="42"/>
      <c r="B617" s="42"/>
      <c r="E617" s="42"/>
    </row>
    <row r="618" ht="15.75" customHeight="1">
      <c r="A618" s="42"/>
      <c r="B618" s="42"/>
      <c r="E618" s="42"/>
    </row>
    <row r="619" ht="15.75" customHeight="1">
      <c r="A619" s="42"/>
      <c r="B619" s="42"/>
      <c r="E619" s="42"/>
    </row>
    <row r="620" ht="15.75" customHeight="1">
      <c r="A620" s="42"/>
      <c r="B620" s="42"/>
      <c r="E620" s="42"/>
    </row>
    <row r="621" ht="15.75" customHeight="1">
      <c r="A621" s="42"/>
      <c r="B621" s="42"/>
      <c r="E621" s="42"/>
    </row>
    <row r="622" ht="15.75" customHeight="1">
      <c r="A622" s="42"/>
      <c r="B622" s="42"/>
      <c r="E622" s="42"/>
    </row>
    <row r="623" ht="15.75" customHeight="1">
      <c r="A623" s="42"/>
      <c r="B623" s="42"/>
      <c r="E623" s="42"/>
    </row>
    <row r="624" ht="15.75" customHeight="1">
      <c r="A624" s="42"/>
      <c r="B624" s="42"/>
      <c r="E624" s="42"/>
    </row>
    <row r="625" ht="15.75" customHeight="1">
      <c r="A625" s="42"/>
      <c r="B625" s="42"/>
      <c r="E625" s="42"/>
    </row>
    <row r="626" ht="15.75" customHeight="1">
      <c r="A626" s="42"/>
      <c r="B626" s="42"/>
      <c r="E626" s="42"/>
    </row>
    <row r="627" ht="15.75" customHeight="1">
      <c r="A627" s="42"/>
      <c r="B627" s="42"/>
      <c r="E627" s="42"/>
    </row>
    <row r="628" ht="15.75" customHeight="1">
      <c r="A628" s="42"/>
      <c r="B628" s="42"/>
      <c r="E628" s="42"/>
    </row>
    <row r="629" ht="15.75" customHeight="1">
      <c r="A629" s="42"/>
      <c r="B629" s="42"/>
      <c r="E629" s="42"/>
    </row>
    <row r="630" ht="15.75" customHeight="1">
      <c r="A630" s="42"/>
      <c r="B630" s="42"/>
      <c r="E630" s="42"/>
    </row>
    <row r="631" ht="15.75" customHeight="1">
      <c r="A631" s="42"/>
      <c r="B631" s="42"/>
      <c r="E631" s="42"/>
    </row>
    <row r="632" ht="15.75" customHeight="1">
      <c r="A632" s="42"/>
      <c r="B632" s="42"/>
      <c r="E632" s="42"/>
    </row>
    <row r="633" ht="15.75" customHeight="1">
      <c r="A633" s="42"/>
      <c r="B633" s="42"/>
      <c r="E633" s="42"/>
    </row>
    <row r="634" ht="15.75" customHeight="1">
      <c r="A634" s="42"/>
      <c r="B634" s="42"/>
      <c r="E634" s="42"/>
    </row>
    <row r="635" ht="15.75" customHeight="1">
      <c r="A635" s="42"/>
      <c r="B635" s="42"/>
      <c r="E635" s="42"/>
    </row>
    <row r="636" ht="15.75" customHeight="1">
      <c r="A636" s="42"/>
      <c r="B636" s="42"/>
      <c r="E636" s="42"/>
    </row>
    <row r="637" ht="15.75" customHeight="1">
      <c r="A637" s="42"/>
      <c r="B637" s="42"/>
      <c r="E637" s="42"/>
    </row>
    <row r="638" ht="15.75" customHeight="1">
      <c r="A638" s="42"/>
      <c r="B638" s="42"/>
      <c r="E638" s="42"/>
    </row>
    <row r="639" ht="15.75" customHeight="1">
      <c r="A639" s="42"/>
      <c r="B639" s="42"/>
      <c r="E639" s="42"/>
    </row>
    <row r="640" ht="15.75" customHeight="1">
      <c r="A640" s="42"/>
      <c r="B640" s="42"/>
      <c r="E640" s="42"/>
    </row>
    <row r="641" ht="15.75" customHeight="1">
      <c r="A641" s="42"/>
      <c r="B641" s="42"/>
      <c r="E641" s="42"/>
    </row>
    <row r="642" ht="15.75" customHeight="1">
      <c r="A642" s="42"/>
      <c r="B642" s="42"/>
      <c r="E642" s="42"/>
    </row>
    <row r="643" ht="15.75" customHeight="1">
      <c r="A643" s="42"/>
      <c r="B643" s="42"/>
      <c r="E643" s="42"/>
    </row>
    <row r="644" ht="15.75" customHeight="1">
      <c r="A644" s="42"/>
      <c r="B644" s="42"/>
      <c r="E644" s="42"/>
    </row>
    <row r="645" ht="15.75" customHeight="1">
      <c r="A645" s="42"/>
      <c r="B645" s="42"/>
      <c r="E645" s="42"/>
    </row>
    <row r="646" ht="15.75" customHeight="1">
      <c r="A646" s="42"/>
      <c r="B646" s="42"/>
      <c r="E646" s="42"/>
    </row>
    <row r="647" ht="15.75" customHeight="1">
      <c r="A647" s="42"/>
      <c r="B647" s="42"/>
      <c r="E647" s="42"/>
    </row>
    <row r="648" ht="15.75" customHeight="1">
      <c r="A648" s="42"/>
      <c r="B648" s="42"/>
      <c r="E648" s="42"/>
    </row>
    <row r="649" ht="15.75" customHeight="1">
      <c r="A649" s="42"/>
      <c r="B649" s="42"/>
      <c r="E649" s="42"/>
    </row>
    <row r="650" ht="15.75" customHeight="1">
      <c r="A650" s="42"/>
      <c r="B650" s="42"/>
      <c r="E650" s="42"/>
    </row>
    <row r="651" ht="15.75" customHeight="1">
      <c r="A651" s="42"/>
      <c r="B651" s="42"/>
      <c r="E651" s="42"/>
    </row>
    <row r="652" ht="15.75" customHeight="1">
      <c r="A652" s="42"/>
      <c r="B652" s="42"/>
      <c r="E652" s="42"/>
    </row>
    <row r="653" ht="15.75" customHeight="1">
      <c r="A653" s="42"/>
      <c r="B653" s="42"/>
      <c r="E653" s="42"/>
    </row>
    <row r="654" ht="15.75" customHeight="1">
      <c r="A654" s="42"/>
      <c r="B654" s="42"/>
      <c r="E654" s="42"/>
    </row>
    <row r="655" ht="15.75" customHeight="1">
      <c r="A655" s="42"/>
      <c r="B655" s="42"/>
      <c r="E655" s="42"/>
    </row>
    <row r="656" ht="15.75" customHeight="1">
      <c r="A656" s="42"/>
      <c r="B656" s="42"/>
      <c r="E656" s="42"/>
    </row>
    <row r="657" ht="15.75" customHeight="1">
      <c r="A657" s="42"/>
      <c r="B657" s="42"/>
      <c r="E657" s="42"/>
    </row>
    <row r="658" ht="15.75" customHeight="1">
      <c r="A658" s="42"/>
      <c r="B658" s="42"/>
      <c r="E658" s="42"/>
    </row>
    <row r="659" ht="15.75" customHeight="1">
      <c r="A659" s="42"/>
      <c r="B659" s="42"/>
      <c r="E659" s="42"/>
    </row>
    <row r="660" ht="15.75" customHeight="1">
      <c r="A660" s="42"/>
      <c r="B660" s="42"/>
      <c r="E660" s="42"/>
    </row>
    <row r="661" ht="15.75" customHeight="1">
      <c r="A661" s="42"/>
      <c r="B661" s="42"/>
      <c r="E661" s="42"/>
    </row>
    <row r="662" ht="15.75" customHeight="1">
      <c r="A662" s="42"/>
      <c r="B662" s="42"/>
      <c r="E662" s="42"/>
    </row>
    <row r="663" ht="15.75" customHeight="1">
      <c r="A663" s="42"/>
      <c r="B663" s="42"/>
      <c r="E663" s="42"/>
    </row>
    <row r="664" ht="15.75" customHeight="1">
      <c r="A664" s="42"/>
      <c r="B664" s="42"/>
      <c r="E664" s="42"/>
    </row>
    <row r="665" ht="15.75" customHeight="1">
      <c r="A665" s="42"/>
      <c r="B665" s="42"/>
      <c r="E665" s="42"/>
    </row>
    <row r="666" ht="15.75" customHeight="1">
      <c r="A666" s="42"/>
      <c r="B666" s="42"/>
      <c r="E666" s="42"/>
    </row>
    <row r="667" ht="15.75" customHeight="1">
      <c r="A667" s="42"/>
      <c r="B667" s="42"/>
      <c r="E667" s="42"/>
    </row>
    <row r="668" ht="15.75" customHeight="1">
      <c r="A668" s="42"/>
      <c r="B668" s="42"/>
      <c r="E668" s="42"/>
    </row>
    <row r="669" ht="15.75" customHeight="1">
      <c r="A669" s="42"/>
      <c r="B669" s="42"/>
      <c r="E669" s="42"/>
    </row>
    <row r="670" ht="15.75" customHeight="1">
      <c r="A670" s="42"/>
      <c r="B670" s="42"/>
      <c r="E670" s="42"/>
    </row>
    <row r="671" ht="15.75" customHeight="1">
      <c r="A671" s="42"/>
      <c r="B671" s="42"/>
      <c r="E671" s="42"/>
    </row>
    <row r="672" ht="15.75" customHeight="1">
      <c r="A672" s="42"/>
      <c r="B672" s="42"/>
      <c r="E672" s="42"/>
    </row>
    <row r="673" ht="15.75" customHeight="1">
      <c r="A673" s="42"/>
      <c r="B673" s="42"/>
      <c r="E673" s="42"/>
    </row>
    <row r="674" ht="15.75" customHeight="1">
      <c r="A674" s="42"/>
      <c r="B674" s="42"/>
      <c r="E674" s="42"/>
    </row>
    <row r="675" ht="15.75" customHeight="1">
      <c r="A675" s="42"/>
      <c r="B675" s="42"/>
      <c r="E675" s="42"/>
    </row>
    <row r="676" ht="15.75" customHeight="1">
      <c r="A676" s="42"/>
      <c r="B676" s="42"/>
      <c r="E676" s="42"/>
    </row>
    <row r="677" ht="15.75" customHeight="1">
      <c r="A677" s="42"/>
      <c r="B677" s="42"/>
      <c r="E677" s="42"/>
    </row>
    <row r="678" ht="15.75" customHeight="1">
      <c r="A678" s="42"/>
      <c r="B678" s="42"/>
      <c r="E678" s="42"/>
    </row>
    <row r="679" ht="15.75" customHeight="1">
      <c r="A679" s="42"/>
      <c r="B679" s="42"/>
      <c r="E679" s="42"/>
    </row>
    <row r="680" ht="15.75" customHeight="1">
      <c r="A680" s="42"/>
      <c r="B680" s="42"/>
      <c r="E680" s="42"/>
    </row>
    <row r="681" ht="15.75" customHeight="1">
      <c r="A681" s="42"/>
      <c r="B681" s="42"/>
      <c r="E681" s="42"/>
    </row>
    <row r="682" ht="15.75" customHeight="1">
      <c r="A682" s="42"/>
      <c r="B682" s="42"/>
      <c r="E682" s="42"/>
    </row>
    <row r="683" ht="15.75" customHeight="1">
      <c r="A683" s="42"/>
      <c r="B683" s="42"/>
      <c r="E683" s="42"/>
    </row>
    <row r="684" ht="15.75" customHeight="1">
      <c r="A684" s="42"/>
      <c r="B684" s="42"/>
      <c r="E684" s="42"/>
    </row>
    <row r="685" ht="15.75" customHeight="1">
      <c r="A685" s="42"/>
      <c r="B685" s="42"/>
      <c r="E685" s="42"/>
    </row>
    <row r="686" ht="15.75" customHeight="1">
      <c r="A686" s="42"/>
      <c r="B686" s="42"/>
      <c r="E686" s="42"/>
    </row>
    <row r="687" ht="15.75" customHeight="1">
      <c r="A687" s="42"/>
      <c r="B687" s="42"/>
      <c r="E687" s="42"/>
    </row>
    <row r="688" ht="15.75" customHeight="1">
      <c r="A688" s="42"/>
      <c r="B688" s="42"/>
      <c r="E688" s="42"/>
    </row>
    <row r="689" ht="15.75" customHeight="1">
      <c r="A689" s="42"/>
      <c r="B689" s="42"/>
      <c r="E689" s="42"/>
    </row>
    <row r="690" ht="15.75" customHeight="1">
      <c r="A690" s="42"/>
      <c r="B690" s="42"/>
      <c r="E690" s="42"/>
    </row>
    <row r="691" ht="15.75" customHeight="1">
      <c r="A691" s="42"/>
      <c r="B691" s="42"/>
      <c r="E691" s="42"/>
    </row>
    <row r="692" ht="15.75" customHeight="1">
      <c r="A692" s="42"/>
      <c r="B692" s="42"/>
      <c r="E692" s="42"/>
    </row>
    <row r="693" ht="15.75" customHeight="1">
      <c r="A693" s="42"/>
      <c r="B693" s="42"/>
      <c r="E693" s="42"/>
    </row>
    <row r="694" ht="15.75" customHeight="1">
      <c r="A694" s="42"/>
      <c r="B694" s="42"/>
      <c r="E694" s="42"/>
    </row>
    <row r="695" ht="15.75" customHeight="1">
      <c r="A695" s="42"/>
      <c r="B695" s="42"/>
      <c r="E695" s="42"/>
    </row>
    <row r="696" ht="15.75" customHeight="1">
      <c r="A696" s="42"/>
      <c r="B696" s="42"/>
      <c r="E696" s="42"/>
    </row>
    <row r="697" ht="15.75" customHeight="1">
      <c r="A697" s="42"/>
      <c r="B697" s="42"/>
      <c r="E697" s="42"/>
    </row>
    <row r="698" ht="15.75" customHeight="1">
      <c r="A698" s="42"/>
      <c r="B698" s="42"/>
      <c r="E698" s="42"/>
    </row>
    <row r="699" ht="15.75" customHeight="1">
      <c r="A699" s="42"/>
      <c r="B699" s="42"/>
      <c r="E699" s="42"/>
    </row>
    <row r="700" ht="15.75" customHeight="1">
      <c r="A700" s="42"/>
      <c r="B700" s="42"/>
      <c r="E700" s="42"/>
    </row>
    <row r="701" ht="15.75" customHeight="1">
      <c r="A701" s="42"/>
      <c r="B701" s="42"/>
      <c r="E701" s="42"/>
    </row>
    <row r="702" ht="15.75" customHeight="1">
      <c r="A702" s="42"/>
      <c r="B702" s="42"/>
      <c r="E702" s="42"/>
    </row>
    <row r="703" ht="15.75" customHeight="1">
      <c r="A703" s="42"/>
      <c r="B703" s="42"/>
      <c r="E703" s="42"/>
    </row>
    <row r="704" ht="15.75" customHeight="1">
      <c r="A704" s="42"/>
      <c r="B704" s="42"/>
      <c r="E704" s="42"/>
    </row>
    <row r="705" ht="15.75" customHeight="1">
      <c r="A705" s="42"/>
      <c r="B705" s="42"/>
      <c r="E705" s="42"/>
    </row>
    <row r="706" ht="15.75" customHeight="1">
      <c r="A706" s="42"/>
      <c r="B706" s="42"/>
      <c r="E706" s="42"/>
    </row>
    <row r="707" ht="15.75" customHeight="1">
      <c r="A707" s="42"/>
      <c r="B707" s="42"/>
      <c r="E707" s="42"/>
    </row>
    <row r="708" ht="15.75" customHeight="1">
      <c r="A708" s="42"/>
      <c r="B708" s="42"/>
      <c r="E708" s="42"/>
    </row>
    <row r="709" ht="15.75" customHeight="1">
      <c r="A709" s="42"/>
      <c r="B709" s="42"/>
      <c r="E709" s="42"/>
    </row>
    <row r="710" ht="15.75" customHeight="1">
      <c r="A710" s="42"/>
      <c r="B710" s="42"/>
      <c r="E710" s="42"/>
    </row>
    <row r="711" ht="15.75" customHeight="1">
      <c r="A711" s="42"/>
      <c r="B711" s="42"/>
      <c r="E711" s="42"/>
    </row>
    <row r="712" ht="15.75" customHeight="1">
      <c r="A712" s="42"/>
      <c r="B712" s="42"/>
      <c r="E712" s="42"/>
    </row>
    <row r="713" ht="15.75" customHeight="1">
      <c r="A713" s="42"/>
      <c r="B713" s="42"/>
      <c r="E713" s="42"/>
    </row>
    <row r="714" ht="15.75" customHeight="1">
      <c r="A714" s="42"/>
      <c r="B714" s="42"/>
      <c r="E714" s="42"/>
    </row>
    <row r="715" ht="15.75" customHeight="1">
      <c r="A715" s="42"/>
      <c r="B715" s="42"/>
      <c r="E715" s="42"/>
    </row>
    <row r="716" ht="15.75" customHeight="1">
      <c r="A716" s="42"/>
      <c r="B716" s="42"/>
      <c r="E716" s="42"/>
    </row>
    <row r="717" ht="15.75" customHeight="1">
      <c r="A717" s="42"/>
      <c r="B717" s="42"/>
      <c r="E717" s="42"/>
    </row>
    <row r="718" ht="15.75" customHeight="1">
      <c r="A718" s="42"/>
      <c r="B718" s="42"/>
      <c r="E718" s="42"/>
    </row>
    <row r="719" ht="15.75" customHeight="1">
      <c r="A719" s="42"/>
      <c r="B719" s="42"/>
      <c r="E719" s="42"/>
    </row>
    <row r="720" ht="15.75" customHeight="1">
      <c r="A720" s="42"/>
      <c r="B720" s="42"/>
      <c r="E720" s="42"/>
    </row>
    <row r="721" ht="15.75" customHeight="1">
      <c r="A721" s="42"/>
      <c r="B721" s="42"/>
      <c r="E721" s="42"/>
    </row>
    <row r="722" ht="15.75" customHeight="1">
      <c r="A722" s="42"/>
      <c r="B722" s="42"/>
      <c r="E722" s="42"/>
    </row>
    <row r="723" ht="15.75" customHeight="1">
      <c r="A723" s="42"/>
      <c r="B723" s="42"/>
      <c r="E723" s="42"/>
    </row>
    <row r="724" ht="15.75" customHeight="1">
      <c r="A724" s="42"/>
      <c r="B724" s="42"/>
      <c r="E724" s="42"/>
    </row>
    <row r="725" ht="15.75" customHeight="1">
      <c r="A725" s="42"/>
      <c r="B725" s="42"/>
      <c r="E725" s="42"/>
    </row>
    <row r="726" ht="15.75" customHeight="1">
      <c r="A726" s="42"/>
      <c r="B726" s="42"/>
      <c r="E726" s="42"/>
    </row>
    <row r="727" ht="15.75" customHeight="1">
      <c r="A727" s="42"/>
      <c r="B727" s="42"/>
      <c r="E727" s="42"/>
    </row>
    <row r="728" ht="15.75" customHeight="1">
      <c r="A728" s="42"/>
      <c r="B728" s="42"/>
      <c r="E728" s="42"/>
    </row>
    <row r="729" ht="15.75" customHeight="1">
      <c r="A729" s="42"/>
      <c r="B729" s="42"/>
      <c r="E729" s="42"/>
    </row>
    <row r="730" ht="15.75" customHeight="1">
      <c r="A730" s="42"/>
      <c r="B730" s="42"/>
      <c r="E730" s="42"/>
    </row>
    <row r="731" ht="15.75" customHeight="1">
      <c r="A731" s="42"/>
      <c r="B731" s="42"/>
      <c r="E731" s="42"/>
    </row>
    <row r="732" ht="15.75" customHeight="1">
      <c r="A732" s="42"/>
      <c r="B732" s="42"/>
      <c r="E732" s="42"/>
    </row>
    <row r="733" ht="15.75" customHeight="1">
      <c r="A733" s="42"/>
      <c r="B733" s="42"/>
      <c r="E733" s="42"/>
    </row>
    <row r="734" ht="15.75" customHeight="1">
      <c r="A734" s="42"/>
      <c r="B734" s="42"/>
      <c r="E734" s="42"/>
    </row>
    <row r="735" ht="15.75" customHeight="1">
      <c r="A735" s="42"/>
      <c r="B735" s="42"/>
      <c r="E735" s="42"/>
    </row>
    <row r="736" ht="15.75" customHeight="1">
      <c r="A736" s="42"/>
      <c r="B736" s="42"/>
      <c r="E736" s="42"/>
    </row>
    <row r="737" ht="15.75" customHeight="1">
      <c r="A737" s="42"/>
      <c r="B737" s="42"/>
      <c r="E737" s="42"/>
    </row>
    <row r="738" ht="15.75" customHeight="1">
      <c r="A738" s="42"/>
      <c r="B738" s="42"/>
      <c r="E738" s="42"/>
    </row>
    <row r="739" ht="15.75" customHeight="1">
      <c r="A739" s="42"/>
      <c r="B739" s="42"/>
      <c r="E739" s="42"/>
    </row>
    <row r="740" ht="15.75" customHeight="1">
      <c r="A740" s="42"/>
      <c r="B740" s="42"/>
      <c r="E740" s="42"/>
    </row>
    <row r="741" ht="15.75" customHeight="1">
      <c r="A741" s="42"/>
      <c r="B741" s="42"/>
      <c r="E741" s="42"/>
    </row>
    <row r="742" ht="15.75" customHeight="1">
      <c r="A742" s="42"/>
      <c r="B742" s="42"/>
      <c r="E742" s="42"/>
    </row>
    <row r="743" ht="15.75" customHeight="1">
      <c r="A743" s="42"/>
      <c r="B743" s="42"/>
      <c r="E743" s="42"/>
    </row>
    <row r="744" ht="15.75" customHeight="1">
      <c r="A744" s="42"/>
      <c r="B744" s="42"/>
      <c r="E744" s="42"/>
    </row>
    <row r="745" ht="15.75" customHeight="1">
      <c r="A745" s="42"/>
      <c r="B745" s="42"/>
      <c r="E745" s="42"/>
    </row>
    <row r="746" ht="15.75" customHeight="1">
      <c r="A746" s="42"/>
      <c r="B746" s="42"/>
      <c r="E746" s="42"/>
    </row>
    <row r="747" ht="15.75" customHeight="1">
      <c r="A747" s="42"/>
      <c r="B747" s="42"/>
      <c r="E747" s="42"/>
    </row>
    <row r="748" ht="15.75" customHeight="1">
      <c r="A748" s="42"/>
      <c r="B748" s="42"/>
      <c r="E748" s="42"/>
    </row>
    <row r="749" ht="15.75" customHeight="1">
      <c r="A749" s="42"/>
      <c r="B749" s="42"/>
      <c r="E749" s="42"/>
    </row>
    <row r="750" ht="15.75" customHeight="1">
      <c r="A750" s="42"/>
      <c r="B750" s="42"/>
      <c r="E750" s="42"/>
    </row>
    <row r="751" ht="15.75" customHeight="1">
      <c r="A751" s="42"/>
      <c r="B751" s="42"/>
      <c r="E751" s="42"/>
    </row>
    <row r="752" ht="15.75" customHeight="1">
      <c r="A752" s="42"/>
      <c r="B752" s="42"/>
      <c r="E752" s="42"/>
    </row>
    <row r="753" ht="15.75" customHeight="1">
      <c r="A753" s="42"/>
      <c r="B753" s="42"/>
      <c r="E753" s="42"/>
    </row>
    <row r="754" ht="15.75" customHeight="1">
      <c r="A754" s="42"/>
      <c r="B754" s="42"/>
      <c r="E754" s="42"/>
    </row>
    <row r="755" ht="15.75" customHeight="1">
      <c r="A755" s="42"/>
      <c r="B755" s="42"/>
      <c r="E755" s="42"/>
    </row>
    <row r="756" ht="15.75" customHeight="1">
      <c r="A756" s="42"/>
      <c r="B756" s="42"/>
      <c r="E756" s="42"/>
    </row>
    <row r="757" ht="15.75" customHeight="1">
      <c r="A757" s="42"/>
      <c r="B757" s="42"/>
      <c r="E757" s="42"/>
    </row>
    <row r="758" ht="15.75" customHeight="1">
      <c r="A758" s="42"/>
      <c r="B758" s="42"/>
      <c r="E758" s="42"/>
    </row>
    <row r="759" ht="15.75" customHeight="1">
      <c r="A759" s="42"/>
      <c r="B759" s="42"/>
      <c r="E759" s="42"/>
    </row>
    <row r="760" ht="15.75" customHeight="1">
      <c r="A760" s="42"/>
      <c r="B760" s="42"/>
      <c r="E760" s="42"/>
    </row>
    <row r="761" ht="15.75" customHeight="1">
      <c r="A761" s="42"/>
      <c r="B761" s="42"/>
      <c r="E761" s="42"/>
    </row>
    <row r="762" ht="15.75" customHeight="1">
      <c r="A762" s="42"/>
      <c r="B762" s="42"/>
      <c r="E762" s="42"/>
    </row>
    <row r="763" ht="15.75" customHeight="1">
      <c r="A763" s="42"/>
      <c r="B763" s="42"/>
      <c r="E763" s="42"/>
    </row>
    <row r="764" ht="15.75" customHeight="1">
      <c r="A764" s="42"/>
      <c r="B764" s="42"/>
      <c r="E764" s="42"/>
    </row>
    <row r="765" ht="15.75" customHeight="1">
      <c r="A765" s="42"/>
      <c r="B765" s="42"/>
      <c r="E765" s="42"/>
    </row>
    <row r="766" ht="15.75" customHeight="1">
      <c r="A766" s="42"/>
      <c r="B766" s="42"/>
      <c r="E766" s="42"/>
    </row>
    <row r="767" ht="15.75" customHeight="1">
      <c r="A767" s="42"/>
      <c r="B767" s="42"/>
      <c r="E767" s="42"/>
    </row>
    <row r="768" ht="15.75" customHeight="1">
      <c r="A768" s="42"/>
      <c r="B768" s="42"/>
      <c r="E768" s="42"/>
    </row>
    <row r="769" ht="15.75" customHeight="1">
      <c r="A769" s="42"/>
      <c r="B769" s="42"/>
      <c r="E769" s="42"/>
    </row>
    <row r="770" ht="15.75" customHeight="1">
      <c r="A770" s="42"/>
      <c r="B770" s="42"/>
      <c r="E770" s="42"/>
    </row>
    <row r="771" ht="15.75" customHeight="1">
      <c r="A771" s="42"/>
      <c r="B771" s="42"/>
      <c r="E771" s="42"/>
    </row>
    <row r="772" ht="15.75" customHeight="1">
      <c r="A772" s="42"/>
      <c r="B772" s="42"/>
      <c r="E772" s="42"/>
    </row>
    <row r="773" ht="15.75" customHeight="1">
      <c r="A773" s="42"/>
      <c r="B773" s="42"/>
      <c r="E773" s="42"/>
    </row>
    <row r="774" ht="15.75" customHeight="1">
      <c r="A774" s="42"/>
      <c r="B774" s="42"/>
      <c r="E774" s="42"/>
    </row>
    <row r="775" ht="15.75" customHeight="1">
      <c r="A775" s="42"/>
      <c r="B775" s="42"/>
      <c r="E775" s="42"/>
    </row>
    <row r="776" ht="15.75" customHeight="1">
      <c r="A776" s="42"/>
      <c r="B776" s="42"/>
      <c r="E776" s="42"/>
    </row>
    <row r="777" ht="15.75" customHeight="1">
      <c r="A777" s="42"/>
      <c r="B777" s="42"/>
      <c r="E777" s="42"/>
    </row>
    <row r="778" ht="15.75" customHeight="1">
      <c r="A778" s="42"/>
      <c r="B778" s="42"/>
      <c r="E778" s="42"/>
    </row>
    <row r="779" ht="15.75" customHeight="1">
      <c r="A779" s="42"/>
      <c r="B779" s="42"/>
      <c r="E779" s="42"/>
    </row>
    <row r="780" ht="15.75" customHeight="1">
      <c r="A780" s="42"/>
      <c r="B780" s="42"/>
      <c r="E780" s="42"/>
    </row>
    <row r="781" ht="15.75" customHeight="1">
      <c r="A781" s="42"/>
      <c r="B781" s="42"/>
      <c r="E781" s="42"/>
    </row>
    <row r="782" ht="15.75" customHeight="1">
      <c r="A782" s="42"/>
      <c r="B782" s="42"/>
      <c r="E782" s="42"/>
    </row>
    <row r="783" ht="15.75" customHeight="1">
      <c r="A783" s="42"/>
      <c r="B783" s="42"/>
      <c r="E783" s="42"/>
    </row>
    <row r="784" ht="15.75" customHeight="1">
      <c r="A784" s="42"/>
      <c r="B784" s="42"/>
      <c r="E784" s="42"/>
    </row>
    <row r="785" ht="15.75" customHeight="1">
      <c r="A785" s="42"/>
      <c r="B785" s="42"/>
      <c r="E785" s="42"/>
    </row>
    <row r="786" ht="15.75" customHeight="1">
      <c r="A786" s="42"/>
      <c r="B786" s="42"/>
      <c r="E786" s="42"/>
    </row>
    <row r="787" ht="15.75" customHeight="1">
      <c r="A787" s="42"/>
      <c r="B787" s="42"/>
      <c r="E787" s="42"/>
    </row>
    <row r="788" ht="15.75" customHeight="1">
      <c r="A788" s="42"/>
      <c r="B788" s="42"/>
      <c r="E788" s="42"/>
    </row>
    <row r="789" ht="15.75" customHeight="1">
      <c r="A789" s="42"/>
      <c r="B789" s="42"/>
      <c r="E789" s="42"/>
    </row>
    <row r="790" ht="15.75" customHeight="1">
      <c r="A790" s="42"/>
      <c r="B790" s="42"/>
      <c r="E790" s="42"/>
    </row>
    <row r="791" ht="15.75" customHeight="1">
      <c r="A791" s="42"/>
      <c r="B791" s="42"/>
      <c r="E791" s="42"/>
    </row>
    <row r="792" ht="15.75" customHeight="1">
      <c r="A792" s="42"/>
      <c r="B792" s="42"/>
      <c r="E792" s="42"/>
    </row>
    <row r="793" ht="15.75" customHeight="1">
      <c r="A793" s="42"/>
      <c r="B793" s="42"/>
      <c r="E793" s="42"/>
    </row>
    <row r="794" ht="15.75" customHeight="1">
      <c r="A794" s="42"/>
      <c r="B794" s="42"/>
      <c r="E794" s="42"/>
    </row>
    <row r="795" ht="15.75" customHeight="1">
      <c r="A795" s="42"/>
      <c r="B795" s="42"/>
      <c r="E795" s="42"/>
    </row>
    <row r="796" ht="15.75" customHeight="1">
      <c r="A796" s="42"/>
      <c r="B796" s="42"/>
      <c r="E796" s="42"/>
    </row>
    <row r="797" ht="15.75" customHeight="1">
      <c r="A797" s="42"/>
      <c r="B797" s="42"/>
      <c r="E797" s="42"/>
    </row>
    <row r="798" ht="15.75" customHeight="1">
      <c r="A798" s="42"/>
      <c r="B798" s="42"/>
      <c r="E798" s="42"/>
    </row>
    <row r="799" ht="15.75" customHeight="1">
      <c r="A799" s="42"/>
      <c r="B799" s="42"/>
      <c r="E799" s="42"/>
    </row>
    <row r="800" ht="15.75" customHeight="1">
      <c r="A800" s="42"/>
      <c r="B800" s="42"/>
      <c r="E800" s="42"/>
    </row>
    <row r="801" ht="15.75" customHeight="1">
      <c r="A801" s="42"/>
      <c r="B801" s="42"/>
      <c r="E801" s="42"/>
    </row>
    <row r="802" ht="15.75" customHeight="1">
      <c r="A802" s="42"/>
      <c r="B802" s="42"/>
      <c r="E802" s="42"/>
    </row>
    <row r="803" ht="15.75" customHeight="1">
      <c r="A803" s="42"/>
      <c r="B803" s="42"/>
      <c r="E803" s="42"/>
    </row>
    <row r="804" ht="15.75" customHeight="1">
      <c r="A804" s="42"/>
      <c r="B804" s="42"/>
      <c r="E804" s="42"/>
    </row>
    <row r="805" ht="15.75" customHeight="1">
      <c r="A805" s="42"/>
      <c r="B805" s="42"/>
      <c r="E805" s="42"/>
    </row>
    <row r="806" ht="15.75" customHeight="1">
      <c r="A806" s="42"/>
      <c r="B806" s="42"/>
      <c r="E806" s="42"/>
    </row>
    <row r="807" ht="15.75" customHeight="1">
      <c r="A807" s="42"/>
      <c r="B807" s="42"/>
      <c r="E807" s="42"/>
    </row>
    <row r="808" ht="15.75" customHeight="1">
      <c r="A808" s="42"/>
      <c r="B808" s="42"/>
      <c r="E808" s="42"/>
    </row>
    <row r="809" ht="15.75" customHeight="1">
      <c r="A809" s="42"/>
      <c r="B809" s="42"/>
      <c r="E809" s="42"/>
    </row>
    <row r="810" ht="15.75" customHeight="1">
      <c r="A810" s="42"/>
      <c r="B810" s="42"/>
      <c r="E810" s="42"/>
    </row>
    <row r="811" ht="15.75" customHeight="1">
      <c r="A811" s="42"/>
      <c r="B811" s="42"/>
      <c r="E811" s="42"/>
    </row>
    <row r="812" ht="15.75" customHeight="1">
      <c r="A812" s="42"/>
      <c r="B812" s="42"/>
      <c r="E812" s="42"/>
    </row>
    <row r="813" ht="15.75" customHeight="1">
      <c r="A813" s="42"/>
      <c r="B813" s="42"/>
      <c r="E813" s="42"/>
    </row>
    <row r="814" ht="15.75" customHeight="1">
      <c r="A814" s="42"/>
      <c r="B814" s="42"/>
      <c r="E814" s="42"/>
    </row>
    <row r="815" ht="15.75" customHeight="1">
      <c r="A815" s="42"/>
      <c r="B815" s="42"/>
      <c r="E815" s="42"/>
    </row>
    <row r="816" ht="15.75" customHeight="1">
      <c r="A816" s="42"/>
      <c r="B816" s="42"/>
      <c r="E816" s="42"/>
    </row>
    <row r="817" ht="15.75" customHeight="1">
      <c r="A817" s="42"/>
      <c r="B817" s="42"/>
      <c r="E817" s="42"/>
    </row>
    <row r="818" ht="15.75" customHeight="1">
      <c r="A818" s="42"/>
      <c r="B818" s="42"/>
      <c r="E818" s="42"/>
    </row>
    <row r="819" ht="15.75" customHeight="1">
      <c r="A819" s="42"/>
      <c r="B819" s="42"/>
      <c r="E819" s="42"/>
    </row>
    <row r="820" ht="15.75" customHeight="1">
      <c r="A820" s="42"/>
      <c r="B820" s="42"/>
      <c r="E820" s="42"/>
    </row>
    <row r="821" ht="15.75" customHeight="1">
      <c r="A821" s="42"/>
      <c r="B821" s="42"/>
      <c r="E821" s="42"/>
    </row>
    <row r="822" ht="15.75" customHeight="1">
      <c r="A822" s="42"/>
      <c r="B822" s="42"/>
      <c r="E822" s="42"/>
    </row>
    <row r="823" ht="15.75" customHeight="1">
      <c r="A823" s="42"/>
      <c r="B823" s="42"/>
      <c r="E823" s="42"/>
    </row>
    <row r="824" ht="15.75" customHeight="1">
      <c r="A824" s="42"/>
      <c r="B824" s="42"/>
      <c r="E824" s="42"/>
    </row>
    <row r="825" ht="15.75" customHeight="1">
      <c r="A825" s="42"/>
      <c r="B825" s="42"/>
      <c r="E825" s="42"/>
    </row>
    <row r="826" ht="15.75" customHeight="1">
      <c r="A826" s="42"/>
      <c r="B826" s="42"/>
      <c r="E826" s="42"/>
    </row>
    <row r="827" ht="15.75" customHeight="1">
      <c r="A827" s="42"/>
      <c r="B827" s="42"/>
      <c r="E827" s="42"/>
    </row>
    <row r="828" ht="15.75" customHeight="1">
      <c r="A828" s="42"/>
      <c r="B828" s="42"/>
      <c r="E828" s="42"/>
    </row>
    <row r="829" ht="15.75" customHeight="1">
      <c r="A829" s="42"/>
      <c r="B829" s="42"/>
      <c r="E829" s="42"/>
    </row>
    <row r="830" ht="15.75" customHeight="1">
      <c r="A830" s="42"/>
      <c r="B830" s="42"/>
      <c r="E830" s="42"/>
    </row>
    <row r="831" ht="15.75" customHeight="1">
      <c r="A831" s="42"/>
      <c r="B831" s="42"/>
      <c r="E831" s="42"/>
    </row>
    <row r="832" ht="15.75" customHeight="1">
      <c r="A832" s="42"/>
      <c r="B832" s="42"/>
      <c r="E832" s="42"/>
    </row>
    <row r="833" ht="15.75" customHeight="1">
      <c r="A833" s="42"/>
      <c r="B833" s="42"/>
      <c r="E833" s="42"/>
    </row>
    <row r="834" ht="15.75" customHeight="1">
      <c r="A834" s="42"/>
      <c r="B834" s="42"/>
      <c r="E834" s="42"/>
    </row>
    <row r="835" ht="15.75" customHeight="1">
      <c r="A835" s="42"/>
      <c r="B835" s="42"/>
      <c r="E835" s="42"/>
    </row>
    <row r="836" ht="15.75" customHeight="1">
      <c r="A836" s="42"/>
      <c r="B836" s="42"/>
      <c r="E836" s="42"/>
    </row>
    <row r="837" ht="15.75" customHeight="1">
      <c r="A837" s="42"/>
      <c r="B837" s="42"/>
      <c r="E837" s="42"/>
    </row>
    <row r="838" ht="15.75" customHeight="1">
      <c r="A838" s="42"/>
      <c r="B838" s="42"/>
      <c r="E838" s="42"/>
    </row>
    <row r="839" ht="15.75" customHeight="1">
      <c r="A839" s="42"/>
      <c r="B839" s="42"/>
      <c r="E839" s="42"/>
    </row>
    <row r="840" ht="15.75" customHeight="1">
      <c r="A840" s="42"/>
      <c r="B840" s="42"/>
      <c r="E840" s="42"/>
    </row>
    <row r="841" ht="15.75" customHeight="1">
      <c r="A841" s="42"/>
      <c r="B841" s="42"/>
      <c r="E841" s="42"/>
    </row>
    <row r="842" ht="15.75" customHeight="1">
      <c r="A842" s="42"/>
      <c r="B842" s="42"/>
      <c r="E842" s="42"/>
    </row>
    <row r="843" ht="15.75" customHeight="1">
      <c r="A843" s="42"/>
      <c r="B843" s="42"/>
      <c r="E843" s="42"/>
    </row>
    <row r="844" ht="15.75" customHeight="1">
      <c r="A844" s="42"/>
      <c r="B844" s="42"/>
      <c r="E844" s="42"/>
    </row>
    <row r="845" ht="15.75" customHeight="1">
      <c r="A845" s="42"/>
      <c r="B845" s="42"/>
      <c r="E845" s="42"/>
    </row>
    <row r="846" ht="15.75" customHeight="1">
      <c r="A846" s="42"/>
      <c r="B846" s="42"/>
      <c r="E846" s="42"/>
    </row>
    <row r="847" ht="15.75" customHeight="1">
      <c r="A847" s="42"/>
      <c r="B847" s="42"/>
      <c r="E847" s="42"/>
    </row>
    <row r="848" ht="15.75" customHeight="1">
      <c r="A848" s="42"/>
      <c r="B848" s="42"/>
      <c r="E848" s="42"/>
    </row>
    <row r="849" ht="15.75" customHeight="1">
      <c r="A849" s="42"/>
      <c r="B849" s="42"/>
      <c r="E849" s="42"/>
    </row>
    <row r="850" ht="15.75" customHeight="1">
      <c r="A850" s="42"/>
      <c r="B850" s="42"/>
      <c r="E850" s="42"/>
    </row>
    <row r="851" ht="15.75" customHeight="1">
      <c r="A851" s="42"/>
      <c r="B851" s="42"/>
      <c r="E851" s="42"/>
    </row>
    <row r="852" ht="15.75" customHeight="1">
      <c r="A852" s="42"/>
      <c r="B852" s="42"/>
      <c r="E852" s="42"/>
    </row>
    <row r="853" ht="15.75" customHeight="1">
      <c r="A853" s="42"/>
      <c r="B853" s="42"/>
      <c r="E853" s="42"/>
    </row>
    <row r="854" ht="15.75" customHeight="1">
      <c r="A854" s="42"/>
      <c r="B854" s="42"/>
      <c r="E854" s="42"/>
    </row>
    <row r="855" ht="15.75" customHeight="1">
      <c r="A855" s="42"/>
      <c r="B855" s="42"/>
      <c r="E855" s="42"/>
    </row>
    <row r="856" ht="15.75" customHeight="1">
      <c r="A856" s="42"/>
      <c r="B856" s="42"/>
      <c r="E856" s="42"/>
    </row>
    <row r="857" ht="15.75" customHeight="1">
      <c r="A857" s="42"/>
      <c r="B857" s="42"/>
      <c r="E857" s="42"/>
    </row>
    <row r="858" ht="15.75" customHeight="1">
      <c r="A858" s="42"/>
      <c r="B858" s="42"/>
      <c r="E858" s="42"/>
    </row>
    <row r="859" ht="15.75" customHeight="1">
      <c r="A859" s="42"/>
      <c r="B859" s="42"/>
      <c r="E859" s="42"/>
    </row>
    <row r="860" ht="15.75" customHeight="1">
      <c r="A860" s="42"/>
      <c r="B860" s="42"/>
      <c r="E860" s="42"/>
    </row>
    <row r="861" ht="15.75" customHeight="1">
      <c r="A861" s="42"/>
      <c r="B861" s="42"/>
      <c r="E861" s="42"/>
    </row>
    <row r="862" ht="15.75" customHeight="1">
      <c r="A862" s="42"/>
      <c r="B862" s="42"/>
      <c r="E862" s="42"/>
    </row>
    <row r="863" ht="15.75" customHeight="1">
      <c r="A863" s="42"/>
      <c r="B863" s="42"/>
      <c r="E863" s="42"/>
    </row>
    <row r="864" ht="15.75" customHeight="1">
      <c r="A864" s="42"/>
      <c r="B864" s="42"/>
      <c r="E864" s="42"/>
    </row>
    <row r="865" ht="15.75" customHeight="1">
      <c r="A865" s="42"/>
      <c r="B865" s="42"/>
      <c r="E865" s="42"/>
    </row>
    <row r="866" ht="15.75" customHeight="1">
      <c r="A866" s="42"/>
      <c r="B866" s="42"/>
      <c r="E866" s="42"/>
    </row>
    <row r="867" ht="15.75" customHeight="1">
      <c r="A867" s="42"/>
      <c r="B867" s="42"/>
      <c r="E867" s="42"/>
    </row>
    <row r="868" ht="15.75" customHeight="1">
      <c r="A868" s="42"/>
      <c r="B868" s="42"/>
      <c r="E868" s="42"/>
    </row>
    <row r="869" ht="15.75" customHeight="1">
      <c r="A869" s="42"/>
      <c r="B869" s="42"/>
      <c r="E869" s="42"/>
    </row>
    <row r="870" ht="15.75" customHeight="1">
      <c r="A870" s="42"/>
      <c r="B870" s="42"/>
      <c r="E870" s="42"/>
    </row>
    <row r="871" ht="15.75" customHeight="1">
      <c r="A871" s="42"/>
      <c r="B871" s="42"/>
      <c r="E871" s="42"/>
    </row>
    <row r="872" ht="15.75" customHeight="1">
      <c r="A872" s="42"/>
      <c r="B872" s="42"/>
      <c r="E872" s="42"/>
    </row>
    <row r="873" ht="15.75" customHeight="1">
      <c r="A873" s="42"/>
      <c r="B873" s="42"/>
      <c r="E873" s="42"/>
    </row>
    <row r="874" ht="15.75" customHeight="1">
      <c r="A874" s="42"/>
      <c r="B874" s="42"/>
      <c r="E874" s="42"/>
    </row>
    <row r="875" ht="15.75" customHeight="1">
      <c r="A875" s="42"/>
      <c r="B875" s="42"/>
      <c r="E875" s="42"/>
    </row>
    <row r="876" ht="15.75" customHeight="1">
      <c r="A876" s="42"/>
      <c r="B876" s="42"/>
      <c r="E876" s="42"/>
    </row>
    <row r="877" ht="15.75" customHeight="1">
      <c r="A877" s="42"/>
      <c r="B877" s="42"/>
      <c r="E877" s="42"/>
    </row>
    <row r="878" ht="15.75" customHeight="1">
      <c r="A878" s="42"/>
      <c r="B878" s="42"/>
      <c r="E878" s="42"/>
    </row>
    <row r="879" ht="15.75" customHeight="1">
      <c r="A879" s="42"/>
      <c r="B879" s="42"/>
      <c r="E879" s="42"/>
    </row>
    <row r="880" ht="15.75" customHeight="1">
      <c r="A880" s="42"/>
      <c r="B880" s="42"/>
      <c r="E880" s="42"/>
    </row>
    <row r="881" ht="15.75" customHeight="1">
      <c r="A881" s="42"/>
      <c r="B881" s="42"/>
      <c r="E881" s="42"/>
    </row>
    <row r="882" ht="15.75" customHeight="1">
      <c r="A882" s="42"/>
      <c r="B882" s="42"/>
      <c r="E882" s="42"/>
    </row>
    <row r="883" ht="15.75" customHeight="1">
      <c r="A883" s="42"/>
      <c r="B883" s="42"/>
      <c r="E883" s="42"/>
    </row>
    <row r="884" ht="15.75" customHeight="1">
      <c r="A884" s="42"/>
      <c r="B884" s="42"/>
      <c r="E884" s="42"/>
    </row>
    <row r="885" ht="15.75" customHeight="1">
      <c r="A885" s="42"/>
      <c r="B885" s="42"/>
      <c r="E885" s="42"/>
    </row>
    <row r="886" ht="15.75" customHeight="1">
      <c r="A886" s="42"/>
      <c r="B886" s="42"/>
      <c r="E886" s="42"/>
    </row>
    <row r="887" ht="15.75" customHeight="1">
      <c r="A887" s="42"/>
      <c r="B887" s="42"/>
      <c r="E887" s="42"/>
    </row>
    <row r="888" ht="15.75" customHeight="1">
      <c r="A888" s="42"/>
      <c r="B888" s="42"/>
      <c r="E888" s="42"/>
    </row>
    <row r="889" ht="15.75" customHeight="1">
      <c r="A889" s="42"/>
      <c r="B889" s="42"/>
      <c r="E889" s="42"/>
    </row>
    <row r="890" ht="15.75" customHeight="1">
      <c r="A890" s="42"/>
      <c r="B890" s="42"/>
      <c r="E890" s="42"/>
    </row>
    <row r="891" ht="15.75" customHeight="1">
      <c r="A891" s="42"/>
      <c r="B891" s="42"/>
      <c r="E891" s="42"/>
    </row>
    <row r="892" ht="15.75" customHeight="1">
      <c r="A892" s="42"/>
      <c r="B892" s="42"/>
      <c r="E892" s="42"/>
    </row>
    <row r="893" ht="15.75" customHeight="1">
      <c r="A893" s="42"/>
      <c r="B893" s="42"/>
      <c r="E893" s="42"/>
    </row>
    <row r="894" ht="15.75" customHeight="1">
      <c r="A894" s="42"/>
      <c r="B894" s="42"/>
      <c r="E894" s="42"/>
    </row>
    <row r="895" ht="15.75" customHeight="1">
      <c r="A895" s="42"/>
      <c r="B895" s="42"/>
      <c r="E895" s="42"/>
    </row>
    <row r="896" ht="15.75" customHeight="1">
      <c r="A896" s="42"/>
      <c r="B896" s="42"/>
      <c r="E896" s="42"/>
    </row>
    <row r="897" ht="15.75" customHeight="1">
      <c r="A897" s="42"/>
      <c r="B897" s="42"/>
      <c r="E897" s="42"/>
    </row>
    <row r="898" ht="15.75" customHeight="1">
      <c r="A898" s="42"/>
      <c r="B898" s="42"/>
      <c r="E898" s="42"/>
    </row>
    <row r="899" ht="15.75" customHeight="1">
      <c r="A899" s="42"/>
      <c r="B899" s="42"/>
      <c r="E899" s="42"/>
    </row>
    <row r="900" ht="15.75" customHeight="1">
      <c r="A900" s="42"/>
      <c r="B900" s="42"/>
      <c r="E900" s="42"/>
    </row>
    <row r="901" ht="15.75" customHeight="1">
      <c r="A901" s="42"/>
      <c r="B901" s="42"/>
      <c r="E901" s="42"/>
    </row>
    <row r="902" ht="15.75" customHeight="1">
      <c r="A902" s="42"/>
      <c r="B902" s="42"/>
      <c r="E902" s="42"/>
    </row>
    <row r="903" ht="15.75" customHeight="1">
      <c r="A903" s="42"/>
      <c r="B903" s="42"/>
      <c r="E903" s="42"/>
    </row>
    <row r="904" ht="15.75" customHeight="1">
      <c r="A904" s="42"/>
      <c r="B904" s="42"/>
      <c r="E904" s="42"/>
    </row>
    <row r="905" ht="15.75" customHeight="1">
      <c r="A905" s="42"/>
      <c r="B905" s="42"/>
      <c r="E905" s="42"/>
    </row>
    <row r="906" ht="15.75" customHeight="1">
      <c r="A906" s="42"/>
      <c r="B906" s="42"/>
      <c r="E906" s="42"/>
    </row>
    <row r="907" ht="15.75" customHeight="1">
      <c r="A907" s="42"/>
      <c r="B907" s="42"/>
      <c r="E907" s="42"/>
    </row>
    <row r="908" ht="15.75" customHeight="1">
      <c r="A908" s="42"/>
      <c r="B908" s="42"/>
      <c r="E908" s="42"/>
    </row>
    <row r="909" ht="15.75" customHeight="1">
      <c r="A909" s="42"/>
      <c r="B909" s="42"/>
      <c r="E909" s="42"/>
    </row>
    <row r="910" ht="15.75" customHeight="1">
      <c r="A910" s="42"/>
      <c r="B910" s="42"/>
      <c r="E910" s="42"/>
    </row>
    <row r="911" ht="15.75" customHeight="1">
      <c r="A911" s="42"/>
      <c r="B911" s="42"/>
      <c r="E911" s="42"/>
    </row>
    <row r="912" ht="15.75" customHeight="1">
      <c r="A912" s="42"/>
      <c r="B912" s="42"/>
      <c r="E912" s="42"/>
    </row>
    <row r="913" ht="15.75" customHeight="1">
      <c r="A913" s="42"/>
      <c r="B913" s="42"/>
      <c r="E913" s="42"/>
    </row>
    <row r="914" ht="15.75" customHeight="1">
      <c r="A914" s="42"/>
      <c r="B914" s="42"/>
      <c r="E914" s="42"/>
    </row>
    <row r="915" ht="15.75" customHeight="1">
      <c r="A915" s="42"/>
      <c r="B915" s="42"/>
      <c r="E915" s="42"/>
    </row>
    <row r="916" ht="15.75" customHeight="1">
      <c r="A916" s="42"/>
      <c r="B916" s="42"/>
      <c r="E916" s="42"/>
    </row>
    <row r="917" ht="15.75" customHeight="1">
      <c r="A917" s="42"/>
      <c r="B917" s="42"/>
      <c r="E917" s="42"/>
    </row>
    <row r="918" ht="15.75" customHeight="1">
      <c r="A918" s="42"/>
      <c r="B918" s="42"/>
      <c r="E918" s="42"/>
    </row>
    <row r="919" ht="15.75" customHeight="1">
      <c r="A919" s="42"/>
      <c r="B919" s="42"/>
      <c r="E919" s="42"/>
    </row>
    <row r="920" ht="15.75" customHeight="1">
      <c r="A920" s="42"/>
      <c r="B920" s="42"/>
      <c r="E920" s="42"/>
    </row>
    <row r="921" ht="15.75" customHeight="1">
      <c r="A921" s="42"/>
      <c r="B921" s="42"/>
      <c r="E921" s="42"/>
    </row>
    <row r="922" ht="15.75" customHeight="1">
      <c r="A922" s="42"/>
      <c r="B922" s="42"/>
      <c r="E922" s="42"/>
    </row>
    <row r="923" ht="15.75" customHeight="1">
      <c r="A923" s="42"/>
      <c r="B923" s="42"/>
      <c r="E923" s="42"/>
    </row>
    <row r="924" ht="15.75" customHeight="1">
      <c r="A924" s="42"/>
      <c r="B924" s="42"/>
      <c r="E924" s="42"/>
    </row>
    <row r="925" ht="15.75" customHeight="1">
      <c r="A925" s="42"/>
      <c r="B925" s="42"/>
      <c r="E925" s="42"/>
    </row>
    <row r="926" ht="15.75" customHeight="1">
      <c r="A926" s="42"/>
      <c r="B926" s="42"/>
      <c r="E926" s="42"/>
    </row>
    <row r="927" ht="15.75" customHeight="1">
      <c r="A927" s="42"/>
      <c r="B927" s="42"/>
      <c r="E927" s="42"/>
    </row>
    <row r="928" ht="15.75" customHeight="1">
      <c r="A928" s="42"/>
      <c r="B928" s="42"/>
      <c r="E928" s="42"/>
    </row>
    <row r="929" ht="15.75" customHeight="1">
      <c r="A929" s="42"/>
      <c r="B929" s="42"/>
      <c r="E929" s="42"/>
    </row>
    <row r="930" ht="15.75" customHeight="1">
      <c r="A930" s="42"/>
      <c r="B930" s="42"/>
      <c r="E930" s="42"/>
    </row>
    <row r="931" ht="15.75" customHeight="1">
      <c r="A931" s="42"/>
      <c r="B931" s="42"/>
      <c r="E931" s="42"/>
    </row>
    <row r="932" ht="15.75" customHeight="1">
      <c r="A932" s="42"/>
      <c r="B932" s="42"/>
      <c r="E932" s="42"/>
    </row>
    <row r="933" ht="15.75" customHeight="1">
      <c r="A933" s="42"/>
      <c r="B933" s="42"/>
      <c r="E933" s="42"/>
    </row>
    <row r="934" ht="15.75" customHeight="1">
      <c r="A934" s="42"/>
      <c r="B934" s="42"/>
      <c r="E934" s="42"/>
    </row>
    <row r="935" ht="15.75" customHeight="1">
      <c r="A935" s="42"/>
      <c r="B935" s="42"/>
      <c r="E935" s="42"/>
    </row>
    <row r="936" ht="15.75" customHeight="1">
      <c r="A936" s="42"/>
      <c r="B936" s="42"/>
      <c r="E936" s="42"/>
    </row>
    <row r="937" ht="15.75" customHeight="1">
      <c r="A937" s="42"/>
      <c r="B937" s="42"/>
      <c r="E937" s="42"/>
    </row>
    <row r="938" ht="15.75" customHeight="1">
      <c r="A938" s="42"/>
      <c r="B938" s="42"/>
      <c r="E938" s="42"/>
    </row>
    <row r="939" ht="15.75" customHeight="1">
      <c r="A939" s="42"/>
      <c r="B939" s="42"/>
      <c r="E939" s="42"/>
    </row>
    <row r="940" ht="15.75" customHeight="1">
      <c r="A940" s="42"/>
      <c r="B940" s="42"/>
      <c r="E940" s="42"/>
    </row>
    <row r="941" ht="15.75" customHeight="1">
      <c r="A941" s="42"/>
      <c r="B941" s="42"/>
      <c r="E941" s="42"/>
    </row>
    <row r="942" ht="15.75" customHeight="1">
      <c r="A942" s="42"/>
      <c r="B942" s="42"/>
      <c r="E942" s="42"/>
    </row>
    <row r="943" ht="15.75" customHeight="1">
      <c r="A943" s="42"/>
      <c r="B943" s="42"/>
      <c r="E943" s="42"/>
    </row>
    <row r="944" ht="15.75" customHeight="1">
      <c r="A944" s="42"/>
      <c r="B944" s="42"/>
      <c r="E944" s="42"/>
    </row>
    <row r="945" ht="15.75" customHeight="1">
      <c r="A945" s="42"/>
      <c r="B945" s="42"/>
      <c r="E945" s="42"/>
    </row>
    <row r="946" ht="15.75" customHeight="1">
      <c r="A946" s="42"/>
      <c r="B946" s="42"/>
      <c r="E946" s="42"/>
    </row>
    <row r="947" ht="15.75" customHeight="1">
      <c r="A947" s="42"/>
      <c r="B947" s="42"/>
      <c r="E947" s="42"/>
    </row>
    <row r="948" ht="15.75" customHeight="1">
      <c r="A948" s="42"/>
      <c r="B948" s="42"/>
      <c r="E948" s="42"/>
    </row>
    <row r="949" ht="15.75" customHeight="1">
      <c r="A949" s="42"/>
      <c r="B949" s="42"/>
      <c r="E949" s="42"/>
    </row>
    <row r="950" ht="15.75" customHeight="1">
      <c r="A950" s="42"/>
      <c r="B950" s="42"/>
      <c r="E950" s="42"/>
    </row>
    <row r="951" ht="15.75" customHeight="1">
      <c r="A951" s="42"/>
      <c r="B951" s="42"/>
      <c r="E951" s="42"/>
    </row>
    <row r="952" ht="15.75" customHeight="1">
      <c r="A952" s="42"/>
      <c r="B952" s="42"/>
      <c r="E952" s="42"/>
    </row>
    <row r="953" ht="15.75" customHeight="1">
      <c r="A953" s="42"/>
      <c r="B953" s="42"/>
      <c r="E953" s="42"/>
    </row>
    <row r="954" ht="15.75" customHeight="1">
      <c r="A954" s="42"/>
      <c r="B954" s="42"/>
      <c r="E954" s="42"/>
    </row>
    <row r="955" ht="15.75" customHeight="1">
      <c r="A955" s="42"/>
      <c r="B955" s="42"/>
      <c r="E955" s="42"/>
    </row>
    <row r="956" ht="15.75" customHeight="1">
      <c r="A956" s="42"/>
      <c r="B956" s="42"/>
      <c r="E956" s="42"/>
    </row>
    <row r="957" ht="15.75" customHeight="1">
      <c r="A957" s="42"/>
      <c r="B957" s="42"/>
      <c r="E957" s="42"/>
    </row>
    <row r="958" ht="15.75" customHeight="1">
      <c r="A958" s="42"/>
      <c r="B958" s="42"/>
      <c r="E958" s="42"/>
    </row>
    <row r="959" ht="15.75" customHeight="1">
      <c r="A959" s="42"/>
      <c r="B959" s="42"/>
      <c r="E959" s="42"/>
    </row>
    <row r="960" ht="15.75" customHeight="1">
      <c r="A960" s="42"/>
      <c r="B960" s="42"/>
      <c r="E960" s="42"/>
    </row>
    <row r="961" ht="15.75" customHeight="1">
      <c r="A961" s="42"/>
      <c r="B961" s="42"/>
      <c r="E961" s="42"/>
    </row>
    <row r="962" ht="15.75" customHeight="1">
      <c r="A962" s="42"/>
      <c r="B962" s="42"/>
      <c r="E962" s="42"/>
    </row>
    <row r="963" ht="15.75" customHeight="1">
      <c r="A963" s="42"/>
      <c r="B963" s="42"/>
      <c r="E963" s="42"/>
    </row>
    <row r="964" ht="15.75" customHeight="1">
      <c r="A964" s="42"/>
      <c r="B964" s="42"/>
      <c r="E964" s="42"/>
    </row>
    <row r="965" ht="15.75" customHeight="1">
      <c r="A965" s="42"/>
      <c r="B965" s="42"/>
      <c r="E965" s="42"/>
    </row>
    <row r="966" ht="15.75" customHeight="1">
      <c r="A966" s="42"/>
      <c r="B966" s="42"/>
      <c r="E966" s="42"/>
    </row>
    <row r="967" ht="15.75" customHeight="1">
      <c r="A967" s="42"/>
      <c r="B967" s="42"/>
      <c r="E967" s="42"/>
    </row>
    <row r="968" ht="15.75" customHeight="1">
      <c r="A968" s="42"/>
      <c r="B968" s="42"/>
      <c r="E968" s="42"/>
    </row>
    <row r="969" ht="15.75" customHeight="1">
      <c r="A969" s="42"/>
      <c r="B969" s="42"/>
      <c r="E969" s="42"/>
    </row>
    <row r="970" ht="15.75" customHeight="1">
      <c r="A970" s="42"/>
      <c r="B970" s="42"/>
      <c r="E970" s="42"/>
    </row>
    <row r="971" ht="15.75" customHeight="1">
      <c r="A971" s="42"/>
      <c r="B971" s="42"/>
      <c r="E971" s="42"/>
    </row>
    <row r="972" ht="15.75" customHeight="1">
      <c r="A972" s="42"/>
      <c r="B972" s="42"/>
      <c r="E972" s="42"/>
    </row>
    <row r="973" ht="15.75" customHeight="1">
      <c r="A973" s="42"/>
      <c r="B973" s="42"/>
      <c r="E973" s="42"/>
    </row>
    <row r="974" ht="15.75" customHeight="1">
      <c r="A974" s="42"/>
      <c r="B974" s="42"/>
      <c r="E974" s="42"/>
    </row>
    <row r="975" ht="15.75" customHeight="1">
      <c r="A975" s="42"/>
      <c r="B975" s="42"/>
      <c r="E975" s="42"/>
    </row>
    <row r="976" ht="15.75" customHeight="1">
      <c r="A976" s="42"/>
      <c r="B976" s="42"/>
      <c r="E976" s="42"/>
    </row>
    <row r="977" ht="15.75" customHeight="1">
      <c r="A977" s="42"/>
      <c r="B977" s="42"/>
      <c r="E977" s="42"/>
    </row>
    <row r="978" ht="15.75" customHeight="1">
      <c r="A978" s="42"/>
      <c r="B978" s="42"/>
      <c r="E978" s="42"/>
    </row>
    <row r="979" ht="15.75" customHeight="1">
      <c r="A979" s="42"/>
      <c r="B979" s="42"/>
      <c r="E979" s="42"/>
    </row>
    <row r="980" ht="15.75" customHeight="1">
      <c r="A980" s="42"/>
      <c r="B980" s="42"/>
      <c r="E980" s="42"/>
    </row>
    <row r="981" ht="15.75" customHeight="1">
      <c r="A981" s="42"/>
      <c r="B981" s="42"/>
      <c r="E981" s="42"/>
    </row>
    <row r="982" ht="15.75" customHeight="1">
      <c r="A982" s="42"/>
      <c r="B982" s="42"/>
      <c r="E982" s="42"/>
    </row>
    <row r="983" ht="15.75" customHeight="1">
      <c r="A983" s="42"/>
      <c r="B983" s="42"/>
      <c r="E983" s="42"/>
    </row>
    <row r="984" ht="15.75" customHeight="1">
      <c r="A984" s="42"/>
      <c r="B984" s="42"/>
      <c r="E984" s="42"/>
    </row>
    <row r="985" ht="15.75" customHeight="1">
      <c r="A985" s="42"/>
      <c r="B985" s="42"/>
      <c r="E985" s="42"/>
    </row>
    <row r="986" ht="15.75" customHeight="1">
      <c r="A986" s="42"/>
      <c r="B986" s="42"/>
      <c r="E986" s="42"/>
    </row>
    <row r="987" ht="15.75" customHeight="1">
      <c r="A987" s="42"/>
      <c r="B987" s="42"/>
      <c r="E987" s="42"/>
    </row>
    <row r="988" ht="15.75" customHeight="1">
      <c r="A988" s="42"/>
      <c r="B988" s="42"/>
      <c r="E988" s="42"/>
    </row>
    <row r="989" ht="15.75" customHeight="1">
      <c r="A989" s="42"/>
      <c r="B989" s="42"/>
      <c r="E989" s="42"/>
    </row>
    <row r="990" ht="15.75" customHeight="1">
      <c r="A990" s="42"/>
      <c r="B990" s="42"/>
      <c r="E990" s="42"/>
    </row>
    <row r="991" ht="15.75" customHeight="1">
      <c r="A991" s="42"/>
      <c r="B991" s="42"/>
      <c r="E991" s="42"/>
    </row>
    <row r="992" ht="15.75" customHeight="1">
      <c r="A992" s="42"/>
      <c r="B992" s="42"/>
      <c r="E992" s="42"/>
    </row>
    <row r="993" ht="15.75" customHeight="1">
      <c r="A993" s="42"/>
      <c r="B993" s="42"/>
      <c r="E993" s="42"/>
    </row>
    <row r="994" ht="15.75" customHeight="1">
      <c r="A994" s="42"/>
      <c r="B994" s="42"/>
      <c r="E994" s="42"/>
    </row>
    <row r="995" ht="15.75" customHeight="1">
      <c r="A995" s="42"/>
      <c r="B995" s="42"/>
      <c r="E995" s="42"/>
    </row>
    <row r="996" ht="15.75" customHeight="1">
      <c r="A996" s="42"/>
      <c r="B996" s="42"/>
      <c r="E996" s="42"/>
    </row>
    <row r="997" ht="15.75" customHeight="1">
      <c r="A997" s="42"/>
      <c r="B997" s="42"/>
      <c r="E997" s="42"/>
    </row>
    <row r="998" ht="15.75" customHeight="1">
      <c r="A998" s="42"/>
      <c r="B998" s="42"/>
      <c r="E998" s="42"/>
    </row>
    <row r="999" ht="15.75" customHeight="1">
      <c r="A999" s="42"/>
      <c r="B999" s="42"/>
      <c r="E999" s="42"/>
    </row>
    <row r="1000" ht="15.75" customHeight="1">
      <c r="A1000" s="42"/>
      <c r="B1000" s="42"/>
      <c r="E1000" s="42"/>
    </row>
  </sheetData>
  <autoFilter ref="$A$10:$H$198"/>
  <mergeCells count="5">
    <mergeCell ref="A2:H2"/>
    <mergeCell ref="A4:H4"/>
    <mergeCell ref="A5:H5"/>
    <mergeCell ref="A6:H6"/>
    <mergeCell ref="A8:H8"/>
  </mergeCells>
  <dataValidations>
    <dataValidation type="list" allowBlank="1" showErrorMessage="1" sqref="A11:A198">
      <formula1>"Sprint 1,Sprint 2"</formula1>
    </dataValidation>
    <dataValidation type="list" allowBlank="1" showErrorMessage="1" sqref="B11:B198">
      <formula1>"BSB-7,BSB-8,BSB-9,BSB-10,BSB-11,BSB-13,BSB-14,BSB-100,BSB-15,BSB-16,BSB-17,BSB-18,BSB-19,BSB-20,BSB-21,BSB-22,BSB-23,BSB-24,BSB-25,BSB-26,BSB-27,BSB-28,BSB-99"</formula1>
    </dataValidation>
    <dataValidation type="list" allowBlank="1" showErrorMessage="1" sqref="E11:E198">
      <formula1>"Verificado,Ajustar navegación,Alcance documentado"</formula1>
    </dataValidation>
  </dataValidations>
  <hyperlinks>
    <hyperlink r:id="rId1" ref="A8"/>
  </hyperlinks>
  <printOptions/>
  <pageMargins bottom="0.75" footer="0.0" header="0.0" left="0.7" right="0.7" top="0.75"/>
  <pageSetup orientation="landscape"/>
  <drawing r:id="rId2"/>
</worksheet>
</file>